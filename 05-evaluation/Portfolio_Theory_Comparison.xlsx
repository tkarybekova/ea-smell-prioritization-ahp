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codeName="ThisWorkbook"/>
  <mc:AlternateContent xmlns:mc="http://schemas.openxmlformats.org/markup-compatibility/2006">
    <mc:Choice Requires="x15">
      <x15ac:absPath xmlns:x15ac="http://schemas.microsoft.com/office/spreadsheetml/2010/11/ac" url="/Users/iamnotinmoodtoday/Desktop/Github Thesis/evaluation/"/>
    </mc:Choice>
  </mc:AlternateContent>
  <xr:revisionPtr revIDLastSave="0" documentId="8_{737AA133-6563-8046-B71B-54686B3F0E5D}" xr6:coauthVersionLast="47" xr6:coauthVersionMax="47" xr10:uidLastSave="{00000000-0000-0000-0000-000000000000}"/>
  <bookViews>
    <workbookView xWindow="0" yWindow="760" windowWidth="29400" windowHeight="17280" tabRatio="500" activeTab="1" xr2:uid="{00000000-000D-0000-FFFF-FFFF00000000}"/>
  </bookViews>
  <sheets>
    <sheet name="1.0 Case Context" sheetId="10" r:id="rId1"/>
    <sheet name="1.1 Data Input" sheetId="8" r:id="rId2"/>
    <sheet name="1.2. Portfolio-Return Chart" sheetId="6" r:id="rId3"/>
    <sheet name="1.3 Formula Reference" sheetId="4" r:id="rId4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K18" i="8" l="1"/>
  <c r="K19" i="8"/>
  <c r="K20" i="8"/>
  <c r="K21" i="8"/>
  <c r="K17" i="8"/>
  <c r="F19" i="8"/>
  <c r="F21" i="8"/>
  <c r="D18" i="8"/>
  <c r="D19" i="8"/>
  <c r="D20" i="8"/>
  <c r="D21" i="8"/>
  <c r="D17" i="8"/>
  <c r="E18" i="8" l="1"/>
  <c r="E19" i="8"/>
  <c r="E20" i="8"/>
  <c r="E21" i="8"/>
  <c r="G21" i="8" s="1"/>
  <c r="E17" i="8"/>
  <c r="B18" i="8"/>
  <c r="B19" i="8"/>
  <c r="B20" i="8"/>
  <c r="B21" i="8"/>
  <c r="B17" i="8"/>
  <c r="K8" i="8"/>
  <c r="F18" i="8" s="1"/>
  <c r="K10" i="8"/>
  <c r="F20" i="8" s="1"/>
  <c r="K7" i="8"/>
  <c r="F17" i="8" s="1"/>
  <c r="G17" i="8" l="1"/>
  <c r="G20" i="8"/>
  <c r="I20" i="8" s="1"/>
  <c r="J20" i="8" s="1"/>
  <c r="G18" i="8"/>
  <c r="I17" i="8"/>
  <c r="J17" i="8" s="1"/>
  <c r="I21" i="8"/>
  <c r="J21" i="8" s="1"/>
  <c r="G19" i="8"/>
  <c r="I19" i="8" s="1"/>
  <c r="J19" i="8" s="1"/>
  <c r="A6" i="6" s="1" a="1"/>
  <c r="A6" i="6" s="1"/>
  <c r="I18" i="8"/>
  <c r="J18" i="8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<sst xmlns="http://schemas.openxmlformats.org/spreadsheetml/2006/main" count="172" uniqueCount="141">
  <si>
    <t>EA SMELL ESTIMATION — Input Data &amp; Calculations</t>
  </si>
  <si>
    <t xml:space="preserve">Complexity Factor </t>
  </si>
  <si>
    <t>SECTION 1 — INPUT DATA (from ArchiMate Model)</t>
  </si>
  <si>
    <t>Level</t>
  </si>
  <si>
    <t>Mult.</t>
  </si>
  <si>
    <t>Rule</t>
  </si>
  <si>
    <t>All effort in person-hours | Inputs from ArchiMate model | Yeong et al. (2019) synthetic data approach</t>
  </si>
  <si>
    <t>C1</t>
  </si>
  <si>
    <t>EA Smell</t>
  </si>
  <si>
    <t>Quality
Attribute</t>
  </si>
  <si>
    <t>Systems (S)</t>
  </si>
  <si>
    <t>Data Objects (D)</t>
  </si>
  <si>
    <t>Layers (L)</t>
  </si>
  <si>
    <t>Complexity
Class</t>
  </si>
  <si>
    <t>Complexity Multiplier</t>
  </si>
  <si>
    <t>C2</t>
  </si>
  <si>
    <t>#</t>
  </si>
  <si>
    <t>Items</t>
  </si>
  <si>
    <t>Scope</t>
  </si>
  <si>
    <t>C3</t>
  </si>
  <si>
    <t>S1 - Shared Persistency</t>
  </si>
  <si>
    <t>Customer, Order, Invoice, Payment</t>
  </si>
  <si>
    <t>App + Infra</t>
  </si>
  <si>
    <t>C4</t>
  </si>
  <si>
    <t>S2 - Feature Envy</t>
  </si>
  <si>
    <t>Bus + App</t>
  </si>
  <si>
    <t>S3 - Cyclic Dependency</t>
  </si>
  <si>
    <t>App</t>
  </si>
  <si>
    <t>S4 - Stovepipe System</t>
  </si>
  <si>
    <t>Interoperability</t>
  </si>
  <si>
    <t>Customer, Order, Invoice</t>
  </si>
  <si>
    <t>S5 - Vendor Lock-In</t>
  </si>
  <si>
    <t>Strategic Alignment</t>
  </si>
  <si>
    <t>—</t>
  </si>
  <si>
    <t>SECTION 2 — CALCULATIONS</t>
  </si>
  <si>
    <t>Quality Attribute</t>
  </si>
  <si>
    <t>Base (S+D+L)</t>
  </si>
  <si>
    <t>Principal X (h)</t>
  </si>
  <si>
    <t>Complexity</t>
  </si>
  <si>
    <t>IA (h) = X×C</t>
  </si>
  <si>
    <t>t</t>
  </si>
  <si>
    <t>Return (h)</t>
  </si>
  <si>
    <t>Return (days)</t>
  </si>
  <si>
    <t>Escalation Risk</t>
  </si>
  <si>
    <t>Dashboard Input Data</t>
  </si>
  <si>
    <t>EA SMELLS — RISK vs EXPECTED RETURN</t>
  </si>
  <si>
    <t>Adapted from Yeong et al. (2019) Fig. 2 — Individual smell level, single portfolio context</t>
  </si>
  <si>
    <t>CHART DATA</t>
  </si>
  <si>
    <t>Escalation Risk (X axis)</t>
  </si>
  <si>
    <t>Expected Return R
(Y axis — days saved)</t>
  </si>
  <si>
    <t>FORMULA REFERENCE — Yeong et al. (2019)</t>
  </si>
  <si>
    <t>Only Formula 1 is applied in this study. Portfolio-level formulas (2–6) are excluded as the focus is on individual EA smell prioritisation rather than portfolio optimisation.</t>
  </si>
  <si>
    <t>Used (Y/N)</t>
  </si>
  <si>
    <t>Formula</t>
  </si>
  <si>
    <t>Name</t>
  </si>
  <si>
    <t>Expression</t>
  </si>
  <si>
    <t>Notes / Adaptation</t>
  </si>
  <si>
    <t>Y</t>
  </si>
  <si>
    <t>Formula 1</t>
  </si>
  <si>
    <t>Expected Return
(individual smell)</t>
  </si>
  <si>
    <t>R = X × (1 + IA/X)^t  −  X</t>
  </si>
  <si>
    <t>Used as the basis for ranking individual EA smells.</t>
  </si>
  <si>
    <t>N</t>
  </si>
  <si>
    <t>Formula 2</t>
  </si>
  <si>
    <t>Covariance
between smells</t>
  </si>
  <si>
    <t>ρij = δi × δj × CORij</t>
  </si>
  <si>
    <t>Not applied due to lack of empirical correlation data.</t>
  </si>
  <si>
    <t>Formula 3</t>
  </si>
  <si>
    <t>Portfolio
Expected Return</t>
  </si>
  <si>
    <t>Rp = Σ (w × R)</t>
  </si>
  <si>
    <t>Excluded as portfolio-level analysis is outside the study scope.</t>
  </si>
  <si>
    <t>Formula 4</t>
  </si>
  <si>
    <t>Portfolio
Variance</t>
  </si>
  <si>
    <t>δ²p = Σ(w²×δ²) + 2×Σ(wi×wj×ρij)</t>
  </si>
  <si>
    <t>Excluded for consistency with the study scope.</t>
  </si>
  <si>
    <t>Formula 5</t>
  </si>
  <si>
    <t>Portfolio
Std Deviation</t>
  </si>
  <si>
    <t>δp = √δ²p</t>
  </si>
  <si>
    <t>Replaced by qualitative risk assessment based on quality attributes.</t>
  </si>
  <si>
    <t>Formula 6</t>
  </si>
  <si>
    <t>Utility Score
(original paper)</t>
  </si>
  <si>
    <t>U = Rp  −  0.001 × A × δ²p</t>
  </si>
  <si>
    <t>Not applied, as utility optimisation is beyond the study scope.</t>
  </si>
  <si>
    <t>The estimated hours are calculated by combining the number of affected systems, data objects, and layers, and scaling this base value by a complexity multiplier and standard effort factor; for demonstration purposes, these values are based on a synthetic data approach, while in practice they would be provided by domain experts.</t>
  </si>
  <si>
    <t>Case Context — Architecture Evidence</t>
  </si>
  <si>
    <t>ARCHIMATE MODEL</t>
  </si>
  <si>
    <t>SMELL EVIDENCE — Observations from the Architecture Model</t>
  </si>
  <si>
    <t>ID</t>
  </si>
  <si>
    <t>Systems Involved</t>
  </si>
  <si>
    <t>Architectural Situation</t>
  </si>
  <si>
    <t>Observable Impact</t>
  </si>
  <si>
    <t>S1</t>
  </si>
  <si>
    <t>Shared Persistency</t>
  </si>
  <si>
    <t>Salesforce CRM, SAP S/4HANA ERP, Power BI</t>
  </si>
  <si>
    <t>A shared central database is accessed by CRM, ERP, and Power BI, containing customer, order, invoice, and payment data.</t>
  </si>
  <si>
    <t>Changes to shared data structures require coordinated updates across multiple systems, introducing risks of data inconsistency and reducing system independence.</t>
  </si>
  <si>
    <t>S2</t>
  </si>
  <si>
    <t>Feature Envy</t>
  </si>
  <si>
    <t>Salesforce CRM, SAP S/4HANA ERP</t>
  </si>
  <si>
    <t>The Customer Risk Assessment function in Salesforce CRM repeatedly accesses externally managed customer and financial data.</t>
  </si>
  <si>
    <t>Business logic becomes distributed across systems, increasing dependency on external data access and making changes harder to localize.</t>
  </si>
  <si>
    <t>S3</t>
  </si>
  <si>
    <t>Cyclic Dependency</t>
  </si>
  <si>
    <t>Salesforce CRM sends customer and order data to SAP S/4HANA ERP, while ERP returns invoice and payment status data to CRM, forming a bidirectional dependency.</t>
  </si>
  <si>
    <t>Independent modification, testing, or deployment of either system becomes difficult, as each system depends on the other’s outputs.</t>
  </si>
  <si>
    <t>S4</t>
  </si>
  <si>
    <t>Stovepipe System</t>
  </si>
  <si>
    <t>Salesforce CRM, SAP S/4HANA ERP, and Power BI are integrated through system-specific data exchanges without a shared service abstraction layer.</t>
  </si>
  <si>
    <t>Integration logic is duplicated across system connections, reducing reusability and leading to brittle, hard-to-evolve integrations.</t>
  </si>
  <si>
    <t>S5</t>
  </si>
  <si>
    <t>Vendor Lock-In</t>
  </si>
  <si>
    <t>SAP S/4HANA ERP, SAP Business Technology Platform</t>
  </si>
  <si>
    <t>Core enterprise processes and integration flows are implemented within the SAP ecosystem, including SAP S/4HANA ERP and SAP Business Technology Platform.</t>
  </si>
  <si>
    <t>Integration logic relies on SAP-specific technologies and platform services, increasing the effort required to migrate to alternative platforms or integration solutions.</t>
  </si>
  <si>
    <t>Principal = (System + Data + Layer)  × 8h  |  Interest = Principal × IA Rate %  |  Expected Return R = X(1+IA/X)^3 − X</t>
  </si>
  <si>
    <t>Modifiability - Structure</t>
  </si>
  <si>
    <t>Modifiability - Behavior</t>
  </si>
  <si>
    <t>SAP S/4HANA ERP, SAP BTP</t>
  </si>
  <si>
    <t>Customer, Invoice, Payment</t>
  </si>
  <si>
    <t>Limited additional effort if remediation is deferred</t>
  </si>
  <si>
    <t>Moderate additional effort</t>
  </si>
  <si>
    <t>Substantial additional effort</t>
  </si>
  <si>
    <t>Very substantial additional effort</t>
  </si>
  <si>
    <t>Moderate escalation risk was assumed because the dependency was relatively localized, limiting the potential for its effects to expand substantially over time.</t>
  </si>
  <si>
    <t>As historical observations of interest growth were unavailable for the constructed scenario, the escalation-risk values were treated as coarse-grained synthetic assumptions used to demonstrate the risk dimension of the Portfolio Theory-based approach, rather than as empirically derived probabilities.</t>
  </si>
  <si>
    <t>Synthetic Escalation-Risk Scale</t>
  </si>
  <si>
    <t>Value</t>
  </si>
  <si>
    <t>Assumed relative risk</t>
  </si>
  <si>
    <t>Moderate</t>
  </si>
  <si>
    <t>Moderately high</t>
  </si>
  <si>
    <t>High</t>
  </si>
  <si>
    <t>Very high</t>
  </si>
  <si>
    <t>Values represent coarse-grained synthetic assumptions of relative interest-growth risk for the constructed scenario and are not empirically derived probabilities.</t>
  </si>
  <si>
    <t>High escalation risk was assumed because continued evolution of the mutually dependent systems could increase the effort required to separate or modify them later.</t>
  </si>
  <si>
    <t>Very high escalation risk was assumed because continued reliance on the shared persistence structure could allow additional dependencies to accumulate over time.</t>
  </si>
  <si>
    <t>High escalation risk was assumed because continued use of vendor-specific technologies could deepen the dependency and increase the effort required for future remediation.</t>
  </si>
  <si>
    <t>EscalationRisk</t>
  </si>
  <si>
    <t>Escalation Risk Justification</t>
  </si>
  <si>
    <t>Moderately high escalation risk was assumed because changes to the connected systems could increase the effort required to restructure the system-specific integrations over time.</t>
  </si>
  <si>
    <t>Complexity Factor: Represents the assumed additional remediation effort incurred if remediation is deferred. The multiplier is applied to the current remediation effort (Principal) to estimate the Interest Amount. Values are coarse-grained synthetic assumptions for the constructed scenario.</t>
  </si>
  <si>
    <t>Escalation risk represents a coarse-grained synthetic assumption of the relative risk that additional remediation effort (interest) will increase if remediation is deferred; values are not empirically derived probabilities.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</si>
</sst>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2" x14ac:knownFonts="1">
    <font>
      <sz val="11"/>
      <color theme="1"/>
      <name val="Calibri"/>
      <family val="2"/>
      <charset val="1"/>
    </font>
    <font>
      <b/>
      <sz val="14"/>
      <color rgb="FFFFFFFF"/>
      <name val="Arial"/>
      <family val="2"/>
    </font>
    <font>
      <sz val="10"/>
      <color rgb="FFFFFFFF"/>
      <name val="Arial"/>
      <family val="2"/>
    </font>
    <font>
      <b/>
      <sz val="11"/>
      <color rgb="FFFFFFFF"/>
      <name val="Arial"/>
      <family val="2"/>
    </font>
    <font>
      <b/>
      <sz val="11"/>
      <color rgb="FF1F3864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1F3864"/>
      <name val="Arial"/>
      <family val="2"/>
    </font>
    <font>
      <b/>
      <sz val="13"/>
      <color rgb="FFFFFFFF"/>
      <name val="Arial"/>
      <family val="2"/>
    </font>
    <font>
      <b/>
      <sz val="9"/>
      <color rgb="FF1F3864"/>
      <name val="Arial"/>
      <family val="2"/>
    </font>
    <font>
      <sz val="9"/>
      <color rgb="FF1F3864"/>
      <name val="Arial"/>
      <family val="2"/>
    </font>
    <font>
      <b/>
      <sz val="11"/>
      <color theme="1"/>
      <name val="Calibri"/>
      <family val="2"/>
      <charset val="1"/>
    </font>
    <font>
      <sz val="10"/>
      <color theme="1"/>
      <name val="Arial Unicode MS"/>
      <family val="2"/>
    </font>
    <font>
      <sz val="10"/>
      <color theme="1"/>
      <name val="Calibri"/>
      <family val="2"/>
      <charset val="1"/>
    </font>
    <font>
      <sz val="16"/>
      <color theme="1"/>
      <name val="Calibri"/>
      <family val="2"/>
      <charset val="1"/>
    </font>
    <font>
      <b/>
      <sz val="10"/>
      <color rgb="FFFFFFFF"/>
      <name val="Arial"/>
      <family val="2"/>
    </font>
    <font>
      <i/>
      <sz val="10"/>
      <color rgb="FF888888"/>
      <name val="Arial"/>
      <family val="2"/>
    </font>
    <font>
      <b/>
      <sz val="9"/>
      <color rgb="FFFFFFFF"/>
      <name val="Arial"/>
      <family val="2"/>
    </font>
    <font>
      <b/>
      <sz val="9"/>
      <color rgb="FF1B4F5F"/>
      <name val="Arial"/>
      <family val="2"/>
    </font>
    <font>
      <sz val="9"/>
      <color rgb="FF404040"/>
      <name val="Arial"/>
      <family val="2"/>
    </font>
    <font>
      <i/>
      <sz val="9"/>
      <color rgb="FF555555"/>
      <name val="Arial"/>
      <family val="2"/>
    </font>
    <font>
      <sz val="12"/>
      <color rgb="FF1F3864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4472C4"/>
      </patternFill>
    </fill>
    <fill>
      <patternFill patternType="solid">
        <fgColor rgb="FFBDD7EE"/>
        <bgColor rgb="FFD9D9D9"/>
      </patternFill>
    </fill>
    <fill>
      <patternFill patternType="solid">
        <fgColor rgb="FFDEEAF1"/>
        <bgColor rgb="FFE2EFDA"/>
      </patternFill>
    </fill>
    <fill>
      <patternFill patternType="solid">
        <fgColor rgb="FFFFFFFF"/>
        <bgColor rgb="FFF2F2F2"/>
      </patternFill>
    </fill>
    <fill>
      <patternFill patternType="solid">
        <fgColor rgb="FFE2EFDA"/>
        <bgColor rgb="FFD9EAD3"/>
      </patternFill>
    </fill>
    <fill>
      <patternFill patternType="solid">
        <fgColor theme="0" tint="-0.14999847407452621"/>
        <bgColor rgb="FFE2EFDA"/>
      </patternFill>
    </fill>
    <fill>
      <patternFill patternType="solid">
        <fgColor theme="9" tint="0.79998168889431442"/>
        <bgColor rgb="FFD9EAD3"/>
      </patternFill>
    </fill>
    <fill>
      <patternFill patternType="solid">
        <fgColor theme="9" tint="0.79998168889431442"/>
        <bgColor rgb="FFF2F2F2"/>
      </patternFill>
    </fill>
    <fill>
      <patternFill patternType="solid">
        <fgColor theme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DED6D1"/>
        <bgColor rgb="FFE2EFDA"/>
      </patternFill>
    </fill>
    <fill>
      <patternFill patternType="solid">
        <fgColor rgb="FFC9962B"/>
        <bgColor rgb="FFB85C00"/>
      </patternFill>
    </fill>
    <fill>
      <patternFill patternType="solid">
        <fgColor rgb="FF1B4F5F"/>
        <bgColor rgb="FF0C447C"/>
      </patternFill>
    </fill>
    <fill>
      <patternFill patternType="solid">
        <fgColor rgb="FF2E7D8C"/>
        <bgColor rgb="FF2E7D3A"/>
      </patternFill>
    </fill>
    <fill>
      <patternFill patternType="solid">
        <fgColor rgb="FFF5F5F5"/>
        <bgColor rgb="FFEEF6F8"/>
      </patternFill>
    </fill>
    <fill>
      <patternFill patternType="solid">
        <fgColor rgb="FFD6EEF2"/>
        <bgColor rgb="FFE0F0FF"/>
      </patternFill>
    </fill>
    <fill>
      <patternFill patternType="solid">
        <fgColor rgb="FFFFFFFF"/>
        <bgColor rgb="FFF7FBFC"/>
      </patternFill>
    </fill>
  </fills>
  <borders count="1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 style="hair">
        <color theme="0" tint="-4.9989318521683403E-2"/>
      </left>
      <right style="hair">
        <color theme="0" tint="-4.9989318521683403E-2"/>
      </right>
      <top style="hair">
        <color theme="0" tint="-4.9989318521683403E-2"/>
      </top>
      <bottom style="hair">
        <color theme="0" tint="-4.9989318521683403E-2"/>
      </bottom>
      <diagonal/>
    </border>
    <border>
      <left style="hair">
        <color theme="0" tint="-4.9989318521683403E-2"/>
      </left>
      <right style="hair">
        <color theme="0" tint="-4.9989318521683403E-2"/>
      </right>
      <top style="hair">
        <color theme="0" tint="-4.9989318521683403E-2"/>
      </top>
      <bottom/>
      <diagonal/>
    </border>
    <border>
      <left style="hair">
        <color theme="0" tint="-4.9989318521683403E-2"/>
      </left>
      <right/>
      <top style="hair">
        <color theme="0" tint="-4.9989318521683403E-2"/>
      </top>
      <bottom style="hair">
        <color theme="0" tint="-4.9989318521683403E-2"/>
      </bottom>
      <diagonal/>
    </border>
    <border>
      <left style="hair">
        <color theme="0" tint="-4.9989318521683403E-2"/>
      </left>
      <right/>
      <top style="hair">
        <color theme="0" tint="-4.9989318521683403E-2"/>
      </top>
      <bottom/>
      <diagonal/>
    </border>
    <border>
      <left/>
      <right/>
      <top/>
      <bottom style="hair">
        <color theme="0" tint="-0.14999847407452621"/>
      </bottom>
      <diagonal/>
    </border>
    <border>
      <left style="hair">
        <color theme="0" tint="-0.14999847407452621"/>
      </left>
      <right style="hair">
        <color theme="0" tint="-0.14999847407452621"/>
      </right>
      <top style="hair">
        <color theme="0" tint="-0.14999847407452621"/>
      </top>
      <bottom style="hair">
        <color theme="0" tint="-0.14999847407452621"/>
      </bottom>
      <diagonal/>
    </border>
    <border>
      <left/>
      <right/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hair">
        <color theme="0" tint="-4.9989318521683403E-2"/>
      </right>
      <top style="hair">
        <color theme="0" tint="-4.9989318521683403E-2"/>
      </top>
      <bottom style="hair">
        <color theme="0" tint="-4.9989318521683403E-2"/>
      </bottom>
      <diagonal/>
    </border>
    <border>
      <left/>
      <right/>
      <top style="hair">
        <color theme="0" tint="-4.9989318521683403E-2"/>
      </top>
      <bottom/>
      <diagonal/>
    </border>
  </borders>
  <cellStyleXfs count="1">
    <xf numFmtId="0" fontId="0" fillId="0" borderId="0"/>
  </cellStyleXfs>
  <cellXfs count="114">
    <xf numFmtId="0" fontId="0" fillId="0" borderId="0" xfId="0"/>
    <xf numFmtId="0" fontId="4" fillId="4" borderId="1" xfId="0" applyFont="1" applyFill="1" applyBorder="1" applyAlignment="1">
      <alignment horizontal="center" vertical="center" wrapText="1"/>
    </xf>
    <xf numFmtId="0" fontId="11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12" fillId="0" borderId="0" xfId="0" applyFont="1"/>
    <xf numFmtId="1" fontId="6" fillId="5" borderId="1" xfId="0" applyNumberFormat="1" applyFont="1" applyFill="1" applyBorder="1" applyAlignment="1">
      <alignment horizontal="center" vertical="center" wrapText="1"/>
    </xf>
    <xf numFmtId="1" fontId="6" fillId="6" borderId="1" xfId="0" applyNumberFormat="1" applyFont="1" applyFill="1" applyBorder="1" applyAlignment="1">
      <alignment horizontal="center" vertical="center" wrapText="1"/>
    </xf>
    <xf numFmtId="164" fontId="6" fillId="5" borderId="1" xfId="0" applyNumberFormat="1" applyFont="1" applyFill="1" applyBorder="1" applyAlignment="1">
      <alignment horizontal="center" vertical="center" wrapText="1"/>
    </xf>
    <xf numFmtId="164" fontId="6" fillId="6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9" fontId="0" fillId="0" borderId="0" xfId="0" applyNumberFormat="1"/>
    <xf numFmtId="0" fontId="11" fillId="0" borderId="0" xfId="0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left"/>
    </xf>
    <xf numFmtId="0" fontId="11" fillId="0" borderId="0" xfId="0" applyFont="1" applyAlignment="1">
      <alignment horizontal="left"/>
    </xf>
    <xf numFmtId="2" fontId="0" fillId="0" borderId="0" xfId="0" applyNumberFormat="1" applyAlignment="1">
      <alignment horizontal="center"/>
    </xf>
    <xf numFmtId="0" fontId="4" fillId="4" borderId="1" xfId="0" applyFont="1" applyFill="1" applyBorder="1" applyAlignment="1">
      <alignment vertical="center" wrapText="1"/>
    </xf>
    <xf numFmtId="0" fontId="6" fillId="5" borderId="1" xfId="0" applyFont="1" applyFill="1" applyBorder="1" applyAlignment="1">
      <alignment vertical="center" wrapText="1"/>
    </xf>
    <xf numFmtId="0" fontId="6" fillId="6" borderId="1" xfId="0" applyFont="1" applyFill="1" applyBorder="1" applyAlignment="1">
      <alignment vertical="center" wrapText="1"/>
    </xf>
    <xf numFmtId="0" fontId="6" fillId="0" borderId="0" xfId="0" applyFont="1" applyAlignment="1">
      <alignment horizontal="center" wrapText="1"/>
    </xf>
    <xf numFmtId="0" fontId="0" fillId="0" borderId="0" xfId="0" applyAlignment="1">
      <alignment horizontal="center" vertical="top" wrapText="1"/>
    </xf>
    <xf numFmtId="0" fontId="5" fillId="5" borderId="4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vertical="center" wrapText="1"/>
    </xf>
    <xf numFmtId="0" fontId="6" fillId="5" borderId="3" xfId="0" applyFont="1" applyFill="1" applyBorder="1" applyAlignment="1">
      <alignment vertical="center" wrapText="1"/>
    </xf>
    <xf numFmtId="0" fontId="0" fillId="0" borderId="3" xfId="0" applyBorder="1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7" xfId="0" applyBorder="1"/>
    <xf numFmtId="0" fontId="4" fillId="4" borderId="8" xfId="0" applyFont="1" applyFill="1" applyBorder="1" applyAlignment="1">
      <alignment horizontal="center" vertical="center"/>
    </xf>
    <xf numFmtId="0" fontId="6" fillId="5" borderId="8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6" fillId="6" borderId="8" xfId="0" applyFont="1" applyFill="1" applyBorder="1" applyAlignment="1">
      <alignment horizontal="center" vertical="center"/>
    </xf>
    <xf numFmtId="0" fontId="6" fillId="5" borderId="8" xfId="0" applyFont="1" applyFill="1" applyBorder="1" applyAlignment="1">
      <alignment horizontal="left" vertical="center"/>
    </xf>
    <xf numFmtId="0" fontId="6" fillId="6" borderId="8" xfId="0" applyFont="1" applyFill="1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4" fillId="4" borderId="8" xfId="0" applyFont="1" applyFill="1" applyBorder="1" applyAlignment="1">
      <alignment horizontal="left" vertical="center"/>
    </xf>
    <xf numFmtId="164" fontId="6" fillId="6" borderId="1" xfId="0" applyNumberFormat="1" applyFont="1" applyFill="1" applyBorder="1" applyAlignment="1">
      <alignment vertical="center" wrapText="1"/>
    </xf>
    <xf numFmtId="164" fontId="6" fillId="5" borderId="1" xfId="0" applyNumberFormat="1" applyFont="1" applyFill="1" applyBorder="1" applyAlignment="1">
      <alignment vertical="center" wrapText="1"/>
    </xf>
    <xf numFmtId="0" fontId="2" fillId="3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0" fillId="15" borderId="0" xfId="0" applyFill="1"/>
    <xf numFmtId="0" fontId="1" fillId="16" borderId="0" xfId="0" applyFont="1" applyFill="1" applyAlignment="1">
      <alignment horizontal="left" vertical="center"/>
    </xf>
    <xf numFmtId="0" fontId="15" fillId="17" borderId="0" xfId="0" applyFont="1" applyFill="1" applyAlignment="1">
      <alignment horizontal="left" vertical="center"/>
    </xf>
    <xf numFmtId="0" fontId="17" fillId="16" borderId="10" xfId="0" applyFont="1" applyFill="1" applyBorder="1" applyAlignment="1">
      <alignment horizontal="center" vertical="center" wrapText="1"/>
    </xf>
    <xf numFmtId="0" fontId="18" fillId="19" borderId="10" xfId="0" applyFont="1" applyFill="1" applyBorder="1" applyAlignment="1">
      <alignment horizontal="left" vertical="top"/>
    </xf>
    <xf numFmtId="0" fontId="19" fillId="19" borderId="10" xfId="0" applyFont="1" applyFill="1" applyBorder="1" applyAlignment="1">
      <alignment horizontal="left" vertical="top" wrapText="1"/>
    </xf>
    <xf numFmtId="0" fontId="20" fillId="19" borderId="10" xfId="0" applyFont="1" applyFill="1" applyBorder="1" applyAlignment="1">
      <alignment horizontal="left" vertical="top" wrapText="1"/>
    </xf>
    <xf numFmtId="0" fontId="18" fillId="20" borderId="10" xfId="0" applyFont="1" applyFill="1" applyBorder="1" applyAlignment="1">
      <alignment horizontal="left" vertical="top"/>
    </xf>
    <xf numFmtId="0" fontId="19" fillId="20" borderId="10" xfId="0" applyFont="1" applyFill="1" applyBorder="1" applyAlignment="1">
      <alignment horizontal="left" vertical="top" wrapText="1"/>
    </xf>
    <xf numFmtId="0" fontId="20" fillId="20" borderId="10" xfId="0" applyFont="1" applyFill="1" applyBorder="1" applyAlignment="1">
      <alignment horizontal="left" vertical="top" wrapText="1"/>
    </xf>
    <xf numFmtId="0" fontId="9" fillId="4" borderId="12" xfId="0" applyFont="1" applyFill="1" applyBorder="1" applyAlignment="1">
      <alignment horizontal="left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5" fillId="5" borderId="12" xfId="0" applyFont="1" applyFill="1" applyBorder="1" applyAlignment="1">
      <alignment horizontal="left" vertical="center" wrapText="1"/>
    </xf>
    <xf numFmtId="0" fontId="6" fillId="5" borderId="12" xfId="0" applyFont="1" applyFill="1" applyBorder="1" applyAlignment="1">
      <alignment horizontal="left" vertical="center" wrapText="1"/>
    </xf>
    <xf numFmtId="0" fontId="5" fillId="5" borderId="12" xfId="0" applyFont="1" applyFill="1" applyBorder="1" applyAlignment="1">
      <alignment horizontal="center" vertical="center" wrapText="1"/>
    </xf>
    <xf numFmtId="1" fontId="7" fillId="7" borderId="12" xfId="0" applyNumberFormat="1" applyFont="1" applyFill="1" applyBorder="1" applyAlignment="1">
      <alignment horizontal="center" vertical="center"/>
    </xf>
    <xf numFmtId="1" fontId="7" fillId="9" borderId="12" xfId="0" applyNumberFormat="1" applyFont="1" applyFill="1" applyBorder="1" applyAlignment="1">
      <alignment horizontal="center" vertical="center"/>
    </xf>
    <xf numFmtId="0" fontId="6" fillId="10" borderId="12" xfId="0" applyFont="1" applyFill="1" applyBorder="1" applyAlignment="1">
      <alignment horizontal="center" vertical="center" wrapText="1"/>
    </xf>
    <xf numFmtId="0" fontId="5" fillId="6" borderId="12" xfId="0" applyFont="1" applyFill="1" applyBorder="1" applyAlignment="1">
      <alignment horizontal="left" vertical="center" wrapText="1"/>
    </xf>
    <xf numFmtId="0" fontId="5" fillId="6" borderId="12" xfId="0" applyFont="1" applyFill="1" applyBorder="1" applyAlignment="1">
      <alignment horizontal="center" vertical="center" wrapText="1"/>
    </xf>
    <xf numFmtId="0" fontId="6" fillId="6" borderId="12" xfId="0" applyFont="1" applyFill="1" applyBorder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9" fontId="6" fillId="0" borderId="0" xfId="0" applyNumberFormat="1" applyFont="1" applyAlignment="1">
      <alignment vertical="center" wrapText="1"/>
    </xf>
    <xf numFmtId="9" fontId="13" fillId="0" borderId="0" xfId="0" applyNumberFormat="1" applyFont="1" applyAlignment="1">
      <alignment vertical="center"/>
    </xf>
    <xf numFmtId="0" fontId="6" fillId="6" borderId="12" xfId="0" applyFont="1" applyFill="1" applyBorder="1" applyAlignment="1">
      <alignment horizontal="center" vertical="center" wrapText="1"/>
    </xf>
    <xf numFmtId="0" fontId="6" fillId="5" borderId="12" xfId="0" applyFont="1" applyFill="1" applyBorder="1" applyAlignment="1">
      <alignment horizontal="center" vertical="center" wrapText="1"/>
    </xf>
    <xf numFmtId="2" fontId="6" fillId="5" borderId="4" xfId="0" applyNumberFormat="1" applyFont="1" applyFill="1" applyBorder="1" applyAlignment="1">
      <alignment horizontal="center" vertical="center" wrapText="1"/>
    </xf>
    <xf numFmtId="2" fontId="13" fillId="0" borderId="3" xfId="0" applyNumberFormat="1" applyFont="1" applyBorder="1" applyAlignment="1">
      <alignment horizontal="center" vertical="center"/>
    </xf>
    <xf numFmtId="2" fontId="6" fillId="5" borderId="6" xfId="0" applyNumberFormat="1" applyFont="1" applyFill="1" applyBorder="1" applyAlignment="1">
      <alignment horizontal="center" vertical="center" wrapText="1"/>
    </xf>
    <xf numFmtId="2" fontId="13" fillId="0" borderId="5" xfId="0" applyNumberFormat="1" applyFont="1" applyBorder="1" applyAlignment="1">
      <alignment horizontal="center" vertical="center"/>
    </xf>
    <xf numFmtId="0" fontId="0" fillId="0" borderId="0" xfId="0" applyAlignment="1">
      <alignment wrapText="1"/>
    </xf>
    <xf numFmtId="0" fontId="6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10" fillId="0" borderId="0" xfId="0" applyFont="1" applyAlignment="1">
      <alignment vertical="center" wrapText="1"/>
    </xf>
    <xf numFmtId="0" fontId="21" fillId="0" borderId="0" xfId="0" applyFont="1" applyAlignment="1">
      <alignment vertical="center" wrapText="1"/>
    </xf>
    <xf numFmtId="0" fontId="6" fillId="0" borderId="12" xfId="0" applyFont="1" applyBorder="1" applyAlignment="1">
      <alignment horizontal="left" vertical="center" wrapText="1"/>
    </xf>
    <xf numFmtId="0" fontId="5" fillId="0" borderId="12" xfId="0" applyFont="1" applyBorder="1" applyAlignment="1">
      <alignment horizontal="center" vertical="center" wrapText="1"/>
    </xf>
    <xf numFmtId="0" fontId="9" fillId="8" borderId="12" xfId="0" applyFont="1" applyFill="1" applyBorder="1" applyAlignment="1">
      <alignment horizontal="center" vertical="center" wrapText="1"/>
    </xf>
    <xf numFmtId="0" fontId="0" fillId="0" borderId="0" xfId="0" applyAlignment="1">
      <alignment vertical="top" wrapText="1"/>
    </xf>
    <xf numFmtId="0" fontId="16" fillId="18" borderId="0" xfId="0" applyFont="1" applyFill="1" applyAlignment="1">
      <alignment horizontal="center" vertical="center" wrapText="1"/>
    </xf>
    <xf numFmtId="0" fontId="15" fillId="17" borderId="9" xfId="0" applyFont="1" applyFill="1" applyBorder="1" applyAlignment="1">
      <alignment horizontal="left" vertical="center"/>
    </xf>
    <xf numFmtId="0" fontId="20" fillId="0" borderId="11" xfId="0" applyFont="1" applyBorder="1" applyAlignment="1">
      <alignment horizontal="left" vertical="center"/>
    </xf>
    <xf numFmtId="0" fontId="9" fillId="0" borderId="0" xfId="0" applyFont="1" applyAlignment="1">
      <alignment horizontal="center" vertical="center" wrapText="1"/>
    </xf>
    <xf numFmtId="0" fontId="0" fillId="11" borderId="0" xfId="0" applyFill="1" applyAlignment="1">
      <alignment horizontal="center"/>
    </xf>
    <xf numFmtId="0" fontId="6" fillId="0" borderId="0" xfId="0" applyFont="1" applyAlignment="1">
      <alignment horizontal="left" vertical="center" wrapText="1"/>
    </xf>
    <xf numFmtId="0" fontId="15" fillId="3" borderId="0" xfId="0" applyFont="1" applyFill="1" applyAlignment="1">
      <alignment horizontal="center" vertical="center" wrapText="1"/>
    </xf>
    <xf numFmtId="0" fontId="6" fillId="5" borderId="12" xfId="0" applyFont="1" applyFill="1" applyBorder="1" applyAlignment="1">
      <alignment horizontal="left" vertical="center" wrapText="1"/>
    </xf>
    <xf numFmtId="0" fontId="6" fillId="6" borderId="12" xfId="0" applyFont="1" applyFill="1" applyBorder="1" applyAlignment="1">
      <alignment horizontal="left" vertical="center" wrapText="1"/>
    </xf>
    <xf numFmtId="0" fontId="3" fillId="3" borderId="0" xfId="0" applyFont="1" applyFill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4" fillId="4" borderId="12" xfId="0" applyFont="1" applyFill="1" applyBorder="1" applyAlignment="1">
      <alignment horizontal="left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21" fillId="5" borderId="0" xfId="0" applyFont="1" applyFill="1" applyAlignment="1">
      <alignment horizontal="center" vertical="center" wrapText="1"/>
    </xf>
    <xf numFmtId="0" fontId="10" fillId="14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0" fillId="0" borderId="0" xfId="0" applyAlignment="1">
      <alignment horizontal="left" vertical="top" wrapText="1"/>
    </xf>
    <xf numFmtId="0" fontId="4" fillId="4" borderId="6" xfId="0" applyFont="1" applyFill="1" applyBorder="1" applyAlignment="1">
      <alignment horizontal="center" vertical="center" wrapText="1"/>
    </xf>
    <xf numFmtId="0" fontId="4" fillId="4" borderId="1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5" borderId="13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4" fillId="4" borderId="12" xfId="0" applyFont="1" applyFill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14" fillId="12" borderId="0" xfId="0" applyFont="1" applyFill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13" borderId="7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7030A0"/>
      <rgbColor rgb="FFFFF2CC"/>
      <rgbColor rgb="FFDEEAF1"/>
      <rgbColor rgb="FF660066"/>
      <rgbColor rgb="FFFF8080"/>
      <rgbColor rgb="FF2E75B6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D9EAD3"/>
      <rgbColor rgb="FFF2F2F2"/>
      <rgbColor rgb="FFA9D18E"/>
      <rgbColor rgb="FFFF99CC"/>
      <rgbColor rgb="FFD9D9D9"/>
      <rgbColor rgb="FFFCE4D6"/>
      <rgbColor rgb="FF4472C4"/>
      <rgbColor rgb="FF33CCCC"/>
      <rgbColor rgb="FF99CC00"/>
      <rgbColor rgb="FFFFCC00"/>
      <rgbColor rgb="FFFF9900"/>
      <rgbColor rgb="FFED7D31"/>
      <rgbColor rgb="FF595959"/>
      <rgbColor rgb="FFB3B3B3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Structure" Target="richData/rdrichvaluestructure.xml"/><Relationship Id="rId5" Type="http://schemas.openxmlformats.org/officeDocument/2006/relationships/theme" Target="theme/theme1.xml"/><Relationship Id="rId10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microsoft.com/office/2022/10/relationships/richValueRel" Target="richData/richValueRel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  <a:latin typeface="+mn-lt"/>
                <a:ea typeface="+mn-ea"/>
                <a:cs typeface="+mn-cs"/>
              </a:defRPr>
            </a:pPr>
            <a:r>
              <a:rPr lang="en-US" sz="2000" b="1"/>
              <a:t>Risk–Return Representation of EA Smell Instances</a:t>
            </a:r>
            <a:endParaRPr lang="en-US" sz="2000" b="1" i="0" u="none" strike="noStrike" kern="1200" spc="0" baseline="0">
              <a:solidFill>
                <a:srgbClr val="000000">
                  <a:lumMod val="65000"/>
                  <a:lumOff val="35000"/>
                </a:srgbClr>
              </a:solidFill>
              <a:latin typeface="+mn-lt"/>
              <a:ea typeface="+mn-ea"/>
              <a:cs typeface="+mn-cs"/>
            </a:endParaRPr>
          </a:p>
        </c:rich>
      </c:tx>
      <c:layout>
        <c:manualLayout>
          <c:xMode val="edge"/>
          <c:yMode val="edge"/>
          <c:x val="0.32909656860023739"/>
          <c:y val="2.39840977699659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rgbClr val="000000">
                  <a:lumMod val="65000"/>
                  <a:lumOff val="35000"/>
                </a:srgb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7226173541963011E-2"/>
          <c:y val="9.4859335038363177E-2"/>
          <c:w val="0.88895095261029777"/>
          <c:h val="0.76602291721207472"/>
        </c:manualLayout>
      </c:layout>
      <c:scatterChart>
        <c:scatterStyle val="lineMarker"/>
        <c:varyColors val="0"/>
        <c:ser>
          <c:idx val="1"/>
          <c:order val="0"/>
          <c:tx>
            <c:strRef>
              <c:f>'1.2. Portfolio-Return Chart'!$A$6</c:f>
              <c:strCache>
                <c:ptCount val="1"/>
                <c:pt idx="0">
                  <c:v>S4 - Stovepipe System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20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194AC536-5BF2-4147-8691-6607DD59FD4B}" type="SERIESNAME">
                      <a:rPr lang="en-US" sz="1200"/>
                      <a:pPr/>
                      <a:t>[SERIES NAME]</a:t>
                    </a:fld>
                    <a:r>
                      <a:rPr lang="en-US" baseline="0"/>
                      <a:t>, </a:t>
                    </a:r>
                    <a:fld id="{DC5FA5C9-636F-D84F-9374-CEEF29FDC33A}" type="YVALUE">
                      <a:rPr lang="en-US" baseline="0"/>
                      <a:pPr/>
                      <a:t>[Y VALUE]</a:t>
                    </a:fld>
                    <a:endParaRPr lang="en-US" baseline="0"/>
                  </a:p>
                </c:rich>
              </c:tx>
              <c:dLblPos val="r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6-4C4B-9E42-89C1-E8B973879E0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'1.2. Portfolio-Return Chart'!$C$6</c:f>
              <c:numCache>
                <c:formatCode>0.0</c:formatCode>
                <c:ptCount val="1"/>
                <c:pt idx="0">
                  <c:v>0.6</c:v>
                </c:pt>
              </c:numCache>
            </c:numRef>
          </c:xVal>
          <c:yVal>
            <c:numRef>
              <c:f>'1.2. Portfolio-Return Chart'!$D$6</c:f>
              <c:numCache>
                <c:formatCode>0</c:formatCode>
                <c:ptCount val="1"/>
                <c:pt idx="0">
                  <c:v>33.824000000000005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C4B-9E42-89C1-E8B973879E04}"/>
            </c:ext>
          </c:extLst>
        </c:ser>
        <c:ser>
          <c:idx val="0"/>
          <c:order val="1"/>
          <c:tx>
            <c:strRef>
              <c:f>'1.2. Portfolio-Return Chart'!$A$7</c:f>
              <c:strCache>
                <c:ptCount val="1"/>
                <c:pt idx="0">
                  <c:v>S1 - Shared Persistency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20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'1.2. Portfolio-Return Chart'!$C$7</c:f>
              <c:numCache>
                <c:formatCode>0.0</c:formatCode>
                <c:ptCount val="1"/>
                <c:pt idx="0">
                  <c:v>0.8</c:v>
                </c:pt>
              </c:numCache>
            </c:numRef>
          </c:xVal>
          <c:yVal>
            <c:numRef>
              <c:f>'1.2. Portfolio-Return Chart'!$D$7</c:f>
              <c:numCache>
                <c:formatCode>0</c:formatCode>
                <c:ptCount val="1"/>
                <c:pt idx="0">
                  <c:v>27.864000000000011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C4B-9E42-89C1-E8B973879E04}"/>
            </c:ext>
          </c:extLst>
        </c:ser>
        <c:ser>
          <c:idx val="2"/>
          <c:order val="2"/>
          <c:tx>
            <c:strRef>
              <c:f>'1.2. Portfolio-Return Chart'!$A$8</c:f>
              <c:strCache>
                <c:ptCount val="1"/>
                <c:pt idx="0">
                  <c:v>S3 - Cyclic Dependency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20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'1.2. Portfolio-Return Chart'!$C$8</c:f>
              <c:numCache>
                <c:formatCode>0.0</c:formatCode>
                <c:ptCount val="1"/>
                <c:pt idx="0">
                  <c:v>0.7</c:v>
                </c:pt>
              </c:numCache>
            </c:numRef>
          </c:xVal>
          <c:yVal>
            <c:numRef>
              <c:f>'1.2. Portfolio-Return Chart'!$D$8</c:f>
              <c:numCache>
                <c:formatCode>0</c:formatCode>
                <c:ptCount val="1"/>
                <c:pt idx="0">
                  <c:v>21.672000000000008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C4B-9E42-89C1-E8B973879E04}"/>
            </c:ext>
          </c:extLst>
        </c:ser>
        <c:ser>
          <c:idx val="3"/>
          <c:order val="3"/>
          <c:tx>
            <c:strRef>
              <c:f>'1.2. Portfolio-Return Chart'!$A$9</c:f>
              <c:strCache>
                <c:ptCount val="1"/>
                <c:pt idx="0">
                  <c:v>S5 - Vendor Lock-In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20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'1.2. Portfolio-Return Chart'!$C$9</c:f>
              <c:numCache>
                <c:formatCode>0.0</c:formatCode>
                <c:ptCount val="1"/>
                <c:pt idx="0">
                  <c:v>0.7</c:v>
                </c:pt>
              </c:numCache>
            </c:numRef>
          </c:xVal>
          <c:yVal>
            <c:numRef>
              <c:f>'1.2. Portfolio-Return Chart'!$D$9</c:f>
              <c:numCache>
                <c:formatCode>0</c:formatCode>
                <c:ptCount val="1"/>
                <c:pt idx="0">
                  <c:v>19.328000000000003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C4B-9E42-89C1-E8B973879E04}"/>
            </c:ext>
          </c:extLst>
        </c:ser>
        <c:ser>
          <c:idx val="4"/>
          <c:order val="4"/>
          <c:tx>
            <c:strRef>
              <c:f>'1.2. Portfolio-Return Chart'!$A$10</c:f>
              <c:strCache>
                <c:ptCount val="1"/>
                <c:pt idx="0">
                  <c:v>S2 - Feature Envy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x"/>
            <c:size val="20"/>
            <c:spPr>
              <a:noFill/>
              <a:ln w="9525">
                <a:solidFill>
                  <a:schemeClr val="accent5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'1.2. Portfolio-Return Chart'!$C$10</c:f>
              <c:numCache>
                <c:formatCode>0.0</c:formatCode>
                <c:ptCount val="1"/>
                <c:pt idx="0">
                  <c:v>0.5</c:v>
                </c:pt>
              </c:numCache>
            </c:numRef>
          </c:xVal>
          <c:yVal>
            <c:numRef>
              <c:f>'1.2. Portfolio-Return Chart'!$D$10</c:f>
              <c:numCache>
                <c:formatCode>0</c:formatCode>
                <c:ptCount val="1"/>
                <c:pt idx="0">
                  <c:v>12.207999999999995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C4B-9E42-89C1-E8B973879E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7547584"/>
        <c:axId val="1797374991"/>
      </c:scatterChart>
      <c:valAx>
        <c:axId val="1257547584"/>
        <c:scaling>
          <c:orientation val="minMax"/>
          <c:max val="1"/>
          <c:min val="0"/>
        </c:scaling>
        <c:delete val="0"/>
        <c:axPos val="b"/>
        <c:majorGridlines>
          <c:spPr>
            <a:ln w="635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 i="0" u="none" strike="noStrike" baseline="0"/>
                  <a:t>Escalation Risk </a:t>
                </a:r>
                <a:endParaRPr lang="en-US" sz="12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7374991"/>
        <c:crosses val="autoZero"/>
        <c:crossBetween val="midCat"/>
        <c:majorUnit val="0.1"/>
      </c:valAx>
      <c:valAx>
        <c:axId val="1797374991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chemeClr val="bg1">
                  <a:lumMod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 i="0" u="none" strike="noStrike" baseline="0"/>
                  <a:t>Expected Days Saved</a:t>
                </a:r>
                <a:endParaRPr lang="en-US" sz="12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75475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229152</xdr:colOff>
      <xdr:row>12</xdr:row>
      <xdr:rowOff>73623</xdr:rowOff>
    </xdr:from>
    <xdr:to>
      <xdr:col>14</xdr:col>
      <xdr:colOff>588985</xdr:colOff>
      <xdr:row>44</xdr:row>
      <xdr:rowOff>110435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E888CA7-A604-4652-F7C0-4FDCD0640D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0.61939</cdr:x>
      <cdr:y>0.04797</cdr:y>
    </cdr:from>
    <cdr:to>
      <cdr:x>0.96671</cdr:x>
      <cdr:y>0.14321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4E926937-6728-9C06-E0EB-0C3BE74A210D}"/>
            </a:ext>
          </a:extLst>
        </cdr:cNvPr>
        <cdr:cNvSpPr txBox="1"/>
      </cdr:nvSpPr>
      <cdr:spPr>
        <a:xfrm xmlns:a="http://schemas.openxmlformats.org/drawingml/2006/main">
          <a:off x="5435600" y="219938"/>
          <a:ext cx="3048000" cy="43663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ctr"/>
          <a:endParaRPr lang="en-US" sz="1100" b="1" kern="1200"/>
        </a:p>
      </cdr:txBody>
    </cdr:sp>
  </cdr:relSizeAnchor>
</c:userShape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3A2CC-0540-BC43-AD65-D265F839D951}">
  <sheetPr>
    <tabColor rgb="FFFFC000"/>
  </sheetPr>
  <dimension ref="A1:G16"/>
  <sheetViews>
    <sheetView showGridLines="0" zoomScale="70" zoomScaleNormal="70" workbookViewId="0">
      <pane xSplit="1" ySplit="4" topLeftCell="B6" activePane="bottomRight" state="frozen"/>
      <selection pane="topRight" activeCell="B1" sqref="B1"/>
      <selection pane="bottomLeft" activeCell="A5" sqref="A5"/>
      <selection pane="bottomRight" activeCell="O7" sqref="O7"/>
    </sheetView>
  </sheetViews>
  <sheetFormatPr baseColWidth="10" defaultColWidth="8.6640625" defaultRowHeight="15" x14ac:dyDescent="0.2"/>
  <cols>
    <col min="1" max="3" width="4" customWidth="1"/>
    <col min="4" max="5" width="25.83203125" customWidth="1"/>
    <col min="6" max="7" width="50.83203125" customWidth="1"/>
  </cols>
  <sheetData>
    <row r="1" spans="1:7" ht="7.5" customHeight="1" x14ac:dyDescent="0.2"/>
    <row r="2" spans="1:7" ht="31.5" customHeight="1" x14ac:dyDescent="0.2">
      <c r="A2" s="45"/>
      <c r="B2" s="45"/>
      <c r="C2" s="45"/>
      <c r="D2" s="46" t="s">
        <v>84</v>
      </c>
      <c r="E2" s="46"/>
      <c r="F2" s="46"/>
      <c r="G2" s="46"/>
    </row>
    <row r="4" spans="1:7" ht="7.5" customHeight="1" x14ac:dyDescent="0.2"/>
    <row r="5" spans="1:7" ht="19.5" customHeight="1" x14ac:dyDescent="0.2">
      <c r="D5" s="47" t="s">
        <v>85</v>
      </c>
      <c r="E5" s="47"/>
      <c r="F5" s="47"/>
      <c r="G5" s="47"/>
    </row>
    <row r="6" spans="1:7" ht="350" customHeight="1" x14ac:dyDescent="0.2">
      <c r="D6" s="84" t="e" vm="1">
        <v>#VALUE!</v>
      </c>
      <c r="E6" s="84"/>
      <c r="F6" s="84"/>
      <c r="G6" s="84"/>
    </row>
    <row r="7" spans="1:7" ht="350" customHeight="1" x14ac:dyDescent="0.2">
      <c r="D7" s="84"/>
      <c r="E7" s="84"/>
      <c r="F7" s="84"/>
      <c r="G7" s="84"/>
    </row>
    <row r="8" spans="1:7" ht="7.5" customHeight="1" x14ac:dyDescent="0.2"/>
    <row r="9" spans="1:7" ht="19.5" customHeight="1" x14ac:dyDescent="0.2">
      <c r="C9" s="85" t="s">
        <v>86</v>
      </c>
      <c r="D9" s="85"/>
      <c r="E9" s="85"/>
      <c r="F9" s="85"/>
      <c r="G9" s="85"/>
    </row>
    <row r="10" spans="1:7" ht="18" customHeight="1" x14ac:dyDescent="0.2">
      <c r="C10" s="48" t="s">
        <v>87</v>
      </c>
      <c r="D10" s="48" t="s">
        <v>8</v>
      </c>
      <c r="E10" s="48" t="s">
        <v>88</v>
      </c>
      <c r="F10" s="48" t="s">
        <v>89</v>
      </c>
      <c r="G10" s="48" t="s">
        <v>90</v>
      </c>
    </row>
    <row r="11" spans="1:7" ht="50" customHeight="1" x14ac:dyDescent="0.2">
      <c r="C11" s="49" t="s">
        <v>91</v>
      </c>
      <c r="D11" s="49" t="s">
        <v>92</v>
      </c>
      <c r="E11" s="50" t="s">
        <v>93</v>
      </c>
      <c r="F11" s="51" t="s">
        <v>94</v>
      </c>
      <c r="G11" s="51" t="s">
        <v>95</v>
      </c>
    </row>
    <row r="12" spans="1:7" ht="50" customHeight="1" x14ac:dyDescent="0.2">
      <c r="C12" s="52" t="s">
        <v>96</v>
      </c>
      <c r="D12" s="52" t="s">
        <v>97</v>
      </c>
      <c r="E12" s="53" t="s">
        <v>98</v>
      </c>
      <c r="F12" s="54" t="s">
        <v>99</v>
      </c>
      <c r="G12" s="54" t="s">
        <v>100</v>
      </c>
    </row>
    <row r="13" spans="1:7" ht="50" customHeight="1" x14ac:dyDescent="0.2">
      <c r="C13" s="49" t="s">
        <v>101</v>
      </c>
      <c r="D13" s="49" t="s">
        <v>102</v>
      </c>
      <c r="E13" s="50" t="s">
        <v>98</v>
      </c>
      <c r="F13" s="51" t="s">
        <v>103</v>
      </c>
      <c r="G13" s="51" t="s">
        <v>104</v>
      </c>
    </row>
    <row r="14" spans="1:7" ht="50" customHeight="1" x14ac:dyDescent="0.2">
      <c r="C14" s="52" t="s">
        <v>105</v>
      </c>
      <c r="D14" s="52" t="s">
        <v>106</v>
      </c>
      <c r="E14" s="53" t="s">
        <v>93</v>
      </c>
      <c r="F14" s="54" t="s">
        <v>107</v>
      </c>
      <c r="G14" s="54" t="s">
        <v>108</v>
      </c>
    </row>
    <row r="15" spans="1:7" ht="50" customHeight="1" x14ac:dyDescent="0.2">
      <c r="C15" s="49" t="s">
        <v>109</v>
      </c>
      <c r="D15" s="49" t="s">
        <v>110</v>
      </c>
      <c r="E15" s="50" t="s">
        <v>111</v>
      </c>
      <c r="F15" s="51" t="s">
        <v>112</v>
      </c>
      <c r="G15" s="51" t="s">
        <v>113</v>
      </c>
    </row>
    <row r="16" spans="1:7" ht="13.5" customHeight="1" x14ac:dyDescent="0.2">
      <c r="D16" s="86"/>
      <c r="E16" s="86"/>
      <c r="F16" s="86"/>
    </row>
  </sheetData>
  <mergeCells count="3">
    <mergeCell ref="D6:G7"/>
    <mergeCell ref="C9:G9"/>
    <mergeCell ref="D16:F16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7F842-ECDE-814F-82E3-81E1F176B26F}">
  <sheetPr codeName="Sheet1"/>
  <dimension ref="A1:W75"/>
  <sheetViews>
    <sheetView showGridLines="0" tabSelected="1" zoomScale="57" zoomScaleNormal="80" workbookViewId="0">
      <selection activeCell="U9" sqref="U9:W11"/>
    </sheetView>
  </sheetViews>
  <sheetFormatPr baseColWidth="10" defaultColWidth="8.6640625" defaultRowHeight="15" x14ac:dyDescent="0.2"/>
  <cols>
    <col min="1" max="1" width="3.83203125" customWidth="1"/>
    <col min="2" max="3" width="27.83203125" style="14" customWidth="1"/>
    <col min="4" max="4" width="10.83203125" customWidth="1"/>
    <col min="5" max="5" width="27.83203125" customWidth="1"/>
    <col min="6" max="6" width="10.83203125" customWidth="1"/>
    <col min="7" max="7" width="27.83203125" customWidth="1"/>
    <col min="8" max="8" width="10.83203125" customWidth="1"/>
    <col min="9" max="9" width="27.83203125" customWidth="1"/>
    <col min="10" max="12" width="10.83203125" customWidth="1"/>
    <col min="13" max="13" width="29.33203125" style="14" customWidth="1"/>
    <col min="14" max="14" width="27.83203125" style="14" customWidth="1"/>
    <col min="18" max="18" width="17.6640625" customWidth="1"/>
    <col min="19" max="19" width="32.33203125" customWidth="1"/>
  </cols>
  <sheetData>
    <row r="1" spans="1:23" ht="36" customHeight="1" x14ac:dyDescent="0.2">
      <c r="B1" s="94" t="s">
        <v>0</v>
      </c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Q1" s="93" t="s">
        <v>1</v>
      </c>
      <c r="R1" s="93"/>
      <c r="S1" s="93"/>
      <c r="U1" s="90" t="s">
        <v>125</v>
      </c>
      <c r="V1" s="90"/>
      <c r="W1" s="90"/>
    </row>
    <row r="2" spans="1:23" ht="15" customHeight="1" x14ac:dyDescent="0.2">
      <c r="B2" s="4"/>
      <c r="C2" s="4"/>
      <c r="D2" s="3"/>
      <c r="E2" s="3"/>
      <c r="F2" s="3"/>
      <c r="G2" s="3"/>
      <c r="H2" s="3"/>
      <c r="I2" s="3"/>
      <c r="J2" s="3"/>
      <c r="K2" s="3"/>
      <c r="L2" s="3"/>
      <c r="M2" s="4"/>
      <c r="N2" s="4"/>
      <c r="O2" s="3"/>
      <c r="P2" s="3"/>
      <c r="T2" s="3"/>
    </row>
    <row r="3" spans="1:23" s="10" customFormat="1" ht="35" customHeight="1" x14ac:dyDescent="0.2">
      <c r="A3" s="13"/>
      <c r="B3" s="93" t="s">
        <v>2</v>
      </c>
      <c r="C3" s="93"/>
      <c r="D3" s="93"/>
      <c r="E3" s="93"/>
      <c r="F3" s="93"/>
      <c r="G3" s="93"/>
      <c r="H3" s="93"/>
      <c r="I3" s="93"/>
      <c r="J3" s="93"/>
      <c r="K3" s="93"/>
      <c r="L3" s="93"/>
      <c r="M3" s="93"/>
      <c r="N3" s="93"/>
      <c r="O3" s="93"/>
      <c r="P3" s="3"/>
      <c r="Q3" s="24" t="s">
        <v>3</v>
      </c>
      <c r="R3" s="25" t="s">
        <v>4</v>
      </c>
      <c r="S3" s="27" t="s">
        <v>5</v>
      </c>
      <c r="T3" s="3"/>
      <c r="U3" s="25" t="s">
        <v>126</v>
      </c>
      <c r="V3" s="101" t="s">
        <v>127</v>
      </c>
      <c r="W3" s="102"/>
    </row>
    <row r="4" spans="1:23" s="10" customFormat="1" ht="35" customHeight="1" x14ac:dyDescent="0.2">
      <c r="A4" s="20"/>
      <c r="B4" s="97" t="s">
        <v>6</v>
      </c>
      <c r="C4" s="97"/>
      <c r="D4" s="97"/>
      <c r="E4" s="97"/>
      <c r="F4" s="97"/>
      <c r="G4" s="97"/>
      <c r="H4" s="97"/>
      <c r="I4" s="97"/>
      <c r="J4" s="97"/>
      <c r="K4" s="97"/>
      <c r="L4" s="97"/>
      <c r="M4" s="97"/>
      <c r="N4" s="97"/>
      <c r="O4" s="97"/>
      <c r="P4" s="3"/>
      <c r="Q4" s="22" t="s">
        <v>7</v>
      </c>
      <c r="R4" s="71">
        <v>0.2</v>
      </c>
      <c r="S4" s="28" t="s">
        <v>119</v>
      </c>
      <c r="T4" s="3"/>
      <c r="U4" s="71">
        <v>0.5</v>
      </c>
      <c r="V4" s="103" t="s">
        <v>128</v>
      </c>
      <c r="W4" s="104"/>
    </row>
    <row r="5" spans="1:23" s="10" customFormat="1" ht="35" customHeight="1" x14ac:dyDescent="0.2">
      <c r="B5" s="95" t="s">
        <v>8</v>
      </c>
      <c r="C5" s="95" t="s">
        <v>9</v>
      </c>
      <c r="D5" s="107" t="s">
        <v>10</v>
      </c>
      <c r="E5" s="107"/>
      <c r="F5" s="107" t="s">
        <v>11</v>
      </c>
      <c r="G5" s="107"/>
      <c r="H5" s="107" t="s">
        <v>12</v>
      </c>
      <c r="I5" s="107"/>
      <c r="J5" s="96" t="s">
        <v>13</v>
      </c>
      <c r="K5" s="96" t="s">
        <v>14</v>
      </c>
      <c r="L5" s="107" t="s">
        <v>136</v>
      </c>
      <c r="M5" s="107" t="s">
        <v>137</v>
      </c>
      <c r="N5" s="107"/>
      <c r="O5" s="107"/>
      <c r="P5" s="3"/>
      <c r="Q5" s="26" t="s">
        <v>15</v>
      </c>
      <c r="R5" s="72">
        <v>0.4</v>
      </c>
      <c r="S5" s="29" t="s">
        <v>120</v>
      </c>
      <c r="U5" s="72">
        <v>0.6</v>
      </c>
      <c r="V5" s="105" t="s">
        <v>129</v>
      </c>
      <c r="W5" s="106"/>
    </row>
    <row r="6" spans="1:23" s="10" customFormat="1" ht="35" customHeight="1" x14ac:dyDescent="0.2">
      <c r="A6" s="20"/>
      <c r="B6" s="95"/>
      <c r="C6" s="95"/>
      <c r="D6" s="82" t="s">
        <v>16</v>
      </c>
      <c r="E6" s="82" t="s">
        <v>17</v>
      </c>
      <c r="F6" s="82" t="s">
        <v>16</v>
      </c>
      <c r="G6" s="82" t="s">
        <v>17</v>
      </c>
      <c r="H6" s="82" t="s">
        <v>16</v>
      </c>
      <c r="I6" s="82" t="s">
        <v>18</v>
      </c>
      <c r="J6" s="96"/>
      <c r="K6" s="96"/>
      <c r="L6" s="107"/>
      <c r="M6" s="107"/>
      <c r="N6" s="107"/>
      <c r="O6" s="107"/>
      <c r="P6" s="3"/>
      <c r="Q6" s="22" t="s">
        <v>19</v>
      </c>
      <c r="R6" s="73">
        <v>0.6</v>
      </c>
      <c r="S6" s="28" t="s">
        <v>121</v>
      </c>
      <c r="U6" s="73">
        <v>0.7</v>
      </c>
      <c r="V6" s="103" t="s">
        <v>130</v>
      </c>
      <c r="W6" s="104"/>
    </row>
    <row r="7" spans="1:23" s="10" customFormat="1" ht="35" customHeight="1" x14ac:dyDescent="0.2">
      <c r="B7" s="57" t="s">
        <v>20</v>
      </c>
      <c r="C7" s="58" t="s">
        <v>115</v>
      </c>
      <c r="D7" s="59">
        <v>3</v>
      </c>
      <c r="E7" s="70" t="s">
        <v>93</v>
      </c>
      <c r="F7" s="59">
        <v>4</v>
      </c>
      <c r="G7" s="70" t="s">
        <v>21</v>
      </c>
      <c r="H7" s="59">
        <v>2</v>
      </c>
      <c r="I7" s="70" t="s">
        <v>22</v>
      </c>
      <c r="J7" s="59" t="s">
        <v>19</v>
      </c>
      <c r="K7" s="70">
        <f>VLOOKUP(J7,$Q$4:$R$7,2,FALSE)</f>
        <v>0.6</v>
      </c>
      <c r="L7" s="70">
        <v>0.8</v>
      </c>
      <c r="M7" s="91" t="s">
        <v>134</v>
      </c>
      <c r="N7" s="91"/>
      <c r="O7" s="91"/>
      <c r="P7" s="76"/>
      <c r="Q7" s="23" t="s">
        <v>23</v>
      </c>
      <c r="R7" s="74">
        <v>0.8</v>
      </c>
      <c r="S7" s="29" t="s">
        <v>122</v>
      </c>
      <c r="U7" s="74">
        <v>0.8</v>
      </c>
      <c r="V7" s="105" t="s">
        <v>131</v>
      </c>
      <c r="W7" s="106"/>
    </row>
    <row r="8" spans="1:23" s="10" customFormat="1" ht="35" customHeight="1" x14ac:dyDescent="0.2">
      <c r="A8" s="3"/>
      <c r="B8" s="63" t="s">
        <v>24</v>
      </c>
      <c r="C8" s="80" t="s">
        <v>116</v>
      </c>
      <c r="D8" s="64">
        <v>2</v>
      </c>
      <c r="E8" s="69" t="s">
        <v>98</v>
      </c>
      <c r="F8" s="64">
        <v>3</v>
      </c>
      <c r="G8" s="69" t="s">
        <v>118</v>
      </c>
      <c r="H8" s="64">
        <v>2</v>
      </c>
      <c r="I8" s="69" t="s">
        <v>25</v>
      </c>
      <c r="J8" s="64" t="s">
        <v>15</v>
      </c>
      <c r="K8" s="69">
        <f>VLOOKUP(J8,$Q$4:$R$7,2,FALSE)</f>
        <v>0.4</v>
      </c>
      <c r="L8" s="69">
        <v>0.5</v>
      </c>
      <c r="M8" s="92" t="s">
        <v>123</v>
      </c>
      <c r="N8" s="92"/>
      <c r="O8" s="92"/>
      <c r="P8" s="76"/>
      <c r="Q8" s="3"/>
      <c r="R8" s="3"/>
      <c r="S8" s="30"/>
      <c r="U8"/>
      <c r="V8"/>
      <c r="W8"/>
    </row>
    <row r="9" spans="1:23" s="10" customFormat="1" ht="35" customHeight="1" x14ac:dyDescent="0.2">
      <c r="A9" s="21"/>
      <c r="B9" s="57" t="s">
        <v>26</v>
      </c>
      <c r="C9" s="58" t="s">
        <v>115</v>
      </c>
      <c r="D9" s="59">
        <v>2</v>
      </c>
      <c r="E9" s="70" t="s">
        <v>98</v>
      </c>
      <c r="F9" s="59">
        <v>4</v>
      </c>
      <c r="G9" s="70" t="s">
        <v>21</v>
      </c>
      <c r="H9" s="59">
        <v>1</v>
      </c>
      <c r="I9" s="70" t="s">
        <v>27</v>
      </c>
      <c r="J9" s="59" t="s">
        <v>15</v>
      </c>
      <c r="K9" s="70">
        <v>0.6</v>
      </c>
      <c r="L9" s="70">
        <v>0.7</v>
      </c>
      <c r="M9" s="91" t="s">
        <v>133</v>
      </c>
      <c r="N9" s="91"/>
      <c r="O9" s="91"/>
      <c r="P9" s="76"/>
      <c r="Q9" s="100" t="s">
        <v>139</v>
      </c>
      <c r="R9" s="100"/>
      <c r="S9" s="100"/>
      <c r="U9" s="100" t="s">
        <v>132</v>
      </c>
      <c r="V9" s="100"/>
      <c r="W9" s="100"/>
    </row>
    <row r="10" spans="1:23" s="10" customFormat="1" ht="35" customHeight="1" x14ac:dyDescent="0.2">
      <c r="B10" s="63" t="s">
        <v>28</v>
      </c>
      <c r="C10" s="65" t="s">
        <v>29</v>
      </c>
      <c r="D10" s="64">
        <v>3</v>
      </c>
      <c r="E10" s="69" t="s">
        <v>93</v>
      </c>
      <c r="F10" s="64">
        <v>3</v>
      </c>
      <c r="G10" s="69" t="s">
        <v>30</v>
      </c>
      <c r="H10" s="64">
        <v>1</v>
      </c>
      <c r="I10" s="69" t="s">
        <v>27</v>
      </c>
      <c r="J10" s="64" t="s">
        <v>23</v>
      </c>
      <c r="K10" s="69">
        <f>VLOOKUP(J10,$Q$4:$R$7,2,FALSE)</f>
        <v>0.8</v>
      </c>
      <c r="L10" s="69">
        <v>0.6</v>
      </c>
      <c r="M10" s="92" t="s">
        <v>138</v>
      </c>
      <c r="N10" s="92"/>
      <c r="O10" s="92"/>
      <c r="P10" s="76"/>
      <c r="Q10" s="100"/>
      <c r="R10" s="100"/>
      <c r="S10" s="100"/>
      <c r="U10" s="100"/>
      <c r="V10" s="100"/>
      <c r="W10" s="100"/>
    </row>
    <row r="11" spans="1:23" s="10" customFormat="1" ht="35" customHeight="1" x14ac:dyDescent="0.2">
      <c r="B11" s="57" t="s">
        <v>31</v>
      </c>
      <c r="C11" s="58" t="s">
        <v>32</v>
      </c>
      <c r="D11" s="59">
        <v>2</v>
      </c>
      <c r="E11" s="70" t="s">
        <v>117</v>
      </c>
      <c r="F11" s="59">
        <v>0</v>
      </c>
      <c r="G11" s="70" t="s">
        <v>33</v>
      </c>
      <c r="H11" s="59">
        <v>2</v>
      </c>
      <c r="I11" s="70" t="s">
        <v>22</v>
      </c>
      <c r="J11" s="59" t="s">
        <v>15</v>
      </c>
      <c r="K11" s="70">
        <v>0.8</v>
      </c>
      <c r="L11" s="70">
        <v>0.7</v>
      </c>
      <c r="M11" s="91" t="s">
        <v>135</v>
      </c>
      <c r="N11" s="91"/>
      <c r="O11" s="91"/>
      <c r="P11" s="76"/>
      <c r="Q11" s="75"/>
      <c r="R11" s="75"/>
      <c r="S11" s="75"/>
      <c r="U11" s="100"/>
      <c r="V11" s="100"/>
      <c r="W11" s="100"/>
    </row>
    <row r="12" spans="1:23" s="10" customFormat="1" ht="35" customHeight="1" x14ac:dyDescent="0.2">
      <c r="B12" s="14"/>
      <c r="C12" s="14"/>
      <c r="M12" s="14"/>
      <c r="N12" s="14"/>
      <c r="Q12" s="75"/>
      <c r="R12" s="75"/>
      <c r="S12" s="75"/>
      <c r="U12" s="83"/>
      <c r="V12" s="83"/>
      <c r="W12" s="83"/>
    </row>
    <row r="13" spans="1:23" s="10" customFormat="1" ht="35" customHeight="1" x14ac:dyDescent="0.2">
      <c r="B13" s="99" t="s">
        <v>34</v>
      </c>
      <c r="C13" s="99"/>
      <c r="D13" s="99"/>
      <c r="E13" s="99"/>
      <c r="F13" s="99"/>
      <c r="G13" s="99"/>
      <c r="H13" s="99"/>
      <c r="I13" s="99"/>
      <c r="J13" s="99"/>
      <c r="K13" s="99"/>
      <c r="L13" s="77"/>
      <c r="M13" s="100" t="s">
        <v>124</v>
      </c>
      <c r="N13" s="100"/>
      <c r="O13" s="100"/>
      <c r="S13"/>
    </row>
    <row r="14" spans="1:23" s="10" customFormat="1" ht="35" customHeight="1" x14ac:dyDescent="0.2">
      <c r="B14" s="98" t="s">
        <v>83</v>
      </c>
      <c r="C14" s="98"/>
      <c r="D14" s="98"/>
      <c r="E14" s="98"/>
      <c r="F14" s="98"/>
      <c r="G14" s="98"/>
      <c r="H14" s="98"/>
      <c r="I14" s="98"/>
      <c r="J14" s="98"/>
      <c r="K14" s="98"/>
      <c r="L14" s="78"/>
      <c r="M14" s="100"/>
      <c r="N14" s="100"/>
      <c r="O14" s="100"/>
    </row>
    <row r="15" spans="1:23" s="10" customFormat="1" ht="35" customHeight="1" x14ac:dyDescent="0.2">
      <c r="B15" s="97" t="s">
        <v>114</v>
      </c>
      <c r="C15" s="97"/>
      <c r="D15" s="97"/>
      <c r="E15" s="97"/>
      <c r="F15" s="97"/>
      <c r="G15" s="97"/>
      <c r="H15" s="97"/>
      <c r="I15" s="97"/>
      <c r="J15" s="97"/>
      <c r="K15" s="97"/>
      <c r="L15" s="79"/>
      <c r="M15" s="100"/>
      <c r="N15" s="100"/>
      <c r="O15" s="100"/>
    </row>
    <row r="16" spans="1:23" s="10" customFormat="1" ht="35" customHeight="1" x14ac:dyDescent="0.2">
      <c r="B16" s="55" t="s">
        <v>8</v>
      </c>
      <c r="C16" s="55" t="s">
        <v>35</v>
      </c>
      <c r="D16" s="56" t="s">
        <v>36</v>
      </c>
      <c r="E16" s="56" t="s">
        <v>37</v>
      </c>
      <c r="F16" s="56" t="s">
        <v>38</v>
      </c>
      <c r="G16" s="56" t="s">
        <v>39</v>
      </c>
      <c r="H16" s="56" t="s">
        <v>40</v>
      </c>
      <c r="I16" s="56" t="s">
        <v>41</v>
      </c>
      <c r="J16" s="56" t="s">
        <v>42</v>
      </c>
      <c r="K16" s="56" t="s">
        <v>43</v>
      </c>
      <c r="L16" s="87"/>
      <c r="M16" s="87"/>
      <c r="N16" s="87"/>
      <c r="R16" s="66"/>
      <c r="S16" s="67"/>
    </row>
    <row r="17" spans="2:19" s="10" customFormat="1" ht="35" customHeight="1" x14ac:dyDescent="0.2">
      <c r="B17" s="57" t="str">
        <f>B7</f>
        <v>S1 - Shared Persistency</v>
      </c>
      <c r="C17" s="58" t="s">
        <v>115</v>
      </c>
      <c r="D17" s="59">
        <f>D7+F7+H7</f>
        <v>9</v>
      </c>
      <c r="E17" s="60">
        <f>D17*8</f>
        <v>72</v>
      </c>
      <c r="F17" s="59">
        <f>K7</f>
        <v>0.6</v>
      </c>
      <c r="G17" s="60">
        <f>E17*F17</f>
        <v>43.199999999999996</v>
      </c>
      <c r="H17" s="59">
        <v>3</v>
      </c>
      <c r="I17" s="60">
        <f>E17*(1+G17/E17)^H17-E17</f>
        <v>222.91200000000009</v>
      </c>
      <c r="J17" s="61">
        <f>I17/8</f>
        <v>27.864000000000011</v>
      </c>
      <c r="K17" s="62">
        <f>L7</f>
        <v>0.8</v>
      </c>
      <c r="L17" s="89"/>
      <c r="M17" s="89"/>
      <c r="N17" s="89"/>
      <c r="Q17"/>
      <c r="R17" s="66"/>
      <c r="S17" s="68"/>
    </row>
    <row r="18" spans="2:19" s="10" customFormat="1" ht="35" customHeight="1" x14ac:dyDescent="0.2">
      <c r="B18" s="63" t="str">
        <f t="shared" ref="B18:B21" si="0">B8</f>
        <v>S2 - Feature Envy</v>
      </c>
      <c r="C18" s="80" t="s">
        <v>116</v>
      </c>
      <c r="D18" s="81">
        <f t="shared" ref="D18:D21" si="1">D8+F8+H8</f>
        <v>7</v>
      </c>
      <c r="E18" s="60">
        <f t="shared" ref="E18:E21" si="2">D18*8</f>
        <v>56</v>
      </c>
      <c r="F18" s="81">
        <f t="shared" ref="F18:F21" si="3">K8</f>
        <v>0.4</v>
      </c>
      <c r="G18" s="60">
        <f t="shared" ref="G18:G21" si="4">E18*F18</f>
        <v>22.400000000000002</v>
      </c>
      <c r="H18" s="64">
        <v>3</v>
      </c>
      <c r="I18" s="60">
        <f t="shared" ref="I18:I21" si="5">E18*(1+G18/E18)^H18-E18</f>
        <v>97.663999999999959</v>
      </c>
      <c r="J18" s="61">
        <f t="shared" ref="J18:J21" si="6">I18/8</f>
        <v>12.207999999999995</v>
      </c>
      <c r="K18" s="62">
        <f t="shared" ref="K18:K21" si="7">L8</f>
        <v>0.5</v>
      </c>
      <c r="L18" s="89"/>
      <c r="M18" s="89"/>
      <c r="N18" s="89"/>
      <c r="R18" s="66"/>
      <c r="S18" s="67"/>
    </row>
    <row r="19" spans="2:19" s="10" customFormat="1" ht="35" customHeight="1" x14ac:dyDescent="0.2">
      <c r="B19" s="57" t="str">
        <f t="shared" si="0"/>
        <v>S3 - Cyclic Dependency</v>
      </c>
      <c r="C19" s="58" t="s">
        <v>115</v>
      </c>
      <c r="D19" s="59">
        <f t="shared" si="1"/>
        <v>7</v>
      </c>
      <c r="E19" s="60">
        <f t="shared" si="2"/>
        <v>56</v>
      </c>
      <c r="F19" s="59">
        <f t="shared" si="3"/>
        <v>0.6</v>
      </c>
      <c r="G19" s="60">
        <f t="shared" si="4"/>
        <v>33.6</v>
      </c>
      <c r="H19" s="59">
        <v>3</v>
      </c>
      <c r="I19" s="60">
        <f t="shared" si="5"/>
        <v>173.37600000000006</v>
      </c>
      <c r="J19" s="61">
        <f t="shared" si="6"/>
        <v>21.672000000000008</v>
      </c>
      <c r="K19" s="62">
        <f t="shared" si="7"/>
        <v>0.7</v>
      </c>
      <c r="L19" s="89"/>
      <c r="M19" s="89"/>
      <c r="N19" s="89"/>
      <c r="R19" s="66"/>
      <c r="S19" s="68"/>
    </row>
    <row r="20" spans="2:19" s="10" customFormat="1" ht="35" customHeight="1" x14ac:dyDescent="0.2">
      <c r="B20" s="63" t="str">
        <f t="shared" si="0"/>
        <v>S4 - Stovepipe System</v>
      </c>
      <c r="C20" s="65" t="s">
        <v>29</v>
      </c>
      <c r="D20" s="64">
        <f t="shared" si="1"/>
        <v>7</v>
      </c>
      <c r="E20" s="60">
        <f t="shared" si="2"/>
        <v>56</v>
      </c>
      <c r="F20" s="64">
        <f t="shared" si="3"/>
        <v>0.8</v>
      </c>
      <c r="G20" s="60">
        <f t="shared" si="4"/>
        <v>44.800000000000004</v>
      </c>
      <c r="H20" s="64">
        <v>3</v>
      </c>
      <c r="I20" s="60">
        <f t="shared" si="5"/>
        <v>270.59200000000004</v>
      </c>
      <c r="J20" s="61">
        <f t="shared" si="6"/>
        <v>33.824000000000005</v>
      </c>
      <c r="K20" s="62">
        <f t="shared" si="7"/>
        <v>0.6</v>
      </c>
      <c r="L20" s="89"/>
      <c r="M20" s="89"/>
      <c r="N20" s="89"/>
      <c r="R20" s="66"/>
      <c r="S20" s="67"/>
    </row>
    <row r="21" spans="2:19" s="10" customFormat="1" ht="35" customHeight="1" x14ac:dyDescent="0.2">
      <c r="B21" s="57" t="str">
        <f t="shared" si="0"/>
        <v>S5 - Vendor Lock-In</v>
      </c>
      <c r="C21" s="58" t="s">
        <v>32</v>
      </c>
      <c r="D21" s="59">
        <f t="shared" si="1"/>
        <v>4</v>
      </c>
      <c r="E21" s="60">
        <f t="shared" si="2"/>
        <v>32</v>
      </c>
      <c r="F21" s="59">
        <f t="shared" si="3"/>
        <v>0.8</v>
      </c>
      <c r="G21" s="60">
        <f t="shared" si="4"/>
        <v>25.6</v>
      </c>
      <c r="H21" s="59">
        <v>3</v>
      </c>
      <c r="I21" s="60">
        <f t="shared" si="5"/>
        <v>154.62400000000002</v>
      </c>
      <c r="J21" s="61">
        <f t="shared" si="6"/>
        <v>19.328000000000003</v>
      </c>
      <c r="K21" s="62">
        <f t="shared" si="7"/>
        <v>0.7</v>
      </c>
      <c r="L21" s="89"/>
      <c r="M21" s="89"/>
      <c r="N21" s="89"/>
      <c r="S21"/>
    </row>
    <row r="22" spans="2:19" x14ac:dyDescent="0.2">
      <c r="J22" s="88" t="s">
        <v>44</v>
      </c>
      <c r="K22" s="88"/>
    </row>
    <row r="23" spans="2:19" ht="15" customHeight="1" x14ac:dyDescent="0.2"/>
    <row r="24" spans="2:19" ht="18" customHeight="1" x14ac:dyDescent="0.2"/>
    <row r="25" spans="2:19" ht="36" customHeight="1" x14ac:dyDescent="0.2">
      <c r="O25" s="2"/>
      <c r="P25" s="2"/>
    </row>
    <row r="26" spans="2:19" ht="21.75" customHeight="1" x14ac:dyDescent="0.2">
      <c r="M26" s="2"/>
      <c r="N26" s="2"/>
    </row>
    <row r="27" spans="2:19" ht="21.75" customHeight="1" x14ac:dyDescent="0.2">
      <c r="M27" s="2"/>
      <c r="N27" s="2"/>
    </row>
    <row r="28" spans="2:19" ht="21.75" customHeight="1" x14ac:dyDescent="0.2">
      <c r="M28" s="2"/>
      <c r="N28" s="2"/>
    </row>
    <row r="29" spans="2:19" ht="21.75" customHeight="1" x14ac:dyDescent="0.2">
      <c r="L29" s="2"/>
      <c r="M29" s="2"/>
      <c r="N29" s="2"/>
    </row>
    <row r="30" spans="2:19" ht="21.75" customHeight="1" x14ac:dyDescent="0.2">
      <c r="I30" s="2"/>
      <c r="J30" s="2"/>
      <c r="K30" s="2"/>
      <c r="L30" s="2"/>
      <c r="M30" s="2"/>
      <c r="N30" s="2"/>
    </row>
    <row r="31" spans="2:19" x14ac:dyDescent="0.2">
      <c r="L31" s="2"/>
    </row>
    <row r="32" spans="2:19" x14ac:dyDescent="0.2">
      <c r="L32" s="2"/>
    </row>
    <row r="33" spans="2:12" x14ac:dyDescent="0.2">
      <c r="B33" s="15"/>
      <c r="C33" s="15"/>
      <c r="D33" s="2"/>
      <c r="E33" s="2"/>
      <c r="L33" s="2"/>
    </row>
    <row r="34" spans="2:12" x14ac:dyDescent="0.2">
      <c r="B34" s="15"/>
      <c r="C34" s="15"/>
      <c r="D34" s="12"/>
      <c r="E34" s="12"/>
      <c r="F34" s="12"/>
      <c r="G34" s="12"/>
      <c r="H34" s="12"/>
    </row>
    <row r="35" spans="2:12" x14ac:dyDescent="0.2">
      <c r="D35" s="10"/>
      <c r="E35" s="10"/>
      <c r="F35" s="10"/>
      <c r="G35" s="10"/>
      <c r="H35" s="10"/>
    </row>
    <row r="36" spans="2:12" x14ac:dyDescent="0.2">
      <c r="D36" s="10"/>
      <c r="E36" s="10"/>
      <c r="F36" s="10"/>
      <c r="G36" s="10"/>
      <c r="H36" s="10"/>
      <c r="I36" s="16"/>
    </row>
    <row r="37" spans="2:12" x14ac:dyDescent="0.2">
      <c r="D37" s="10"/>
      <c r="E37" s="10"/>
      <c r="F37" s="10"/>
      <c r="G37" s="10"/>
      <c r="H37" s="10"/>
      <c r="I37" s="16"/>
    </row>
    <row r="38" spans="2:12" x14ac:dyDescent="0.2">
      <c r="D38" s="10"/>
      <c r="E38" s="10"/>
      <c r="F38" s="10"/>
      <c r="G38" s="10"/>
      <c r="H38" s="10"/>
      <c r="I38" s="16"/>
    </row>
    <row r="39" spans="2:12" x14ac:dyDescent="0.2">
      <c r="D39" s="10"/>
      <c r="E39" s="10"/>
      <c r="F39" s="10"/>
      <c r="G39" s="10"/>
      <c r="H39" s="10"/>
      <c r="I39" s="16"/>
    </row>
    <row r="40" spans="2:12" x14ac:dyDescent="0.2">
      <c r="E40" s="2"/>
      <c r="F40" s="2"/>
    </row>
    <row r="41" spans="2:12" x14ac:dyDescent="0.2">
      <c r="E41" s="2"/>
      <c r="F41" s="2"/>
    </row>
    <row r="42" spans="2:12" x14ac:dyDescent="0.2">
      <c r="B42" s="15"/>
      <c r="C42" s="15"/>
      <c r="D42" s="2"/>
      <c r="E42" s="2"/>
      <c r="F42" s="2"/>
      <c r="G42" s="2"/>
      <c r="H42" s="2"/>
    </row>
    <row r="43" spans="2:12" x14ac:dyDescent="0.2">
      <c r="D43" s="11"/>
    </row>
    <row r="44" spans="2:12" x14ac:dyDescent="0.2">
      <c r="D44" s="11"/>
    </row>
    <row r="45" spans="2:12" x14ac:dyDescent="0.2">
      <c r="D45" s="11"/>
      <c r="G45" s="2"/>
    </row>
    <row r="46" spans="2:12" x14ac:dyDescent="0.2">
      <c r="D46" s="11"/>
      <c r="G46" s="2"/>
    </row>
    <row r="47" spans="2:12" x14ac:dyDescent="0.2">
      <c r="J47" s="2"/>
      <c r="K47" s="2"/>
      <c r="L47" s="2"/>
    </row>
    <row r="50" spans="2:13" x14ac:dyDescent="0.2">
      <c r="G50" s="2"/>
      <c r="H50" s="2"/>
      <c r="I50" s="2"/>
      <c r="M50" s="15"/>
    </row>
    <row r="61" spans="2:13" x14ac:dyDescent="0.2">
      <c r="B61" s="15"/>
      <c r="C61" s="15"/>
      <c r="D61" s="2"/>
      <c r="E61" s="2"/>
      <c r="F61" s="2"/>
      <c r="G61" s="2"/>
      <c r="H61" s="2"/>
      <c r="I61" s="2"/>
      <c r="J61" s="2"/>
      <c r="K61" s="2"/>
      <c r="L61" s="2"/>
      <c r="M61" s="15"/>
    </row>
    <row r="62" spans="2:13" x14ac:dyDescent="0.2">
      <c r="J62" s="2"/>
      <c r="K62" s="2"/>
    </row>
    <row r="63" spans="2:13" x14ac:dyDescent="0.2">
      <c r="J63" s="2"/>
      <c r="K63" s="2"/>
    </row>
    <row r="64" spans="2:13" x14ac:dyDescent="0.2">
      <c r="J64" s="2"/>
      <c r="K64" s="2"/>
    </row>
    <row r="65" spans="2:12" x14ac:dyDescent="0.2">
      <c r="J65" s="2"/>
      <c r="K65" s="2"/>
    </row>
    <row r="66" spans="2:12" x14ac:dyDescent="0.2">
      <c r="J66" s="2"/>
      <c r="K66" s="2"/>
    </row>
    <row r="70" spans="2:12" x14ac:dyDescent="0.2">
      <c r="B70" s="15"/>
      <c r="C70" s="15"/>
      <c r="D70" s="2"/>
      <c r="E70" s="2"/>
      <c r="F70" s="2"/>
      <c r="G70" s="2"/>
      <c r="H70" s="2"/>
      <c r="I70" s="2"/>
      <c r="J70" s="2"/>
      <c r="K70" s="2"/>
      <c r="L70" s="2"/>
    </row>
    <row r="71" spans="2:12" x14ac:dyDescent="0.2">
      <c r="J71" s="2"/>
      <c r="K71" s="2"/>
    </row>
    <row r="72" spans="2:12" x14ac:dyDescent="0.2">
      <c r="J72" s="2"/>
      <c r="K72" s="2"/>
    </row>
    <row r="73" spans="2:12" x14ac:dyDescent="0.2">
      <c r="J73" s="2"/>
      <c r="K73" s="2"/>
    </row>
    <row r="74" spans="2:12" x14ac:dyDescent="0.2">
      <c r="J74" s="2"/>
      <c r="K74" s="2"/>
    </row>
    <row r="75" spans="2:12" x14ac:dyDescent="0.2">
      <c r="J75" s="2"/>
      <c r="K75" s="2"/>
    </row>
  </sheetData>
  <mergeCells count="37">
    <mergeCell ref="B15:K15"/>
    <mergeCell ref="B14:K14"/>
    <mergeCell ref="B13:K13"/>
    <mergeCell ref="M13:O15"/>
    <mergeCell ref="V3:W3"/>
    <mergeCell ref="V4:W4"/>
    <mergeCell ref="V5:W5"/>
    <mergeCell ref="V6:W6"/>
    <mergeCell ref="V7:W7"/>
    <mergeCell ref="M11:O11"/>
    <mergeCell ref="B5:B6"/>
    <mergeCell ref="J5:J6"/>
    <mergeCell ref="D5:E5"/>
    <mergeCell ref="F5:G5"/>
    <mergeCell ref="H5:I5"/>
    <mergeCell ref="L5:L6"/>
    <mergeCell ref="U1:W1"/>
    <mergeCell ref="M7:O7"/>
    <mergeCell ref="M8:O8"/>
    <mergeCell ref="M9:O9"/>
    <mergeCell ref="M10:O10"/>
    <mergeCell ref="Q1:S1"/>
    <mergeCell ref="B1:N1"/>
    <mergeCell ref="C5:C6"/>
    <mergeCell ref="K5:K6"/>
    <mergeCell ref="Q9:S10"/>
    <mergeCell ref="U9:W11"/>
    <mergeCell ref="M5:O6"/>
    <mergeCell ref="B4:O4"/>
    <mergeCell ref="B3:O3"/>
    <mergeCell ref="L16:N16"/>
    <mergeCell ref="J22:K22"/>
    <mergeCell ref="L17:N17"/>
    <mergeCell ref="L18:N18"/>
    <mergeCell ref="L19:N19"/>
    <mergeCell ref="L20:N20"/>
    <mergeCell ref="L21:N2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2"/>
  <dimension ref="A1:N47"/>
  <sheetViews>
    <sheetView showGridLines="0" topLeftCell="A4" zoomScale="69" zoomScaleNormal="100" workbookViewId="0">
      <selection activeCell="T37" sqref="T37"/>
    </sheetView>
  </sheetViews>
  <sheetFormatPr baseColWidth="10" defaultColWidth="8.6640625" defaultRowHeight="15" x14ac:dyDescent="0.2"/>
  <cols>
    <col min="1" max="2" width="20.1640625" customWidth="1"/>
    <col min="3" max="3" width="24" style="10" customWidth="1"/>
    <col min="4" max="4" width="19.1640625" style="10" customWidth="1"/>
    <col min="5" max="5" width="8" customWidth="1"/>
  </cols>
  <sheetData>
    <row r="1" spans="1:13" ht="36" customHeight="1" x14ac:dyDescent="0.2">
      <c r="A1" s="111" t="s">
        <v>45</v>
      </c>
      <c r="B1" s="111"/>
      <c r="C1" s="111"/>
      <c r="D1" s="111"/>
      <c r="E1" s="44"/>
      <c r="F1" s="44"/>
      <c r="G1" s="44"/>
      <c r="H1" s="44"/>
      <c r="I1" s="44"/>
      <c r="J1" s="44"/>
      <c r="K1" s="44"/>
    </row>
    <row r="2" spans="1:13" ht="15" customHeight="1" x14ac:dyDescent="0.2">
      <c r="A2" s="42" t="s">
        <v>46</v>
      </c>
      <c r="B2" s="42"/>
      <c r="C2" s="42"/>
      <c r="D2" s="42"/>
      <c r="E2" s="43"/>
      <c r="F2" s="43"/>
      <c r="G2" s="43"/>
      <c r="H2" s="43"/>
      <c r="I2" s="43"/>
      <c r="J2" s="43"/>
      <c r="K2" s="43"/>
    </row>
    <row r="4" spans="1:13" ht="15" customHeight="1" x14ac:dyDescent="0.2">
      <c r="A4" s="110" t="s">
        <v>47</v>
      </c>
      <c r="B4" s="110"/>
      <c r="C4" s="110"/>
      <c r="D4" s="110"/>
    </row>
    <row r="5" spans="1:13" ht="42" customHeight="1" x14ac:dyDescent="0.2">
      <c r="A5" s="17" t="s">
        <v>8</v>
      </c>
      <c r="B5" s="17" t="s">
        <v>35</v>
      </c>
      <c r="C5" s="1" t="s">
        <v>48</v>
      </c>
      <c r="D5" s="1" t="s">
        <v>49</v>
      </c>
      <c r="G5" s="108"/>
      <c r="H5" s="108"/>
      <c r="I5" s="108"/>
      <c r="J5" s="108"/>
      <c r="K5" s="108"/>
      <c r="L5" s="108"/>
      <c r="M5" s="108"/>
    </row>
    <row r="6" spans="1:13" ht="15" customHeight="1" x14ac:dyDescent="0.25">
      <c r="A6" s="41" t="str" cm="1">
        <f t="array" ref="A6:D10">_xlfn._xlws.SORT(
CHOOSE({1,2,3,4},
'1.1 Data Input'!B17:B21,
'1.1 Data Input'!C17:C21,
'1.1 Data Input'!K17:K21,
'1.1 Data Input'!J17:J21),
4,-1)</f>
        <v>S4 - Stovepipe System</v>
      </c>
      <c r="B6" s="18" t="str">
        <v>Interoperability</v>
      </c>
      <c r="C6" s="8">
        <v>0.6</v>
      </c>
      <c r="D6" s="6">
        <v>33.824000000000005</v>
      </c>
      <c r="G6" s="5"/>
    </row>
    <row r="7" spans="1:13" ht="15" customHeight="1" x14ac:dyDescent="0.2">
      <c r="A7" s="40" t="str">
        <v>S1 - Shared Persistency</v>
      </c>
      <c r="B7" s="19" t="str">
        <v>Modifiability - Structure</v>
      </c>
      <c r="C7" s="9">
        <v>0.8</v>
      </c>
      <c r="D7" s="7">
        <v>27.864000000000011</v>
      </c>
    </row>
    <row r="8" spans="1:13" ht="15" customHeight="1" x14ac:dyDescent="0.2">
      <c r="A8" s="41" t="str">
        <v>S3 - Cyclic Dependency</v>
      </c>
      <c r="B8" s="18" t="str">
        <v>Modifiability - Structure</v>
      </c>
      <c r="C8" s="8">
        <v>0.7</v>
      </c>
      <c r="D8" s="6">
        <v>21.672000000000008</v>
      </c>
    </row>
    <row r="9" spans="1:13" ht="15" customHeight="1" x14ac:dyDescent="0.2">
      <c r="A9" s="40" t="str">
        <v>S5 - Vendor Lock-In</v>
      </c>
      <c r="B9" s="19" t="str">
        <v>Strategic Alignment</v>
      </c>
      <c r="C9" s="9">
        <v>0.7</v>
      </c>
      <c r="D9" s="7">
        <v>19.328000000000003</v>
      </c>
    </row>
    <row r="10" spans="1:13" ht="15" customHeight="1" x14ac:dyDescent="0.2">
      <c r="A10" s="41" t="str">
        <v>S2 - Feature Envy</v>
      </c>
      <c r="B10" s="18" t="str">
        <v>Modifiability - Behavior</v>
      </c>
      <c r="C10" s="8">
        <v>0.5</v>
      </c>
      <c r="D10" s="6">
        <v>12.207999999999995</v>
      </c>
    </row>
    <row r="47" spans="1:14" ht="59" customHeight="1" x14ac:dyDescent="0.2">
      <c r="A47" s="109" t="s">
        <v>140</v>
      </c>
      <c r="B47" s="109"/>
      <c r="C47" s="109"/>
      <c r="D47" s="109"/>
      <c r="E47" s="109"/>
      <c r="F47" s="109"/>
      <c r="G47" s="109"/>
      <c r="H47" s="109"/>
      <c r="I47" s="109"/>
      <c r="J47" s="109"/>
      <c r="K47" s="109"/>
      <c r="L47" s="109"/>
      <c r="M47" s="109"/>
      <c r="N47" s="109"/>
    </row>
  </sheetData>
  <mergeCells count="4">
    <mergeCell ref="G5:M5"/>
    <mergeCell ref="A47:N47"/>
    <mergeCell ref="A4:D4"/>
    <mergeCell ref="A1:D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G25"/>
  <sheetViews>
    <sheetView showGridLines="0" zoomScaleNormal="100" workbookViewId="0">
      <selection activeCell="E26" sqref="E26"/>
    </sheetView>
  </sheetViews>
  <sheetFormatPr baseColWidth="10" defaultColWidth="8.6640625" defaultRowHeight="15" x14ac:dyDescent="0.2"/>
  <cols>
    <col min="1" max="1" width="12.83203125" customWidth="1"/>
    <col min="2" max="2" width="14" customWidth="1"/>
    <col min="3" max="3" width="32.1640625" customWidth="1"/>
    <col min="4" max="4" width="36" customWidth="1"/>
    <col min="5" max="5" width="61.1640625" customWidth="1"/>
  </cols>
  <sheetData>
    <row r="1" spans="1:7" ht="36" customHeight="1" x14ac:dyDescent="0.2">
      <c r="A1" s="112" t="s">
        <v>50</v>
      </c>
      <c r="B1" s="112"/>
      <c r="C1" s="112"/>
      <c r="D1" s="112"/>
      <c r="E1" s="112"/>
    </row>
    <row r="3" spans="1:7" ht="26" customHeight="1" x14ac:dyDescent="0.2">
      <c r="A3" s="113" t="s">
        <v>51</v>
      </c>
      <c r="B3" s="113"/>
      <c r="C3" s="113"/>
      <c r="D3" s="113"/>
      <c r="E3" s="113"/>
    </row>
    <row r="4" spans="1:7" ht="30" customHeight="1" x14ac:dyDescent="0.2">
      <c r="A4" s="32" t="s">
        <v>52</v>
      </c>
      <c r="B4" s="32" t="s">
        <v>53</v>
      </c>
      <c r="C4" s="32" t="s">
        <v>54</v>
      </c>
      <c r="D4" s="32" t="s">
        <v>55</v>
      </c>
      <c r="E4" s="39" t="s">
        <v>56</v>
      </c>
    </row>
    <row r="5" spans="1:7" ht="23.25" customHeight="1" x14ac:dyDescent="0.2">
      <c r="A5" s="33" t="s">
        <v>57</v>
      </c>
      <c r="B5" s="33" t="s">
        <v>58</v>
      </c>
      <c r="C5" s="36" t="s">
        <v>59</v>
      </c>
      <c r="D5" s="33" t="s">
        <v>60</v>
      </c>
      <c r="E5" s="36" t="s">
        <v>61</v>
      </c>
    </row>
    <row r="6" spans="1:7" ht="23.25" customHeight="1" x14ac:dyDescent="0.2">
      <c r="A6" s="34" t="s">
        <v>62</v>
      </c>
      <c r="B6" s="35" t="s">
        <v>63</v>
      </c>
      <c r="C6" s="37" t="s">
        <v>64</v>
      </c>
      <c r="D6" s="35" t="s">
        <v>65</v>
      </c>
      <c r="E6" s="38" t="s">
        <v>66</v>
      </c>
    </row>
    <row r="7" spans="1:7" ht="23.25" customHeight="1" x14ac:dyDescent="0.2">
      <c r="A7" s="33" t="s">
        <v>62</v>
      </c>
      <c r="B7" s="33" t="s">
        <v>67</v>
      </c>
      <c r="C7" s="36" t="s">
        <v>68</v>
      </c>
      <c r="D7" s="33" t="s">
        <v>69</v>
      </c>
      <c r="E7" s="36" t="s">
        <v>70</v>
      </c>
    </row>
    <row r="8" spans="1:7" ht="23.25" customHeight="1" x14ac:dyDescent="0.2">
      <c r="A8" s="34" t="s">
        <v>62</v>
      </c>
      <c r="B8" s="35" t="s">
        <v>71</v>
      </c>
      <c r="C8" s="37" t="s">
        <v>72</v>
      </c>
      <c r="D8" s="35" t="s">
        <v>73</v>
      </c>
      <c r="E8" s="38" t="s">
        <v>74</v>
      </c>
    </row>
    <row r="9" spans="1:7" ht="23.25" customHeight="1" x14ac:dyDescent="0.2">
      <c r="A9" s="33" t="s">
        <v>62</v>
      </c>
      <c r="B9" s="33" t="s">
        <v>75</v>
      </c>
      <c r="C9" s="36" t="s">
        <v>76</v>
      </c>
      <c r="D9" s="33" t="s">
        <v>77</v>
      </c>
      <c r="E9" s="36" t="s">
        <v>78</v>
      </c>
    </row>
    <row r="10" spans="1:7" ht="36" customHeight="1" x14ac:dyDescent="0.2">
      <c r="A10" s="34" t="s">
        <v>62</v>
      </c>
      <c r="B10" s="34" t="s">
        <v>79</v>
      </c>
      <c r="C10" s="38" t="s">
        <v>80</v>
      </c>
      <c r="D10" s="34" t="s">
        <v>81</v>
      </c>
      <c r="E10" s="38" t="s">
        <v>82</v>
      </c>
    </row>
    <row r="15" spans="1:7" x14ac:dyDescent="0.2">
      <c r="E15" s="2"/>
      <c r="F15" s="2"/>
      <c r="G15" s="2"/>
    </row>
    <row r="23" spans="4:5" x14ac:dyDescent="0.2">
      <c r="E23" s="31"/>
    </row>
    <row r="25" spans="4:5" x14ac:dyDescent="0.2">
      <c r="D25" s="31"/>
    </row>
  </sheetData>
  <mergeCells count="2">
    <mergeCell ref="A1:E1"/>
    <mergeCell ref="A3:E3"/>
  </mergeCells>
  <pageMargins left="0.75" right="0.75" top="1" bottom="1" header="0.511811023622047" footer="0.511811023622047"/>
  <pageSetup paperSize="9" orientation="portrait" horizontalDpi="300" verticalDpi="300"/>
</worksheet>
</file>

<file path=docMetadata/LabelInfo.xml><?xml version="1.0" encoding="utf-8"?>
<clbl:labelList xmlns:clbl="http://schemas.microsoft.com/office/2020/mipLabelMetadata">
  <clbl:label id="{1e586649-7317-42fb-8949-66923d34ba7e}" enabled="0" method="" siteId="{1e586649-7317-42fb-8949-66923d34ba7e}" removed="1"/>
  <clbl:label id="{82c514c1-a717-4087-be06-d40d2070ad52}" enabled="0" method="" siteId="{82c514c1-a717-4087-be06-d40d2070ad5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1.0 Case Context</vt:lpstr>
      <vt:lpstr>1.1 Data Input</vt:lpstr>
      <vt:lpstr>1.2. Portfolio-Return Chart</vt:lpstr>
      <vt:lpstr>1.3 Formula Reference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Tolkounai K</dc:creator>
  <cp:keywords/>
  <dc:description/>
  <cp:lastModifiedBy>Tolkounai Karybekova</cp:lastModifiedBy>
  <cp:revision>14</cp:revision>
  <dcterms:created xsi:type="dcterms:W3CDTF">2026-04-22T20:36:45Z</dcterms:created>
  <dcterms:modified xsi:type="dcterms:W3CDTF">2026-10-01T19:13:57Z</dcterms:modified>
  <cp:category/>
  <cp:contentStatus/>
</cp:coreProperties>
</file>