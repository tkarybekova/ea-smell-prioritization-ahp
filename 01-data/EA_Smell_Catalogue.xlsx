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defaultThemeVersion="202300"/>
  <mc:AlternateContent xmlns:mc="http://schemas.openxmlformats.org/markup-compatibility/2006">
    <mc:Choice Requires="x15">
      <x15ac:absPath xmlns:x15ac="http://schemas.microsoft.com/office/spreadsheetml/2010/11/ac" url="/Users/iamnotinmoodtoday/Desktop/Github Thesis/data/"/>
    </mc:Choice>
  </mc:AlternateContent>
  <xr:revisionPtr revIDLastSave="0" documentId="8_{C44CBD4E-C364-AA4C-A2D2-18C3EEA52877}" xr6:coauthVersionLast="47" xr6:coauthVersionMax="47" xr10:uidLastSave="{00000000-0000-0000-0000-000000000000}"/>
  <bookViews>
    <workbookView xWindow="0" yWindow="760" windowWidth="29400" windowHeight="17420" activeTab="2" xr2:uid="{0E1E523D-BBA6-4A2F-90CA-42F5EB8FAB81}"/>
  </bookViews>
  <sheets>
    <sheet name="Raw Data" sheetId="2" r:id="rId1"/>
    <sheet name="Filtered EA Smells" sheetId="3" r:id="rId2"/>
    <sheet name="Finalized EA Smell List" sheetId="10" r:id="rId3"/>
  </sheets>
  <definedNames>
    <definedName name="ExternalData_1" localSheetId="0" hidden="1">'Raw Data'!$A$1:$V$1313</definedName>
    <definedName name="SelectedSmells">#REF!</definedName>
    <definedName name="SmellCatalogue">#REF!</definedName>
  </definedNames>
  <calcPr calcId="191029" iterateDelta="1E-4"/>
  <pivotCaches>
    <pivotCache cacheId="3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0" l="1"/>
  <c r="A7" i="10"/>
  <c r="A6" i="10"/>
  <c r="A5" i="10"/>
  <c r="A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6BB6E8-A65C-47B3-9B49-10C87D794826}" keepAlive="1" name="Query - antipatterns" description="Connection to the 'antipatterns' query in the workbook." type="5" refreshedVersion="8" background="1" saveData="1">
    <dbPr connection="Provider=Microsoft.Mashup.OleDb.1;Data Source=$Workbook$;Location=antipatterns;Extended Properties=&quot;&quot;" command="SELECT * FROM [antipatterns]"/>
  </connection>
  <connection id="2" xr16:uid="{CF65779D-7774-4477-AAB5-C70E8741012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7CA536C4-81AD-4C6A-85E5-7A56AFE9B8C3}"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046D9863-D1DD-4773-8E83-A27BF4AA988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8BDC5438-E194-4D59-BEF8-897A0A07C670}"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<sst xmlns="http://schemas.openxmlformats.org/spreadsheetml/2006/main" count="24307" uniqueCount="802">
  <si>
    <t>Source.Name</t>
  </si>
  <si>
    <t>Name</t>
  </si>
  <si>
    <t>Value.name</t>
  </si>
  <si>
    <t>Value.aliases</t>
  </si>
  <si>
    <t>Value.description</t>
  </si>
  <si>
    <t>Value.context</t>
  </si>
  <si>
    <t>Value.detection</t>
  </si>
  <si>
    <t>Value.consequences</t>
  </si>
  <si>
    <t>Value.cause</t>
  </si>
  <si>
    <t>Value.solution</t>
  </si>
  <si>
    <t>Value.example</t>
  </si>
  <si>
    <t>Value.cypher</t>
  </si>
  <si>
    <t>Value.cypher_count</t>
  </si>
  <si>
    <t>Value.sources</t>
  </si>
  <si>
    <t>Value.graphicalDefiniton</t>
  </si>
  <si>
    <t>Value.queryParams.name</t>
  </si>
  <si>
    <t>Value.queryParams.type</t>
  </si>
  <si>
    <t>Value.queryParams.default</t>
  </si>
  <si>
    <t>Value.queryParams.description</t>
  </si>
  <si>
    <t>Value.tags</t>
  </si>
  <si>
    <t>Value.relatedItems.relation</t>
  </si>
  <si>
    <t>Value.relatedItems.name</t>
  </si>
  <si>
    <t>Deadlock.json</t>
  </si>
  <si>
    <t>antiPatterns</t>
  </si>
  <si>
    <t>Deadlock</t>
  </si>
  <si>
    <t/>
  </si>
  <si>
    <t>It address the situations where the EA process can not continue  because it got into a stalemate. So no other elements can be further executed.</t>
  </si>
  <si>
    <t>Derived from: "Deadlock" BPM anti-pattern</t>
  </si>
  <si>
    <t>search for a business or an application flows that reach an 'or' Junction and then split at least by two outgoing paths, which are later joined by an 'and' Junction.</t>
  </si>
  <si>
    <t>No further elements can be executed.</t>
  </si>
  <si>
    <t>A single responsibility has been split up among a large number of classes. This can happen after overzealous reduction of Multifaceted Abstraction. All was well as long as the structure stayed small. But with new components being added, making changes has become harder and harder.</t>
  </si>
  <si>
    <t>Move existing behaviors into a single component. If there's no component appropriate for this, create a new one. If moving code to the same element leaves the original one almost empty, try to get rid of these now-redundant components.</t>
  </si>
  <si>
    <t>When "Business Process 1" reaches the OR Junction, the execution of one of the two process flows is sufficient. However, it later becomes essential for both "Business Process 3" and "Business Process 4" to reach the AND Junction. Otherwise, the process will not execute further and can not proceed to "Business Process 5," resulting in a Deadlock EA Smell.</t>
  </si>
  <si>
    <t>MATCH (startNode:Junction {type: 'or'}) &lt;br /&gt; MATCH (endNode:Junction {type: 'and'}) &lt;br /&gt; CALL apoc.path.expandConfig(startNode,{relationshipFilter: "TriggeringRelationship&gt;|FlowRelationship&gt;|AssociationRelationship&gt;", &lt;br /&gt; minLevel: $minLevel, &lt;br /&gt; maxLevel: $maxLevel, &lt;br /&gt; terminatorNodes:[endNode] &lt;br /&gt; }) &lt;br /&gt; YIELD path AS p &lt;br /&gt; RETURN p</t>
  </si>
  <si>
    <t>MATCH (startNode:Junction {type: 'or'}) MATCH (endNode:Junction {type: 'and'}) CALL apoc.path.expandConfig(startNode,{relationshipFilter: "TriggeringRelationship&gt;|FlowRelationship&gt;|AssociationRelationship&gt;", minLevel: 1, maxLevel: 10, terminatorNodes:[endNode] }) YIELD path AS p RETURN count (distinct startNode)</t>
  </si>
  <si>
    <t>./assets/deadlock1.JPG</t>
  </si>
  <si>
    <t>minLevel</t>
  </si>
  <si>
    <t>number</t>
  </si>
  <si>
    <t>The minimum length of the path for detection.</t>
  </si>
  <si>
    <t>soa</t>
  </si>
  <si>
    <t>maxLevel</t>
  </si>
  <si>
    <t>The maximum length of the path for detection.</t>
  </si>
  <si>
    <t>shotgun_surgery.json</t>
  </si>
  <si>
    <t>Shotgun Surgery</t>
  </si>
  <si>
    <t>Generally, when many abstractions are dependent to a single abstraction, any changes in the single abstraction may force some modifications in the dependent abstractions. This smell is evident when you must change lots of pieces in different places of the system simply to add a new or extended piece of behavior.</t>
  </si>
  <si>
    <t>Derived from: "Shotgun Surgery"</t>
  </si>
  <si>
    <t>In the ArchiMate modeling language, the relation types describing dependency are serving, association, access, and influence. For detection, we first check whether there exists a one-to-many relationship with the specified relation types. The size of "many" may differ depending on the organization or enterprise.</t>
  </si>
  <si>
    <t>Every time you make a subclass of one class, you have to make a subclass of another.</t>
  </si>
  <si>
    <t>MATCH (a)-[r:ServingRelationship|AssociationRelationship|InfluenceRelationship|AccessingRelationship]-&gt;() &lt;br /&gt; WITH a, COUNT(r) AS relCount &lt;br /&gt; MATCH p=(a)-[r]-(b) &lt;br /&gt; WHERE relCount&gt; $abstractionsCnt &lt;br /&gt; RETURN p &lt;br /&gt;</t>
  </si>
  <si>
    <t>MATCH (a)-[r:ServingRelationship|AssociationRelationship|InfluenceRelationship|AccessingRelationship]-&gt;() &lt;br /&gt; WITH a, COUNT(r) AS relCount &lt;br /&gt; MATCH p=(a)-[r]-(b) &lt;br /&gt; WHERE relCount&gt; $abstractionsCnt &lt;br /&gt; RETURN count (distinct a)</t>
  </si>
  <si>
    <t>./assets/shotgun_surgurey.JPG</t>
  </si>
  <si>
    <t>abstractionsCnt</t>
  </si>
  <si>
    <t>The permitted number of abstractions that may depend on a single abstraction.</t>
  </si>
  <si>
    <t>relates</t>
  </si>
  <si>
    <t>Multifaceted Abstraction</t>
  </si>
  <si>
    <t>follows</t>
  </si>
  <si>
    <t>Nanoservices</t>
  </si>
  <si>
    <t>microservices</t>
  </si>
  <si>
    <t>business</t>
  </si>
  <si>
    <t>application</t>
  </si>
  <si>
    <t>technology</t>
  </si>
  <si>
    <t>The Change Preventers</t>
  </si>
  <si>
    <t>between elements</t>
  </si>
  <si>
    <t>hub-like_modularization.json</t>
  </si>
  <si>
    <t>Hub-like Modularization</t>
  </si>
  <si>
    <t>Bottleneck Service</t>
  </si>
  <si>
    <t>This smell arises when an abstraction has dependencies (both incoming and outgoing) with a large number of other abstractions, being a single point of failure.</t>
  </si>
  <si>
    <t>Derived from: "Hub-like Modularization"</t>
  </si>
  <si>
    <t>Check the number of incoming and outgoing relations of the corresponding cluster. If the amount is too high, report the smell.</t>
  </si>
  <si>
    <t>The service may have increased response times and low availability. It also becomes a single point of failure in the architecture.</t>
  </si>
  <si>
    <t>Functionality may gradually become more and more important and is therefore used by more and more consumers, maybe even external ones via a public service interface. To maximize reuse, service interfaces are sometimes also generalized which leads to more service consumers as well.</t>
  </si>
  <si>
    <t>Split according to responsibilities.</t>
  </si>
  <si>
    <t>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t>
  </si>
  <si>
    <t>./assets/hub-like-modularization_v1.JPG</t>
  </si>
  <si>
    <t>incomingRels</t>
  </si>
  <si>
    <t>Number of incomming relationships.</t>
  </si>
  <si>
    <t>Lazy Component</t>
  </si>
  <si>
    <t>Dense Structure</t>
  </si>
  <si>
    <t>Weakened Modularity</t>
  </si>
  <si>
    <t>The Couplers</t>
  </si>
  <si>
    <t>automatic detection</t>
  </si>
  <si>
    <t>outgoingRels</t>
  </si>
  <si>
    <t>Number of outgoing relationships.</t>
  </si>
  <si>
    <t>sand_pile.json</t>
  </si>
  <si>
    <t>Sand Pile</t>
  </si>
  <si>
    <t>An EA is implemented with one elementary service per component resulting in many small components that are sharing data.</t>
  </si>
  <si>
    <t>Derived from: "Sand Pile"</t>
  </si>
  <si>
    <t>Many small components exist that share data.</t>
  </si>
  <si>
    <t>The large amount of small components may cause inefficiencies and maintenance problems.</t>
  </si>
  <si>
    <t>Sand Pile may be caused by a wrong grouping of "atomic" capabilities.</t>
  </si>
  <si>
    <t>Regroup related elementary services into one component with a common interface.</t>
  </si>
  <si>
    <t>Many highly specialized car service workshops are working separately. It is not an enterprise that provides all car repair services at one spot.</t>
  </si>
  <si>
    <t>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p</t>
  </si>
  <si>
    <t>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COUNT (DISTINCT d)</t>
  </si>
  <si>
    <t>./assets/sand_pile_v1.JPG</t>
  </si>
  <si>
    <t>cohesion</t>
  </si>
  <si>
    <t>0_default_anitpattern.json</t>
  </si>
  <si>
    <t>LanguageDeficit.json</t>
  </si>
  <si>
    <t>Language Deficit</t>
  </si>
  <si>
    <t>This addresses incomplete, improper or ambiguous textual labels or labels that do not follow naming conventions.</t>
  </si>
  <si>
    <t>EA Process Model lose its maintainability, due being inconsistent</t>
  </si>
  <si>
    <t>Introduce or use consistent naming conventions</t>
  </si>
  <si>
    <t>Understandability Problems</t>
  </si>
  <si>
    <t>Process</t>
  </si>
  <si>
    <t>nothing_new.json</t>
  </si>
  <si>
    <t>Nothing New</t>
  </si>
  <si>
    <t>Same Old Way</t>
  </si>
  <si>
    <t>Practices of object-orientation or other non-SOA techniques are used because the principles of service orientation have not been understood.</t>
  </si>
  <si>
    <t>Derived from: "Nothing New"&lt;br /&gt; In a migration or transition context, there is often a clash between the principles or foundations of paradigms or architectural styles, e.g. object orientation and service orientation.</t>
  </si>
  <si>
    <t>These practices may lead to poorly usable interfaces and may hinder maintainability.</t>
  </si>
  <si>
    <t>Experienced object-oriented developers may fail to see new features in service orientation and therefore apply their standard practices in the new style. No trainings are provided to address this and prepare the developers for the new paradigm.</t>
  </si>
  <si>
    <t>If RPC is used in the legacy system, a complete restructuring of the architecture should be considered. If a service supports or computerizes human activities, it often should not rely on RPC.</t>
  </si>
  <si>
    <t>SOAP is only used as an envelop for RPC calls, which limits service interfaces to RPC-like interactions.</t>
  </si>
  <si>
    <t>Big Bang</t>
  </si>
  <si>
    <t>No Legacy</t>
  </si>
  <si>
    <t>Golden Hammer</t>
  </si>
  <si>
    <t>migration</t>
  </si>
  <si>
    <t>scattered_parasitic_functionality.json</t>
  </si>
  <si>
    <t>Scattered Parasitic Functionality</t>
  </si>
  <si>
    <t>Multiple services are responsible for the same concern and some of these services are also responsible for orthogonal concerns.</t>
  </si>
  <si>
    <t>Derived from: "Scattered Parasitic Functionality"&lt;br /&gt; That a single concern is split among multiple services and that at least one service handles multiple orthogonal concerns violates important service-oriented principles. This means that these concerns infect services with another orthogonal concern, like a parasite.</t>
  </si>
  <si>
    <t>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t>
  </si>
  <si>
    <t>Modifiability, reusability, and testability may be reduced. Changing a scattered shared concern requires the changing and testing of several services. The shared concern also cannot be efficiently reused.</t>
  </si>
  <si>
    <t>It may be a tempting shortcut to distribute a concern over several existing services.</t>
  </si>
  <si>
    <t>Implement a monitoring connector to exchange the data or the status of the data.</t>
  </si>
  <si>
    <t xml:space="preserve">Service A has a SharedConcern. Service B and C also have this shared concern, but also an orthogonal concern ConcernB respectively ConcernC. </t>
  </si>
  <si>
    <t>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t>
  </si>
  <si>
    <t>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t>
  </si>
  <si>
    <t>./assets/Scattered_Parasitic_Functionality.JPG</t>
  </si>
  <si>
    <t>Stovepipe Service</t>
  </si>
  <si>
    <t>Shared Persistency</t>
  </si>
  <si>
    <t>abstraction</t>
  </si>
  <si>
    <t>shared_persistency.json</t>
  </si>
  <si>
    <t>Different services access the same database. In the worst case, different services access the same entities of the same schema.</t>
  </si>
  <si>
    <t>Derived from: "Shared Persistency"&lt;br /&gt; The implementation of services usually follows a "share nothing" philosophy. This is especially relevant for clear data ownership. Each data collection or schema usually belongs to exactly one service. The only allowed access to this data is via this service.</t>
  </si>
  <si>
    <t>Check if multiple services are accessing the same System Software represents a database..</t>
  </si>
  <si>
    <t>This smell highly couples the services connected to the same data, reducing team and service independence.</t>
  </si>
  <si>
    <t>Possible solutions are to use independent databases for each service, to use a shared database with a set of private tables for each service that can be accessed by only that service, or to use a private database schema for each service.</t>
  </si>
  <si>
    <t>MATCH p=(a:BusinessObject|DataObject|Systemsoftware)-[r:AccessRelationship]-(b) &lt;br /&gt; WITH a, count (r) as cnt &lt;br /&gt; WHERE cnt&gt; 1 &lt;br /&gt; MATCH p = (a)-[r:AccessRelationship]-(b) &lt;br /&gt; RETURN p &lt;br /&gt; UNION &lt;br /&gt; MATCH p=(a:SystemSoftware)-[r]-(b) &lt;br /&gt; WHERE toLower(a.name) contains "dbms" OR toLower(a.name) contains "data" &lt;br /&gt; WITH a , count (r) as cnt &lt;br /&gt; WHERE cnt&gt; 1 &lt;br /&gt; MATCH p = (a)-[r:AccessRelationship]-(b) &lt;br /&gt; RETURN p</t>
  </si>
  <si>
    <t>MATCH (a:BusinessObject|DataObject|Systemsoftware)-[r:AccessRelationship|ServingRelationship]-(b)  with a , count (r) as cnt  where cnt&gt; 1  MATCH p = (a)-[r]-(b) return count (distinct a)</t>
  </si>
  <si>
    <t>./assets/shared_persistency.JPG</t>
  </si>
  <si>
    <t>data management</t>
  </si>
  <si>
    <t>missing_abstraction.json</t>
  </si>
  <si>
    <t>Missing Abstraction</t>
  </si>
  <si>
    <t>Decomposition</t>
  </si>
  <si>
    <t>Architects tend to make every functionality or data element a separate component, ignoring the benefits of abstractions altogether. In the EA domain, the model should also contain abstract elements to illustrate a more general point of view. The absence of such elements may indicate that the model suffers from Missing Abstraction EA Smell.</t>
  </si>
  <si>
    <t>Derived from: "Functional Decomposition" and "Primitive Obsession"&lt;br /&gt; The EA model should give a more abstract insight and, thus, provide also more general components. Inside those abstractions further elements can be introduced to enable extensive description of the architecture.</t>
  </si>
  <si>
    <t>Many rather small components exist that are not aggregated into encompassing superelements. Count separate elements that are not encapsulated in a component. Candidates for the smell could be identified by Clustering-Algorithms.</t>
  </si>
  <si>
    <t>The model is hard to read, complex and very confusing.</t>
  </si>
  <si>
    <t>Lack of architecture enforcement. Sometimes, those who generate specifications and requirements don't necessarily have real experience with those EA systems. Creating a simple element is so much easier than making a whole new extended component, right?</t>
  </si>
  <si>
    <t>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t>
  </si>
  <si>
    <t>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t>
  </si>
  <si>
    <t>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t>
  </si>
  <si>
    <t>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t>
  </si>
  <si>
    <t>./assets/missing_abstraction_v1.JPG</t>
  </si>
  <si>
    <t>countOfNodesOfSameType</t>
  </si>
  <si>
    <t>Minimum number of nodes of the same type within a community.</t>
  </si>
  <si>
    <t>precedes</t>
  </si>
  <si>
    <t>The Bloaters</t>
  </si>
  <si>
    <t>relationsCount</t>
  </si>
  <si>
    <t>Minimum number of relations within a comminity.</t>
  </si>
  <si>
    <t>ratio</t>
  </si>
  <si>
    <t>Ratio threshold</t>
  </si>
  <si>
    <t>deficient_encapsulation.json</t>
  </si>
  <si>
    <t>Deficient Encapsulation</t>
  </si>
  <si>
    <t>Too Much Information</t>
  </si>
  <si>
    <t>This Smell occurs when an abstraction makes its members accessible to other abstractions in a more permissive way, which is not necessarily required. In the EA domain, particularly in the ArchiMate modeling language there are no access modifiers. As a result, we need to slightly adjust the definition to apply this concept to ArchiMate. Instead of modifiers, we try to identify sources of information that contain sensitive data while the rules for accessing those data are more lenient than necessary.</t>
  </si>
  <si>
    <t>Derived from: "Deficient Encapsulation"&lt;br /&gt; Components have too deep insight into unimportant details of other elements, making their work harder.</t>
  </si>
  <si>
    <t>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t>
  </si>
  <si>
    <t>Not restricted sensitive data can be retrieved and modified by other abstractions unintentionally or imperceptibly.</t>
  </si>
  <si>
    <t>Keep a close eye on components that spend too much time together. Good elements should know as little about each other as possible. Such elements are easier to maintain and reuse.</t>
  </si>
  <si>
    <t>Try to hide as much unneeded information as possible. Integrate functionality into components that use that functionality. This is only possible if the first component truly does not need these parts.</t>
  </si>
  <si>
    <t>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t>
  </si>
  <si>
    <t>MATCH (n) WHERE n.ClassName ='DataObject' or n.ClassName='BusinessObject' or n.ClassName='Artifact' &lt;br /&gt; WITH n WHERE ANY (x in keys(n) WHERE n[x] IN  ["confident", "sensible", "sensitive"] OR toLower(x) IN ["confident", "sensible", "sensitive"]) WITH n MATCH (n)-[r:AccessRelationship]-(m) WITH n, COUNT (r) as accessCount MATCH p = (n)-[r:AccessRelationship]-(m) WHERE accessCount &gt; 3 RETURN count (distinct n)</t>
  </si>
  <si>
    <t>./assets/Deficient_Encapsulation.JPG</t>
  </si>
  <si>
    <t>sensitiveProperties</t>
  </si>
  <si>
    <t>list</t>
  </si>
  <si>
    <t>[List]</t>
  </si>
  <si>
    <t>The property values specifying an element as confidential.</t>
  </si>
  <si>
    <t>permissibleCount</t>
  </si>
  <si>
    <t>2</t>
  </si>
  <si>
    <t>The permissible number of elements for accessing a confidential data source.</t>
  </si>
  <si>
    <t>data_service.json</t>
  </si>
  <si>
    <t>Data Service</t>
  </si>
  <si>
    <t>Data Class</t>
  </si>
  <si>
    <t>A service that exclusively performs information retrieval and typically provides only simple read operations. Often goes hand in hand with Feature Envy, because relevant functionality is not provided.</t>
  </si>
  <si>
    <t>Derived from: "Data Class"&lt;br /&gt; This smell can, but does not have to, be applied to the provided model, depending on the used architectural style</t>
  </si>
  <si>
    <t>Searching services that exclusively provide access to a data source (Business Object, Data Object or Artifact) and do not initiate interaction with other services. However, other services may use this service to retrieve data.</t>
  </si>
  <si>
    <t>A data service may have a large number of operations with low cohesion, which can have a negative influence on maintainability.</t>
  </si>
  <si>
    <t>Data and behavior should be tightly coupled in the same abstraction. If they spread across different components, then it is likely that an abstraction contains only data, whereas the behavior that requires that data lies in another abstraction.</t>
  </si>
  <si>
    <t>Move Method; Encapsulate Field</t>
  </si>
  <si>
    <t>A component only provides customer data and does not process those informations</t>
  </si>
  <si>
    <t>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t>
  </si>
  <si>
    <t>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t>
  </si>
  <si>
    <t>./assets/dataservice.JPG</t>
  </si>
  <si>
    <t>Chatty Service</t>
  </si>
  <si>
    <t>Wrong Cuts</t>
  </si>
  <si>
    <t>Feature Envy</t>
  </si>
  <si>
    <t>The Dispensables</t>
  </si>
  <si>
    <t>Infinite Loop.json</t>
  </si>
  <si>
    <t>Infinite Loop</t>
  </si>
  <si>
    <t>The "Infinite Loop" is a BPM anti-pattern that runs indefinitely because either a termination condition is missing or the condition is never fulfilled. It is a specific type of cyclic dependency. The key distinction is that, unlike typical cyclic dependencies where the process flow can exit the cycle after a certain number of iterations, in this situation, the process is trapped in an infinite loop with no opportunity for termination. If the execution is not aborted externally, then it will run forever.</t>
  </si>
  <si>
    <t>Derived from: "Infinite Loop" BPM anti-pattern.</t>
  </si>
  <si>
    <t>We can consider two possible cases in the ArchiMate modeling language. In the first case, we assume the Infinite Loop is a small sub-graph with at least one cyclic path and no exiting edges that can escape from the loop. In the second case, there could also be an edge that can escape the loop, but the process will never go through that edge for different reasons. For example, the condition is never met. We can not detect the second case via the KG query, and a dynamic analysis is required.</t>
  </si>
  <si>
    <t>Process does not end and may result into a lot of iterations before we can find the infinite loop.</t>
  </si>
  <si>
    <t>MATCH (a) WITH collect(a) AS nodes CALL apoc.nodes.cycles(nodes, {maxDepth: $maxDepth}) &lt;br /&gt; YIELD path WITH path AS p &lt;br /&gt; WITH nodes(p) AS loopSet &lt;br /&gt; WHERE NOT EXISTS{ &lt;br /&gt; MATCH (a)--(b) &lt;br /&gt; WHERE a IN loopSet AND NOT b IN loopSet &lt;br /&gt; } &lt;br /&gt; Match p=(m)--(n)&lt;br /&gt; WHERE m IN loopSet AND n IN loopSet return p</t>
  </si>
  <si>
    <t>./assets/infiniteLoop.JPG</t>
  </si>
  <si>
    <t>maxDepth</t>
  </si>
  <si>
    <t>Control-flow Problems</t>
  </si>
  <si>
    <t>data-driven_migration.json</t>
  </si>
  <si>
    <t>Data-Driven Migration</t>
  </si>
  <si>
    <t>You migrate from a monolithic application to a microservices architecture and try to migrate both service functionality and the corresponding data together.</t>
  </si>
  <si>
    <t>Derived from: "Data-Driven Migration"&lt;br /&gt; Because it is difficult to get the granularity of each service right the first time, you may be frequently merging or splitting your services. Ideally, you want to migrate the data for each service only once, because data migrations are complex and error-prone much more than functionality migrations.</t>
  </si>
  <si>
    <t>Additional efforts for data migration, because you will need several iterations to get it right.</t>
  </si>
  <si>
    <t>Trying to split the data for each service right the first time.</t>
  </si>
  <si>
    <t>First, migrate the functionality of each service and worry about bounded contexts between services and data later. Once you learn more about the services, you will likely adjust the level of granularity through merging and splitting. After reaching a stable level of service granularity, migrate the data.</t>
  </si>
  <si>
    <t>useless_test.json</t>
  </si>
  <si>
    <t>Useless Test</t>
  </si>
  <si>
    <t>The Useless Test EA Smell is derived from a BPM process anti-pattern. It arises when the modeled process takes into account only a subset of possible scenarios and neglects others.</t>
  </si>
  <si>
    <t>Derived from: "Useless Test"</t>
  </si>
  <si>
    <t>We search for element names that denote a test. Such verbs may include "evaluate," "verify," and "validate". Typically, a test scenario can yield two potential outcomes, either successful or unsuccessful. Therefore, if the test element is not followed by an OR Junction or has only one leaving path presenting only one possible outcome of the test, then the model suffers from the Useless Test EA Smell.</t>
  </si>
  <si>
    <t>Not considering all possible outcomes in models hinders enterprise architects to analyze other outcomes and handle the unexpected behavior.</t>
  </si>
  <si>
    <t>The element “Evaluate money withdrawal request“ has only one possible output “Process money withdrawal“, but a negative case is not considered in the model.</t>
  </si>
  <si>
    <t>MATCH p = (m)--&gt;(n) &lt;br /&gt; WHERE ANY (name in $testVerbs where toLower(m.name) CONTAINS toLower(name)) &lt;br /&gt; and NOT EXISTS ((m)--&gt;(:Junction {type: "or"})) &lt;br /&gt; RETURN p &lt;br /&gt; UNION  &lt;br /&gt; MATCH (m)--&gt;(Junction {type: 'or'})--&gt;(n) &lt;br /&gt; WITH m, COUNT (n) as testReslults &lt;br /&gt; WHERE testReslults=1 &lt;br /&gt; MATCH p=(m)--&gt;(Junction {type: 'or'})--&gt;(n) &lt;br /&gt; WHERE any (name in $testVerbs where toLower(m.name) CONTAINS toLower(name)) &lt;br /&gt; RETURN p</t>
  </si>
  <si>
    <t>MATCH p = (m)--&gt;(n) WHERE any (name in $testVerbs where toLower(m.name) CONTAINS toLower(name)) and NOT EXISTS ((m)--&gt;(:Junction {type: 'or'})) RETURN count(DISTINCT m)</t>
  </si>
  <si>
    <t>./assets/uselesstest.JPG</t>
  </si>
  <si>
    <t>testVerbs</t>
  </si>
  <si>
    <t>List of verbs that indicates a test or verification.</t>
  </si>
  <si>
    <t>incomplete_node_or_collaboration.json</t>
  </si>
  <si>
    <t>Incomplete Node or Collaboration</t>
  </si>
  <si>
    <t>Occurs when responsibilities emerge in our system that clearly should be moved to a separate group, but we are unable or unwilling to modify the group to accept these new responsibilities</t>
  </si>
  <si>
    <t>Derived from: "Incomplete Library Class"&lt;br /&gt; Extending a group (node or collaboration) can generate additional work if the changes to the group involve changes in existing components or structure.</t>
  </si>
  <si>
    <t>The developer of the group hasn't provided the features you need or has refused to implement them.</t>
  </si>
  <si>
    <t>Introduce extensions to realize features.</t>
  </si>
  <si>
    <t>A Node that should be an encompassing resource to model application platforms or Application Collaborations that do not fulfill their responsibilities.</t>
  </si>
  <si>
    <t>Incomplete Abstraction</t>
  </si>
  <si>
    <t>legacy</t>
  </si>
  <si>
    <t>golden_hammer.json</t>
  </si>
  <si>
    <t>Silver Bullet</t>
  </si>
  <si>
    <t>A system implements its functionality as services although there are no objective reasons for and benefits from this. It depicts the overzealous utilization of apparently universal solutions, instead of well suited adaptions of such solutions.</t>
  </si>
  <si>
    <t>Derived from: "Golden Hammer"&lt;br /&gt; It seems like a Golden Hammer is a tool that is very familiar, simple to apply, and works best on things within striking distance: everyday problems. "I have a hammer and everything else is a nail". A Golden Hammer is something we already have, and it worked great lots of time before, so it will be used for whatever comes next.</t>
  </si>
  <si>
    <t>Unnecessary distribution can lead to performance issues, because direct communication is more efficient. There are also higher efforts for development, testing, and debugging, because implementing functionality as services is complex.</t>
  </si>
  <si>
    <t>Services may be chosen because of their promised scalability, modifiability, or interoperability, even though these quality attributes are not really vital for the system at hand. A general reason therefore is a poor understanding of the system's requirements. Lastly, using new and hyped technology or architectural styles is attractive and tempting for a lot of developers and architects.</t>
  </si>
  <si>
    <t>Extensive refactoring of the underlying system and service to appropriate components.</t>
  </si>
  <si>
    <t xml:space="preserve"> Functionality is implemented as a web service, although it is only used internally by the system. The assumption is that this would be better for future requirements, but it reduces the performance.</t>
  </si>
  <si>
    <t>The Shiny Nickel</t>
  </si>
  <si>
    <t>When in doubt, make it a service</t>
  </si>
  <si>
    <t>wrong_cuts.json</t>
  </si>
  <si>
    <t>Services are split on the basis of technical layers (presentation, business, and data layers) instead of business capabilities. Transactions extend across service boundaries and are not isolated inside services.</t>
  </si>
  <si>
    <t>Derived from: "Wrong Cuts"</t>
  </si>
  <si>
    <t>We can transfer the concept of "Wrong Cuts" into the EA domain by looking for behaviours or business capabilities that are implemented by more than one component. The "Wrong Cuts" EA Smells can occur in the ArchiMate once two or more "Application Components" implement the same behavior.</t>
  </si>
  <si>
    <t>Such a wrong separation of concerns can lead to increased data-splitting complexity. Moreover, this may cause ripple effects on changes and therefore decreases maintainability. Lastly, it may impact performance, if several services are needed to fulfill an abstraction.</t>
  </si>
  <si>
    <t>Rapidly evolving business processes may result in such transactions. Starting the design of an EA completely upfront without keeping some design decisions open may also lead to this antipattern.</t>
  </si>
  <si>
    <t>Perform a clear analysis of business processes and the need for resources and use this knowledge to refactor the services according to bounded contexts.</t>
  </si>
  <si>
    <t>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t>
  </si>
  <si>
    <t>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t>
  </si>
  <si>
    <t>./assets/wrongCuts.JPG</t>
  </si>
  <si>
    <t>Message Chain</t>
  </si>
  <si>
    <t>temporary_solution.json</t>
  </si>
  <si>
    <t>Temporary Solution</t>
  </si>
  <si>
    <t>Some components are introduced, in order to make a relatively fast adaption such that the established environment is working, although this temporary solution does not represent the desired or intended solution. This is the very common view of debt being taken.</t>
  </si>
  <si>
    <t>Inspired by: "Temporary Field"&lt;br /&gt; Oftentimes, those adaptions are made "on the fly", without a full model being designed.</t>
  </si>
  <si>
    <t>In order to keep the architecture working, adjustments have to be made shortly. Those adjustments are no optimal solutions resulting in cluttered abstractions and messed up architecture.</t>
  </si>
  <si>
    <t>Increase the awareness of those faults and refactor such that a supposed ideal solution is pursued.</t>
  </si>
  <si>
    <t>The EA is currently relying on a System A. In the long run a System C should be used to realize the roadmap, but as the integration of that system is delayed a temporary solution B has to be integrated, because data from System A is still used. Such actions increase the dependency and hinder the intended development.</t>
  </si>
  <si>
    <t>no_legacy.json</t>
  </si>
  <si>
    <t>A legacy component is completely rebuilt instead of being (partly) modernized and integrated. Often, this anti-pattern is combined with the "Big Bang" anti-pattern where the entire system is built all at once.</t>
  </si>
  <si>
    <t>Derived from: "No Legacy"&lt;br /&gt; Management does not want to keep a legacy system of decent quality and therefore wants to rebuild the entire system. The idea is that obsolete parts should be dropped and integration and modernization efforts are perceived to be similar to a complete rewrite. However, since SOA usually enables the efficient integration of applications, a complete rewrite of the legacy system should require much more efforts.</t>
  </si>
  <si>
    <t>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"Plateau" is an element type representing a stable state that remains for a limited period.</t>
  </si>
  <si>
    <t>Very high investments and considerable risk are associated with a complete rewrite of large complex systems.</t>
  </si>
  <si>
    <t>Project management does not understand that integrating legacy systems into a new environment does not necessarily have to be a bad thing.</t>
  </si>
  <si>
    <t>Project management first has to accept that stable and solid parts of a legacy systems are worth keeping. Integration candidates have to be chosen and modernized with user-oriented interfaces. Front-end gates can be used to achieve this.</t>
  </si>
  <si>
    <t>Graphical example illustrates a legacy system 'Main Frame CRM', which will be replaced by a new component, 'Microservice CRM'. The terms 'Baseline' and 'Vision' represent elements of type "Plateau".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"Work Package". A work package encompasses a set of actions aimed at accomplishing a specific task within a defined timeframe. In this case, the task is to create the 'Microservice CRM'.</t>
  </si>
  <si>
    <t>MATCH p=(m)--(n) &lt;br /&gt; WHERE ANY (name in $legacy where toLower(m.name) CONTAINS toLower(name)) &lt;br /&gt; OR ANY (x in keys(m) WHERE m[x] IN  $legacy OR x IN  $legacy) &lt;br /&gt; WITH m &lt;br /&gt; MATCH p = (m)--(n:WorkPackage|Plateau) &lt;br /&gt; return p</t>
  </si>
  <si>
    <t>MATCH p=(m)--(n) WHERE ANY (name in $legacy where toLower(m.name) CONTAINS toLower(name)) OR ANY (x in keys(m) WHERE m[x] IN $legacy OR x IN $legacy) RETURN COUNT (DISTINCT m)</t>
  </si>
  <si>
    <t>./assets/noLegacy_v1.JPG</t>
  </si>
  <si>
    <t>The element names or property values specifying legacy components.</t>
  </si>
  <si>
    <t>Vendor Lock-In</t>
  </si>
  <si>
    <t>warm_bodies.json</t>
  </si>
  <si>
    <t>Warm Bodies</t>
  </si>
  <si>
    <t>Deadwood</t>
  </si>
  <si>
    <t>Project teams that grow beyond five people generally experience escalating difficulties with group coordination. The members have trouble making efficient decisions and maintaining a common vision. Working toward a near-term deadline is essential to encourage the team to focus and begin producing a solution.</t>
  </si>
  <si>
    <t>Derived from: "Warm Bodies"&lt;br /&gt; Skilled developers are essential to the success of a project. So-called heroic developers are exceptionally productive, but as few as 1 in 20 have this talent. They produce an order of magnitude of more suitable solutions than an average developer. Large-scale projects are prevalent in many industries. These projects employ hundreds of developers to build an enterprise system; a staff of 100 to 400 on a single project is not atypical. Many times this is not modelled, such that the smell must not become evident during design, but only afterwards in practice.</t>
  </si>
  <si>
    <t>In the EA domain, we can represent the team concept by "Actor" or "Work package"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"Warm Bodies" EA Smell.</t>
  </si>
  <si>
    <t>The ideal project size is four developers; the ideal project duration is four months. Software projects are subject to the same group dynamics as committee meetings (Design by Committee).</t>
  </si>
  <si>
    <t>Graphical examlple illustrates The element “Hardware Update“ has a property named 'Members' which has seven as team size</t>
  </si>
  <si>
    <t>MATCH p=(n:Actor|WorkPackage) &lt;br /&gt; where ANY (x in keys(n) WHERE x IN $staffProperty and n[x] &gt; $staffSize) &lt;br /&gt; RETURN p</t>
  </si>
  <si>
    <t xml:space="preserve">MATCH (n:Actor|WorkPackage) &lt;br /&gt; where ANY (x in keys(n) WHERE x IN $staffProperty and n[x] &gt; $staffSize) &lt;br /&gt; RETURN COUNT (distinct n) </t>
  </si>
  <si>
    <t>./assets/warm_bodies.JPG</t>
  </si>
  <si>
    <t>staffProperty</t>
  </si>
  <si>
    <t>Property name(s) specifying the size of a team.</t>
  </si>
  <si>
    <t>staffSize</t>
  </si>
  <si>
    <t>4</t>
  </si>
  <si>
    <t>The acceptable number of people assigned to an actor or work package element.</t>
  </si>
  <si>
    <t>Seat Warmers</t>
  </si>
  <si>
    <t>the_shiny_nickel.json</t>
  </si>
  <si>
    <t>The latest technology buzz is incorporated into your system for the sake of telling people about it.</t>
  </si>
  <si>
    <t>Derived from: "The Shiny Nickel"</t>
  </si>
  <si>
    <t>Technologies are rarely re-used from one project to the next as IT delivery moves to the next shiny nickel. Each project lays down another technology stratum that increases the cost and complexity of support and creates an integration challenge for future projects.</t>
  </si>
  <si>
    <t>The Shiny Nickel antipattern is often caused by soft procurement rules and a lack of a common IT strategy and vision. Often, product procurement takes place independently from projects, which leads to technology decisions on projects being driven by a desire to minimize shelfware.</t>
  </si>
  <si>
    <t>Fixing The Shiny Nickel is about knowing in which direction you want to go. This means defining what you want your architecture and enterprise to look like in a few years and understanding the steps, standards, and therefore technologies that will take you there. It also means getting a grip on IT procurement so decisions are ratified against the roadmap.</t>
  </si>
  <si>
    <t>Introducing an Enterprise Service Bus (ESB) for 2 services that have no translation or routing requirements.</t>
  </si>
  <si>
    <t>architecture_by_implication.json</t>
  </si>
  <si>
    <t>Architecture by Implication</t>
  </si>
  <si>
    <t>This antipattern is characterized by the lack of architecture specifications for a system under development. Usually, the architects responsible for the project have experience with previous system construction, and therefore assume that documentation is unnecessary.</t>
  </si>
  <si>
    <t>Derived from: "Architecture by Implication"&lt;br /&gt;  The antipattern is acceptable for a repeated solution, where there are minor differences to previous ones. The Architecture by Implication antipattern differs from the Stovepipe System antipattern in scope; the latter focuses on deficiencies in architecture. In particular, it identifies how improper abstraction of subcomponents leads to brittle architecture solutions. In contrast, the Architecture by Implication antipattern involves planning gaps constituted of multiple architecture viewpoints.</t>
  </si>
  <si>
    <t>Lack of architecture planning and specification; insufficient definition of architecture for software, hardware, communications, persistence, security, and systems management. Hidden risks caused by scale, domain knowledge, technology, and complexity, all of which emerge as the project progresses.</t>
  </si>
  <si>
    <t>No risk management. Overconfidence of managers, architects, and/or developers. Reliance on previous experience, which may differ in critical areas. Implicit and unresolved architecture issues caused by gaps in systems engineering.</t>
  </si>
  <si>
    <t>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t>
  </si>
  <si>
    <t>Without a standardized approach it is hard to make use of the different components, as they may rely on different styles of architecture and, therefore, suffer from inconsistency and poor performance.</t>
  </si>
  <si>
    <t>Stovepipe System</t>
  </si>
  <si>
    <t>Ambiguous Viewpoint</t>
  </si>
  <si>
    <t>Documentation</t>
  </si>
  <si>
    <t>duplication.json</t>
  </si>
  <si>
    <t>Duplication</t>
  </si>
  <si>
    <t>Two or more abstractions with highly similar functionality exist.</t>
  </si>
  <si>
    <t>Derived from: "Duplicated Code"&lt;br /&gt; Don't Repeat Yourself! While Microservices usually follow a "share nothing" philosophy, reuse is a common theme in SOA. Service normalization and consolidation are therefore frequent activities in an SOA to reduce the level of duplication. In Microservices on the other, you consciously allow duplication to exist up to a certain degree, because it reduces coupling and dependencies in your system.</t>
  </si>
  <si>
    <t>Services or operations with similar or identical names and/or message parameters may exist in your system. If the ratio of similar words to the total number of words in the names exceeds 0.75 the smell is detected.</t>
  </si>
  <si>
    <t>Duplicated functionality reduces the level of reuse and may confuse service consumers that cannot identify the service or operation they need. Moreover, if this common functionality changes, it needs to change in all duplicated locations, therefore causing higher maintenance efforts. A culture of "build and expose" may form where the enterprise becomes a mess of services all attempting to do the same thing.</t>
  </si>
  <si>
    <t>Duplication usually occurs when multiple architects are working on different parts of the same architecture at the same time. Since they're working on different tasks, they may be unaware their colleague has already defined similar components that could be repurposed for their own needs. There's also more subtle duplication, when specific parts look different but actually perform the same job. This kind of duplication can be hard to find and fix. Sometimes duplication is purposeful. When rushing to meet deadlines and the existing architecture is "almost right" for the job, novice architects may not be able to resist the temptation of copying and pasting the relevant elements. And in some cases, the developer is simply too lazy to de-clutter.</t>
  </si>
  <si>
    <t>Consolidate the duplicate functionality into a single service. If necessary, raise the level of abstraction. Be aware though that this increases coupling in the system and may make the consolidated service a bottleneck or single point of failure.</t>
  </si>
  <si>
    <t>MATCH p1=(a) , p2=(b) &lt;br /&gt; where a&lt;&gt;b and a.ClassName = b.ClassName &lt;br /&gt; and apoc.text.jaroWinklerDistance (a.name, b.name) &lt;  $score &lt;br /&gt; UNWIND [p1,p2] as p &lt;br /&gt; RETURN p</t>
  </si>
  <si>
    <t>score</t>
  </si>
  <si>
    <t>range</t>
  </si>
  <si>
    <t>Score from 0 to 1. 0 = exact match and 1 = no similarity.</t>
  </si>
  <si>
    <t>Combinatorial Explosion</t>
  </si>
  <si>
    <t>ambiguity</t>
  </si>
  <si>
    <t>within elements</t>
  </si>
  <si>
    <t>deficient_names.json</t>
  </si>
  <si>
    <t>Deficient Names</t>
  </si>
  <si>
    <t>Pick a set of standard terminology and stick to it throughout your naming. Avoid meaningless names and try to match the responsibility/functionality of an component with an intuitive catchy name.</t>
  </si>
  <si>
    <t>Derived from: "Deficient Names"&lt;br /&gt; Does the name of the component succinctly describe what that component does? Could you read the element's name to a coworker and have them explain to you what it does?</t>
  </si>
  <si>
    <t>Unclear behavior of components and inconsistent names.</t>
  </si>
  <si>
    <t>Can be caused by multiple architects with no common standard of naming.</t>
  </si>
  <si>
    <t>Rename components. Support complementary or interrelated functionality to avoid misunderstanding.</t>
  </si>
  <si>
    <t>Placing types in names is a very stupid way of naming. It's not only redundant, but it forces you to change the name if the architecture is structured differently.</t>
  </si>
  <si>
    <t>Inconsistent Versioning</t>
  </si>
  <si>
    <t>the_god_object.json</t>
  </si>
  <si>
    <t>The God Object</t>
  </si>
  <si>
    <t>Megaservice</t>
  </si>
  <si>
    <t>A service that provides a large number of operations for multiple different business and technical abstractions. Often has a bloated interface and implementation.</t>
  </si>
  <si>
    <t>Derived from: "The God Object"</t>
  </si>
  <si>
    <t>The service possesses a variety of public interface operations that are related to different domains or entities. We consider an Application Component that implements multiple functions exposed by a single application service.</t>
  </si>
  <si>
    <t>Having only a few or even a single large service within the system may impact maintainability, performance, and availability. A very large service is harder to analyze and comprehend. Furthermore, multiple developers will concurrently work on the same service, which can cause unnecessary conflicts. Such a service will also have many consumers and therefore increases coupling in the system. Any changes to its interface result in ripples to these consumers. Moreover, testing such a service becomes very time consuming due to the dependencies within the service. The size and complexity of the service can also mean that using the service needs special effort. Lastly, such a service may become a performance bottleneck or a single point of failure.</t>
  </si>
  <si>
    <t>Hidden or unclear requirements may make it difficult to identify fitting abstractions. Wrongly applied patterns may also lead to a megaservice. The service designer may also be unfamiliar with the principles of high cohesion and low coupling.</t>
  </si>
  <si>
    <t>The megaservice should be decomposed into several smaller services. The service's inappropriate features need to be extracted to new components.</t>
  </si>
  <si>
    <t>A service that implements operations from different domains.</t>
  </si>
  <si>
    <t>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t>
  </si>
  <si>
    <t>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t>
  </si>
  <si>
    <t>./assets/god_object_archi.JPG</t>
  </si>
  <si>
    <t>functionOrServiceCnt</t>
  </si>
  <si>
    <t>The permitted number of functions implemented by an application component.</t>
  </si>
  <si>
    <t>Bloated Service</t>
  </si>
  <si>
    <t>Swiss Army Knife</t>
  </si>
  <si>
    <t>bloated_service.json</t>
  </si>
  <si>
    <t>A service that has one large interface with many parameters or requires much data and performs mostly heterogeneous operations with low cohesion.</t>
  </si>
  <si>
    <t>Derived from: "Long Parameter List"&lt;br /&gt; Don't get rid of options if doing so would cause unwanted dependency between components.</t>
  </si>
  <si>
    <t>A service requires a lot of information to perform its task.</t>
  </si>
  <si>
    <t>Bad understandability. Refactoring may reveal previously unnoticed Duplication of functionality.</t>
  </si>
  <si>
    <t>A long list of required inputs might happen after several types of operations are merged in a single element. A long list may have been created to control which functionality will be run and how. It's hard to understand such lists, which become contradictory and hard to use as they grow longer.</t>
  </si>
  <si>
    <t>Check what information is passed. Instead of passing a group of data received from another object, refer to the object itself. If there are several unrelated elements, sometimes you can merge them into a more abstract object.</t>
  </si>
  <si>
    <t>Overgeneralization</t>
  </si>
  <si>
    <t>incomplete_abstraction.json</t>
  </si>
  <si>
    <t>Incomplete Pairs</t>
  </si>
  <si>
    <t>This smell arises when an abstraction fails to provide all complementary methods. For example, in the case of a data structure, the abstraction must support adding and removing elements. If either of these interrelated methods is missing, the abstraction is considered incomplete. If an abstraction does not support complementary or interrelated functionality completely, resulting in another component needing to complete said feature.</t>
  </si>
  <si>
    <t>Derived from: "Incomplete Abstraction"</t>
  </si>
  <si>
    <t>Complementary feature pairs cannot be found in an EA process.</t>
  </si>
  <si>
    <t>Functionality also has to be implemented multiple times for each user. Unit tests for such functionality (e.g. data validation) may fail or contain a lot of overhead code to properly test such a service.</t>
  </si>
  <si>
    <t>Mainly caused by a lack of understanding that abstractions shall be self-contained, standalone functional components. A lack of communication in the development team can also lead to this antipattern, not adhering to language conventions or other standards.</t>
  </si>
  <si>
    <t>Refactor the functionality and aim for symmetric feature pairs.</t>
  </si>
  <si>
    <t>An element is named "start claim," but a complementary element "stop claim" is missing.</t>
  </si>
  <si>
    <t>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t>
  </si>
  <si>
    <t>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t>
  </si>
  <si>
    <t>./assets/incomplete_pairs.JPG</t>
  </si>
  <si>
    <t>pairs</t>
  </si>
  <si>
    <t>map</t>
  </si>
  <si>
    <t>[Record]</t>
  </si>
  <si>
    <t>A list of complementary key-value pairs.</t>
  </si>
  <si>
    <t>big_bang.json</t>
  </si>
  <si>
    <t>A strategy often preferred by large vendors where an entire Enterprise Architecture Model is built "at once".</t>
  </si>
  <si>
    <t>Derived from: "Big Bang"&lt;br /&gt; Even in the design process "divide and conquer is useful". So don't try to design the whole structure at the same time. Take steps to increase the quality of the system and avoid many other smells with a thought out architecture.</t>
  </si>
  <si>
    <t>Creating a whole Enterprise Architecture Model in a Big Bang may lead to poorly understood requirements and inconsistencies in the architecture. Communication between and integration of services may be inefficient.</t>
  </si>
  <si>
    <t>Due to fine-grained interfaces, services are not independent enough and an incremental development is not possible.</t>
  </si>
  <si>
    <t>Coarse grained user-oriented interfaces should be used and required capabilities should be properly decomposed into autonomous services.</t>
  </si>
  <si>
    <t>multifaceted_abstraction.json</t>
  </si>
  <si>
    <t>Divergent Change</t>
  </si>
  <si>
    <t>A good abstraction should only be responsible for one specific functionality, and when it encapsulates more than one responsibility, it signifies the the Multifaceted Abstraction Smell. The Multifaceted Abstraction Smell violates the single responsibility principle and has a low cohesion, which also violates the principle of modularization.</t>
  </si>
  <si>
    <t>Derived from: "Multifaceted Abstraction"&lt;br /&gt; High cohesion is one of the most important design principles. Services should provide operations that are closely related to each other. Functionality that is likely to change together should be in the same service.</t>
  </si>
  <si>
    <t>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t>
  </si>
  <si>
    <t>The Multifaceted Abstraction Smell violates the single responsibility principle, which also violates the principle of modularization. The maintainability of such a service may be reduced. It may be more difficult to analyze and grasp all provided service functionality. The business logic is not reusable, because it contains service-specific implementation. Low cohesion and possibly low availability with high response times.</t>
  </si>
  <si>
    <t>Often these divergent modifications are due to poor architectural structure or "cloning".</t>
  </si>
  <si>
    <t>Split up the behavior of the component. These components should dispatch requests to the underlying business logic.</t>
  </si>
  <si>
    <t>A business actor performing more than one business processes, or an application component realizing two different Services.</t>
  </si>
  <si>
    <t>MATCH (m)-[r:AssignmentRelationship|RealizationRelationship]-&gt;(n)  &lt;br /&gt; WITH m, COUNT(r) AS rCount  &lt;br /&gt; MATCH p = (m)-[r:AssignmentRelationship|RealizationRelationship]-&gt;(n)  &lt;br /&gt; WHERE rCount&gt;1  &lt;br /&gt; RETURN  p</t>
  </si>
  <si>
    <t>MATCH (m)-[r:AssignmentRelationship|RealizationRelationship]-&gt;(n) WITH m, COUNT(r) AS rCount MATCH p = (m)-[r:AssignmentRelationship|RealizationRelationship]-&gt;(n) WHERE rCount&gt;1 RETURN count (distinct m)</t>
  </si>
  <si>
    <t>./assets/multifaceted_abstraction.JPG</t>
  </si>
  <si>
    <t>Connector Envy</t>
  </si>
  <si>
    <t>Large Component</t>
  </si>
  <si>
    <t>Low Cohesive Operations</t>
  </si>
  <si>
    <t>MismatchedData.json</t>
  </si>
  <si>
    <t>Mismatched data</t>
  </si>
  <si>
    <t>The case of mismatched data may arise when the structure of the data produced by the source is incompatible with the structure required by the element</t>
  </si>
  <si>
    <t>The Element in the process can not continue because of incompatible data</t>
  </si>
  <si>
    <t>Data-flow related defects</t>
  </si>
  <si>
    <t>weakened_modularity.json</t>
  </si>
  <si>
    <t>The Knot</t>
  </si>
  <si>
    <t>Each module must strive for high cohesion and low coupling. This smell arises when a module exhibits high coupling and low cohesion.</t>
  </si>
  <si>
    <t>Derived from: "Weakened Modularity"&lt;br /&gt; High cohesion is one of the most important design principles. Modules should provide operations that are closely related to each other. Functionality that is likely to change together should be in the same artifact.</t>
  </si>
  <si>
    <t>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t>
  </si>
  <si>
    <t>The maintainability and possibility for development may be reduced. It may be more difficult to analyze and grasp all provided functionality.</t>
  </si>
  <si>
    <t>Often these divergent modifications are due to poor program structure.</t>
  </si>
  <si>
    <t>Split up the behavior of the module.</t>
  </si>
  <si>
    <t>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t>
  </si>
  <si>
    <t>internalRels</t>
  </si>
  <si>
    <t>Number of intenral relationships.</t>
  </si>
  <si>
    <t>Artificial Coupling</t>
  </si>
  <si>
    <t>IncosistentData.json</t>
  </si>
  <si>
    <t>Inconsistent Data</t>
  </si>
  <si>
    <t>To address this anti-pattern within the EA domain, it is necessary to understand how concurrent processes arise in ArchiMate. Such a scenario may occur when a process flow is divided by an AND Junction, resulting in multiple concurrent processes. If these processes access the same data source, they may do so simultaneously, resulting in inconsistent data. Data elements retrieves an outdated value due to data synchronisation problems with other elements in the process.</t>
  </si>
  <si>
    <t>Derived from: "Inconsistent Data" BPM anti-pattern</t>
  </si>
  <si>
    <t>A concurrent process may arise in the ArchiMate when a process flow is split by an "AND" Junction, then the process is branched in two or more flows that run simultaneously. If those processes that have driven from the same branch access the same data source, this could mean they have simultaneous access to data, and this may lead to inconsistency of data.</t>
  </si>
  <si>
    <t>Elements will retrieve the wrong data value from an data element</t>
  </si>
  <si>
    <t>The "Start event" element initiates a concurrent process. The "Process order" and "Evaluate customer credit" elements operate simultaneously and access the same data source, "Order data." Consequently, data consistency cannot be ensured, and any modifications made by one element may remain unnoticed by the other.</t>
  </si>
  <si>
    <t>MATCH (startNode:Junction {type: 'and'}) &lt;br /&gt; MATCH (endNode:BusinessObject|DataObject) &lt;br /&gt; CALL apoc.path.expandConfig(startNode,{relationshipFilter:"AccessRelationship&gt;|TriggeringRelationship&gt;|FlowRelationship&gt;|AssociationRelationship&gt;", &lt;br /&gt; minLevel: $minLevel, &lt;br /&gt; maxLevel: $maxLevel, &lt;br /&gt; terminatorNodes:[endNode] &lt;br /&gt; }) &lt;br /&gt; YIELD path AS p &lt;br /&gt; RETURN p</t>
  </si>
  <si>
    <t>MATCH (startNode:Junction {type: 'and'})  MATCH (endNode:BusinessObject|DataObject)  CALL apoc.path.expandConfig(startNode,{relationshipFilter:"AccessRelationship&gt;|TriggeringRelationship&gt;|FlowRelationship&gt;|AssociationRelationship&gt;",  minLevel: $minLevel,  maxLevel: $maxLevel, terminatorNodes:[endNode] &lt;br /&gt; })  YIELD path AS p RETURN COUNT (DISTINCT endNode)</t>
  </si>
  <si>
    <t>./assets/inconsistentData_v1.JPG</t>
  </si>
  <si>
    <t>Lack of Synchronization.json</t>
  </si>
  <si>
    <t>Lack of Synchronization</t>
  </si>
  <si>
    <t>The term refers to a situation where concurrent processes are not properly synchronized, leading to unpredictable or inconsistent process flows. The "Lack of Synchronization" is a modeling error that occurs whenever an And Junction is combined with an Or Junction. All outgoing arrows from the And Junction will be activated. But the semantic of the Or Junction is to wait for only one element.</t>
  </si>
  <si>
    <t>Derived from: "Lack of Synchronization" BPM anti-pattern</t>
  </si>
  <si>
    <t>The "Lack of Synchronization" occurs when the process has been split by an "And Junction", later joined by an "OR Junction". The "OR Junction" violates the synchronized manner of the process.</t>
  </si>
  <si>
    <t>This may result in unwanted behavior because we don’t wait for both elements to end.</t>
  </si>
  <si>
    <t>Consider the semantics of junctions and remodel the process to prevent synchronization problems.</t>
  </si>
  <si>
    <t>After "Start Event", the process is split by an AND Junction into two separate processes, "Evaluate Customer credit" and "Process order" are running simultaneously. These two processes are dependent on each other. For example, the order should be canceled if the customer does not have enough credit. Therefore the actions "Evaluate Customer credit" and "Process order" should be considered as a synchronized process, but by having an OR Junction, the synchronization can not be guaranteed anymore, and "End Event" can be triggered by one of both processes, which leads to an undesired result.</t>
  </si>
  <si>
    <t>MATCH (a)-[r]-&gt;(endNode:Junction {type: 'or'}) &lt;br /&gt; WITH COUNT(r) as rCnt, endNode &lt;br /&gt; WHERE rCnt&gt;1 &lt;br /&gt; WITH endNode &lt;br /&gt; MATCH (startNode:Junction{type: 'and'}) &lt;br /&gt; CALL apoc.path.expandConfig(startNode,{relationshipFilter:"TriggeringRelationship&gt;|FlowRelationship&gt;|AssociationRelationship&gt;", &lt;br /&gt; minLevel: $minLevel, &lt;br /&gt; maxLevel: $maxLevel, &lt;br /&gt; endNode:[endNode] &lt;br /&gt; }) &lt;br /&gt; YIELD path AS p &lt;br /&gt; RETURN p</t>
  </si>
  <si>
    <t>MATCH (a)-[r]-&gt;(endNode:Junction {type: 'or'}) with count(r) as rCnt, endNode where rCnt&gt;1 with endNode MATCH (startNode:Junction{type: 'and'}) CALL apoc.path.expandConfig(startNode,{relationshipFilter:"TriggeringRelationship&gt;|FlowRelationship&gt;|AssociationRelationship&gt;", minLevel: 3, maxLevel: 10, endNode:[endNode] }) YIELD path AS p RETURN COUNT (DISTINCT endNode)</t>
  </si>
  <si>
    <t>./assets/lackof_sync.JPG</t>
  </si>
  <si>
    <t>combinatorial_explosion.json</t>
  </si>
  <si>
    <t>Missing Encapsulation</t>
  </si>
  <si>
    <t>A subtle form of Duplication, this smell exists when numerous elements do the same thing using different combinations of data or behavior.</t>
  </si>
  <si>
    <t>Derived from: "Combinatorial Explosion"</t>
  </si>
  <si>
    <t>Services implement identical behavior but rely on different data sources. According to the ArchiMate specification, if two abstractions realize the same behavior, each can fully implement the behavior. However, both services provide identical functionality in this scenario while accessing separate data sources, leading to duplication.</t>
  </si>
  <si>
    <t>Lack of refactoring and awareness of changing concerns, making naive design decisions.</t>
  </si>
  <si>
    <t>Factor out strategies, such that the common functionality is provided once.</t>
  </si>
  <si>
    <t>The existence of "Combinatorial Explosion" in the EA domain may have different reasons. According to the graphical example, two services provide the same functionality but get the data from two different sources because the data can not be shared.</t>
  </si>
  <si>
    <t>MATCH (a)-[r:RealizationRelationship]-&gt;(b) &lt;br /&gt; WITH b, COUNT (a) AS implCount &lt;br /&gt; MATCH p = (d)-[r1:AccessRelationship|AssociationRelationship]-(a)-[r:RealizationRelationship]-&gt;(b) &lt;br /&gt; WHERE implCount&gt;1 &lt;br /&gt; RETURN p</t>
  </si>
  <si>
    <t>MATCH (a)-[r:RealizationRelationship]-&gt;(b) WITH b, COUNT (a) AS implCount MATCH p = (d)-[r1:AccessRelationship]-(a)-[r:RealizationRelationship]-&gt;(b) WHERE implCount&gt;1 RETURN count (distinct a)</t>
  </si>
  <si>
    <t>./assets/combinatorial_explosion_v1.JPG</t>
  </si>
  <si>
    <t>jumble.json</t>
  </si>
  <si>
    <t>Jumble</t>
  </si>
  <si>
    <t>When horizontal and vertical design elements are intermixed, an unstable architecture results. Vertical design elements are dependent upon the individual application and specific implementations. Horizontal design elements are those that are common across applications and specific implementations.</t>
  </si>
  <si>
    <t>Derived from: "Jumble"&lt;br /&gt; It takes some time to fully understand the meaning and implications of horizontal and vertical design elements. Horizontal rather talks about technical related and vertical talks more about business functionality. In particular, the Horizontal-Vertical-Metadata (HVM) pattern establishes key principles for software architecture design that could be adapted for EA. The Jumble antipattern describes the most common misuse of these principles.</t>
  </si>
  <si>
    <t>Unstable architecture with unclear possibilities for development.</t>
  </si>
  <si>
    <t>The first step is to identify the horizontal design elements and delegate them to a separate architecture layer. Then use the horizontal elements to capture the common interoperability functionality in the architecture.</t>
  </si>
  <si>
    <t>business_process_forever.json</t>
  </si>
  <si>
    <t>Business Process Forever</t>
  </si>
  <si>
    <t>No Businessmen Involvement</t>
  </si>
  <si>
    <t>Business processes have been strictly defined and are now static and cannot be easily changed.</t>
  </si>
  <si>
    <t>Derived from: "Business Process Forever"&lt;br /&gt; Especially in small and medium sized businesses, business processes are often not stable. Moreover, not enough data of good quality may be available to allow a solid design.</t>
  </si>
  <si>
    <t>Business process owners have little to no control over the outcome and quality of their processes, since they cannot change their structure. They are merely observers.</t>
  </si>
  <si>
    <t>Business processes have been rigorously defined in the past and are now regarded as stable by technical experts. Therefore, business owners may not be able to easily commission for changes.</t>
  </si>
  <si>
    <t>End-users have to be involved in the business processes and therefore, user-oriented interfaces have to be created. In Microservices, cross-functional teams ensure a holistic view on services and their functionality.</t>
  </si>
  <si>
    <t>MATCH (a)-[r]-(b) WHERE toLower(a.ClassName) contains 'service' and toLower(b.ClassName) contains 'service' with a , count (r) as cnt where cnt&gt; 3 MATCH p = (a)-[r1]-(b) WHERE toLower(a.ClassName) contains 'service' and toLower(b.ClassName) contains 'service' RETURN count(distinct a)</t>
  </si>
  <si>
    <t>ambiguous_viewpoint.json</t>
  </si>
  <si>
    <t>Analysis and design models are often presented without clarifying the viewpoint represented by the model. Mixed viewpoints don't allow the fundamental separation of concerns, confusing blueprints of abstractions and implementation details.</t>
  </si>
  <si>
    <t>Derived from: "Ambiguous Viewpoint"&lt;br /&gt; Models can be less useful if they don't focus on the required perspective(s). A perspective applies filters to the information. It can also be the case that multiple viewpoints are maintained, although no stakeholder is responsible for this unused viewpoint. Then viewpoints are created just for the sake of having viewpoints.</t>
  </si>
  <si>
    <t>No explicit description and designation of the viewpoint.</t>
  </si>
  <si>
    <t>Different viewpoints emphasize different aspects, which can also cause disregard of some crucial factors of other viewpoints.</t>
  </si>
  <si>
    <t>It is hard to specify every important aspect from all possible viewpoints. Thus, it is important to state the taken viewpoint which should be elaborated extensively.</t>
  </si>
  <si>
    <t>There are five fundamental layers for EA models: business, application, technology &amp; physical, strategy and implementation &amp; migration. Thus, those viewpoints can be differentiated and considered explicitly. Additionally, multiple stakeholders may have different point of views, which should be taken into consideration. Of course the chosen point of view has to be specified.</t>
  </si>
  <si>
    <t>Defining a model for a telephone exchange system will vary significantly depending upon the focus provided by the following perspectives: Telephone user, who cares about the ease of making calls and receiving itemized bills. Telephone operator, who cares about connecting users to required numbers. Telephone accounting department, which cares about the formulae for billing and records of all calls made by users.</t>
  </si>
  <si>
    <t>ContradictionInInput.json</t>
  </si>
  <si>
    <t>Contradiction in input</t>
  </si>
  <si>
    <t>Refers to Or Junction conditions that are contradicting in itself. For example, Or Junction conditions that only result in one path if the variable A equals to 10 and 5 at the same time.</t>
  </si>
  <si>
    <t>It results into Dead Element smell because we never could reach one path of junction for example because the rules never apply for that path.</t>
  </si>
  <si>
    <t>Rule-related defects</t>
  </si>
  <si>
    <t>feature_envy.json</t>
  </si>
  <si>
    <t>This Smell occurs when an abstraction becomes more focused on the methods and fields of other abstractions rather than its functions and variables. This issue typically arises when data and functionality that should be kept together are separated across multiple components. It is often, but not always, accompanied by another smell, Data Service.</t>
  </si>
  <si>
    <t>Derived from: "Feature Envy"&lt;br /&gt; Sometimes behavior is purposefully kept separate from the element that holds the data. The usual advantage of this is the ability to dynamically change the behavior. Depending on the architecture, this smell can be applied differently.</t>
  </si>
  <si>
    <t>Searching for a service that utilizes the capabilities of a data service. Specifically, there exists a serving relationship between the data service and feature envy.</t>
  </si>
  <si>
    <t>This smell may occur after further data is moved to a data component. If this is the case, you may want to move the operations on data to this component as well.</t>
  </si>
  <si>
    <t>As a basic rule, if things change at the same time, you should keep them in the same place. Usually data and functions that use this data are changed together (although exceptions are possible).</t>
  </si>
  <si>
    <t>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t>
  </si>
  <si>
    <t>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t>
  </si>
  <si>
    <t>./assets/feature_envy.JPG</t>
  </si>
  <si>
    <t>stovepipe_system.json</t>
  </si>
  <si>
    <t>Alternative Components with Different Interfaces</t>
  </si>
  <si>
    <t>Multiple systems within an EA model are designed independently at every level. It occurs when the interface of two components are different and yet the components themselves are quite similar. Subsystems are integrated in an ad hoc manner using multiple integration strategies and mechanisms.</t>
  </si>
  <si>
    <t>Derived from: "Stovepipe System"&lt;br /&gt; Stovepipe is a popular term used to describe software systems with ad hoc architectures. It is a metaphor to the exhaust pipes of wood-burning stoves, so-called pot-bellied stoves. Since wood burning produces corrosive substances that erode metal, a stovepipe must be constantly maintained and repaired in order to avoid leakage. Often, the pipes are repaired with any materials at hand, thus wood-burning stovepipes quickly become a hodgepodge of ad hoc repairs - hence, the reference is used to describe the ad hoc structure of many systems.</t>
  </si>
  <si>
    <t>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t>
  </si>
  <si>
    <t>Technical and utility functions are implemented inconsistently. Development time of stovepipe services is considerably larger. Duplication and different implementations for the same functionality also has a negative impact on maintainability. Lack of commonality inhibits interoperability between systems, prevents reuse, and drives up cost; in addition, reinvented system architecture and services lack quality structure supporting adaptability.</t>
  </si>
  <si>
    <t>Inexperience in developing multilayer architectures is one reason that can result in stovepipe systems. They can also be caused by insufficient team communication and a lack of design reviews.</t>
  </si>
  <si>
    <t>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t>
  </si>
  <si>
    <t>The components 'Legal Expense CRM System' and 'General CRM System' look similar, although having different interfaces.</t>
  </si>
  <si>
    <t>MATCH p1=(a)--(b:ApplicationInterface|BusinessInterface|TechnologyInterface), p2=(c)--(d:ApplicationInterface|BusinessInterface|TechnologyInterface) &lt;br /&gt; WHERE a&lt;&gt;c and b&lt;&gt;d and  apoc.text.jaroWinklerDistance (a.name, c.name) &lt; $score &lt;br /&gt; UNWIND [p1,p2] as p &lt;br /&gt; RETURN p</t>
  </si>
  <si>
    <t>MATCH p1=(a)--(b:ApplicationInterface|BusinessInterface|TechnologyInterface), p2=(c)--(d:ApplicationInterface|BusinessInterface|TechnologyInterface) WHERE a&lt;&gt;c and b&lt;&gt;d and  apoc.text.jaroWinklerDistance (a.name, c.name) &lt; $score return COUNT (DISTINCT a)</t>
  </si>
  <si>
    <t>./assets/stovepipe_systems.JPG</t>
  </si>
  <si>
    <t>The similarity score ranges from zero to one, where zero indicates an exact match and one signifies no similarity between the strings.</t>
  </si>
  <si>
    <t>The Object-Orientation Abusers</t>
  </si>
  <si>
    <t>UndefinedJunctionCondition.json</t>
  </si>
  <si>
    <t>Undefined junction condition</t>
  </si>
  <si>
    <t>Forgotten Edge Case</t>
  </si>
  <si>
    <t>some of junction conditions are not specified. This Smell ocurs when the paths leaving from a Junction do not cover all possible outcomes in the model.</t>
  </si>
  <si>
    <t>The control flow of the EA Process is not defined at the junction point and therefore leaves room for interpretation.</t>
  </si>
  <si>
    <t>Define the junction with a note or use the documentation option of ArchiMate.</t>
  </si>
  <si>
    <t>The cases x is less than y and vice versa are covered, but the case x equals y is missing.</t>
  </si>
  <si>
    <t>./assets/undefined_junction.JPG</t>
  </si>
  <si>
    <t>cyclic_dependency.json</t>
  </si>
  <si>
    <t>Cyclic Dependency</t>
  </si>
  <si>
    <t>Circular Dependency</t>
  </si>
  <si>
    <t>This smell arises when two or more abstractions depend on each other directly or indirectly (creating a tight coupling between the abstractions). A cyclic chain of calls between abstractions exists.</t>
  </si>
  <si>
    <t>Derived from: "Cyclic Dependency" or "Circular Dependency" &lt;br /&gt; A special form of Cyclic Dependency is sometimes exhibited with specializations. A subtype has an obvious dependency on its supertype. However, when the supertype also depends on the subtype (for instance, by having an explicit reference to the subtype), it results in a cyclic dependency.</t>
  </si>
  <si>
    <t>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t>
  </si>
  <si>
    <t>Abstractions involved in a cyclic dependency can be harder to maintain or reuse, as they are more strongly coupled.</t>
  </si>
  <si>
    <t>Hard to visualize indirect dependencies.</t>
  </si>
  <si>
    <t>Resolve the cycles by e.g. relocating functionality (merging) or use an intermediary element.</t>
  </si>
  <si>
    <t>A depends on B, B on C and C on A</t>
  </si>
  <si>
    <t>MATCH (m) WITH collect(m) as nodes CALL apoc.nodes.cycles(nodes, {maxDepth: $maxDepth}) YIELD path RETURN path as p</t>
  </si>
  <si>
    <t>./assets/cyclic_dependency.JPG</t>
  </si>
  <si>
    <t>The max length of cyclic path between elements.</t>
  </si>
  <si>
    <t>TheWordOrInElementName.json</t>
  </si>
  <si>
    <t>The word Or in element name</t>
  </si>
  <si>
    <t>'The word Or in element name' derived from a BPM anti-pattern "`OR` between verbs". It occurs when an elements name consists of multiple significant verbs separated by the word ``or``.</t>
  </si>
  <si>
    <t>Derived from: "'OR' between verbs"</t>
  </si>
  <si>
    <t>For detection in ArchiMate, we looking at elements with an "OR" between two or more verbs.</t>
  </si>
  <si>
    <t>The information about the decision is missing and therefore leaving room for interpretation.</t>
  </si>
  <si>
    <t>Use junctions to model the decision making.</t>
  </si>
  <si>
    <t>Consider an element with name "execute x or y", which is not followed by an OR Junction. This behavior may lead to misunderstanding or misinterpretation because the decision information about when which function should be executed is missing.</t>
  </si>
  <si>
    <t>MATCH p = (a)--&gt;(b) &lt;br /&gt; WHERE toLower(a.name) contains toLower(" or ") and b.ClassName &lt;&gt;'Junction'&lt;br /&gt; RETURN p</t>
  </si>
  <si>
    <t>MATCH p = (a)--&gt;(b) &lt;br /&gt; WHERE toLower(a.name) contains toLower(" or ") and b.ClassName &lt;&gt;'Junction'&lt;br /&gt; RETURN count(DISTINCT a)</t>
  </si>
  <si>
    <t>./assets/word_or_in_element.JPG</t>
  </si>
  <si>
    <t>lazy_component.json</t>
  </si>
  <si>
    <t>Poltergeist</t>
  </si>
  <si>
    <t>A component that is not doing enough to pay for itself should be eliminated. Those components have limited responsibilities. That way, they clutter design, creating unnecessary abstractions. Although delegation is good, and one of the key fundamental features of abstractions, too much of a good thing can lead to objects that add no value, simply passing messages on to another component.</t>
  </si>
  <si>
    <t>Derived from: "Lazy Class" and "Middle Man"&lt;br /&gt; This smell can be the result of overzealous elimination of Message Chains. Sometimes a Lazy Component is created in order to delineate intentions for future development or to avoid dependencies between elements (e.g. Decorator Pattern). In this case, try to maintain a balance between clarity and simplicity in your architecture.</t>
  </si>
  <si>
    <t>Transient associations. Temporary, short-duration objects. Single-operation elements that exist only to "seed" or "invoke" other components through temporary associations. Often can be identified through the name containing "controller" or "manager".</t>
  </si>
  <si>
    <t>This smell can be the result of overzealous elimination of Message Chains. In other cases, it can be the result of the useful work of a functional component being gradually moved to other components during refactoring, for example. The original component remains as an empty shell that has become ridiculously small and doesn't do anything other than delegate.</t>
  </si>
  <si>
    <t>Collapse Hierarchy and redistribute functionality: After their removal, however, the functionality that was "provided" must be replaced. This is easy with a simple adjustment to correct the architecture.</t>
  </si>
  <si>
    <t>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t>
  </si>
  <si>
    <t>MATCH p=(n) &lt;br /&gt;  WHERE n.Label contains 'controller' or n.Label contains 'manager' &lt;br /&gt; RETURN p</t>
  </si>
  <si>
    <t>Nanoservice</t>
  </si>
  <si>
    <t>Dead Component</t>
  </si>
  <si>
    <t>Freeloader</t>
  </si>
  <si>
    <t>Unnecessary Abstraction</t>
  </si>
  <si>
    <t>Gypsy</t>
  </si>
  <si>
    <t>inconsistent_versioning.json</t>
  </si>
  <si>
    <t>A lack of semantically consistent versions of EA models (e.g. v1.1, v1.2, etc.) or poor versioning in general.</t>
  </si>
  <si>
    <t>Derived from: "API Versioning"&lt;br /&gt; The version is the first hint at different behaviors or changed functionality.</t>
  </si>
  <si>
    <t>In case of updates to non-semantically versioned models, users may face breaking changes. For example, the structure is changed fundamentally, such that the majority of procedures has to be performed in a new way.</t>
  </si>
  <si>
    <t>EA models need to be semantically versioned to allow easier communication and to decide whether the communication needs to be adapted to a new contract.</t>
  </si>
  <si>
    <t>release v1 of a model, and work on v3 afterwards</t>
  </si>
  <si>
    <t>chatty_service.json</t>
  </si>
  <si>
    <t>When a service requires multiple interactions with other services to complete a single task, it is considered "chatty" and leads to increased overhead. A high number of operations is required to complete one abstraction. Such operations are typically rather simple tasks that needlessly slow down an entire process.</t>
  </si>
  <si>
    <t>Derived from: "Chatty Service"</t>
  </si>
  <si>
    <t>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"Chatty Service". The threshold is set to three, though enterprise architects can adjust this based on their specific criteria.</t>
  </si>
  <si>
    <t>Maintenance becomes harder, like e.g. changing the order of invocations. Many interactions are required, which leads to overall higher time consumption. This can be especially harmful when synchronous tasks are chained together.</t>
  </si>
  <si>
    <t>Simple operations should not be made available to other elements. Instead, a more coarse-grained operation should be created to fulfill an abstraction.</t>
  </si>
  <si>
    <t>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t>
  </si>
  <si>
    <t>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t>
  </si>
  <si>
    <t>./assets/chatty_service.JPG</t>
  </si>
  <si>
    <t>interactionCnt</t>
  </si>
  <si>
    <t>The permissible count of related operation for a service that the chatty service communicate with.</t>
  </si>
  <si>
    <t>vendor_lock-in.json</t>
  </si>
  <si>
    <t>Standardization Paralysis</t>
  </si>
  <si>
    <t>The Vendor Lock-In is an anti-pattern when a product becomes strongly dependent on a technology provided by a vendor.</t>
  </si>
  <si>
    <t>Derived from: "Vendor Lock-In"&lt;br /&gt; Standardization is a useful part of any technical domain, but standards are commonly set by large software vendors and do not focus on compatibility with other standards.</t>
  </si>
  <si>
    <t>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t>
  </si>
  <si>
    <t>Being overly reliant on a vendor's technology impacts the software quality, and the cost of switching to another technology becomes so high that the software is forced to stick with the current vendor.</t>
  </si>
  <si>
    <t>The tendency to standardize all technical aspects and dimensions leads to such an overstandardization.</t>
  </si>
  <si>
    <t>An Isolation layer is a solution to avoid such a strong coupling between the product and vendor's implementation.</t>
  </si>
  <si>
    <t>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t>
  </si>
  <si>
    <t>MATCH (n) &lt;br /&gt; WHERE ANY (x in keys(n) WHERE n[x] IN $vendors OR toLower(x) IN $external) &lt;br /&gt; AND NOT EXISTS{ &lt;br /&gt;  (n)--(i) where toLower(i.ClassName) contains toLower('interface') &lt;br /&gt; } &lt;br /&gt; RETURN count(DISTINCT n)</t>
  </si>
  <si>
    <t>./assets/vendor_lockin.JPG</t>
  </si>
  <si>
    <t>external</t>
  </si>
  <si>
    <t>The property of the element that marks it as external.</t>
  </si>
  <si>
    <t>vendors</t>
  </si>
  <si>
    <t>Vendors' name(s).</t>
  </si>
  <si>
    <t>Product-Dependent Architecture</t>
  </si>
  <si>
    <t>message_chain.json</t>
  </si>
  <si>
    <t>Service Chain</t>
  </si>
  <si>
    <t>A chain of service calls and messages fulfills common functionality.</t>
  </si>
  <si>
    <t>Derived from: "Message Chain"&lt;br /&gt; Multiple services exist that call each other sequentially to fulfill an abstraction or business process. Overly aggressive delegate hiding can cause structures in which it is hard to see where the functionality is actually occurring.</t>
  </si>
  <si>
    <t>Restricted to Service Chains: a transitive Service Chain with at least four relations exists.</t>
  </si>
  <si>
    <t>Such a chain may slow down performance and reduces the availability of the chained abstraction. It may also be harder to change the abstraction, especially with respect to the invocation order of services.</t>
  </si>
  <si>
    <t>The organization may have created a detailed map of processes, which resulted in a series of grand "end to end" process models that are categorized by their large number of steps and a lack of sub-processes. However, no valid business services have been identified and thus the process maps have been created without a proper service structure. This makes identifying valid services a tricky process, especially when looking for cross-functional or horizontal services.</t>
  </si>
  <si>
    <t>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t>
  </si>
  <si>
    <t>Services are called one after the other in a chain.</t>
  </si>
  <si>
    <t>MATCH (m) where toLower(m.ClassName) CONTAINS 'service' &lt;br /&gt; CALL apoc.path.expand(m, 'TriggeringRelationship&gt;|FlowRelationship&gt;|AssociationRelationship&gt;|AssignmentRelationship&gt;', '+BusinessService|+ApplicationService|+TechnlogyService', $minLevel, $maxLevel)  &lt;br /&gt; Yield path as p&lt;br /&gt; return p</t>
  </si>
  <si>
    <t>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t>
  </si>
  <si>
    <t>./assets/message_chain.JPG</t>
  </si>
  <si>
    <t>The minimum length that the query considers for detecting a message chain.</t>
  </si>
  <si>
    <t>The maximum length that the query considers for detecting a message chain.</t>
  </si>
  <si>
    <t>MissingNegativeCase.json</t>
  </si>
  <si>
    <t>Missing Negative Case</t>
  </si>
  <si>
    <t>The "Missing Negative Case" is a process anti-pattern. It occurs when in a model, only the positive cases are considered, and the negative ones are disregarded.Only positive results are modeled in the EA Process.</t>
  </si>
  <si>
    <t>Derived from: "Missing negative"&lt;br /&gt; BPM anti-pattern.</t>
  </si>
  <si>
    <t xml:space="preserve"> We can detect the "Missing Negative Case" EA Smell in the ArchiMate analogous to BPM by looking for elements with positive phrases without having the corresponding negative case in the model.</t>
  </si>
  <si>
    <t>As Murphy's Law states, if there is a chance of failure, it will happen. If we do not model failure it leads to undefined behavior in case it happens.</t>
  </si>
  <si>
    <t>The EA process should be enhanced with more process paths that lead to different outcomes.</t>
  </si>
  <si>
    <t xml:space="preserve"> There is an element "Product ordered successfully," but no corresponding element, that addresses the opposing case.</t>
  </si>
  <si>
    <t>MATCH p=(m)&lt;-[r:TriggeringRelationship|FlowRelationship]-(j) &lt;br /&gt; WHERE any (name in $positivePhrases &lt;br /&gt; where toLower(m.name) CONTAINS toLower(name)) &lt;br /&gt; AND not EXISTS ((m)&lt;--(:Junction {type: "or"})) &lt;br /&gt; RETURN p &lt;br /&gt; UNION &lt;br /&gt; MATCH p= (m)&lt;-[r:TriggeringRelationship|FlowRelationship]-(j:Junction {type: "or"}) &lt;br /&gt; WHERE any (name in $positivePhrases where toLower(m.name) CONTAINS toLower(name)) &lt;br /&gt; WITH p, m,j &lt;br /&gt; WHERE not exists { &lt;br /&gt; MATCH (j)--&gt;(t) &lt;br /&gt; WHERE m&lt;&gt;t &lt;br /&gt; } &lt;br /&gt; RETURN p</t>
  </si>
  <si>
    <t>MATCH p=(m)&lt;-[r:TriggeringRelationship|FlowRelationship]-(j) WHERE any (name in [ "successfully", "without errors", "in Time", "Develop"] where toLower(m.name) CONTAINS toLower(name)) AND not EXISTS ((m)&lt;--(:Junction {type: "or"})) RETURN count (distinct m)</t>
  </si>
  <si>
    <t>./assets/missing_negative_case.JPG</t>
  </si>
  <si>
    <t>positivePhrases</t>
  </si>
  <si>
    <t>positive phrase(s) for specifying the positive cases.</t>
  </si>
  <si>
    <t>JunctionNamedAsElement.json</t>
  </si>
  <si>
    <t>Junction named as element</t>
  </si>
  <si>
    <t>Indicates that a junction represents a task, which determines the choice.</t>
  </si>
  <si>
    <t>A junction's name must contain "junction" or should not have a name. Otherwise, it is a Smell candidate.. Otherwise, it is a Smell candidate.</t>
  </si>
  <si>
    <t>A Process Model lose its maintainability.</t>
  </si>
  <si>
    <t>The junction should not be named, except for referencing.</t>
  </si>
  <si>
    <t>MATCH p=(n:Junction) &lt;br /&gt; WHERE NOT isEmpty(n.name) AND NOT tolower(n.name) CONTAINS "junction" &lt;br /&gt; RETURN p</t>
  </si>
  <si>
    <t>MATCH (n:Junction) WHERE NOT isEmpty(n.name) AND NOT tolower(n.name) CONTAINS 'junction' RETURN count (distinct n)</t>
  </si>
  <si>
    <t>./assets/junction_as_name.JPG</t>
  </si>
  <si>
    <t>processDoesNotContainStart.json</t>
  </si>
  <si>
    <t>Start Event Missing</t>
  </si>
  <si>
    <t>If a process chain does not have a start event, then it might not be clear where and when it has to be started, or maybe it might not be carried out after all. Although the ArchiMate Language does not contain a specified start event, the event element should be used to begin a process.</t>
  </si>
  <si>
    <t>Derived from: "Start Event Missing"</t>
  </si>
  <si>
    <t>We consider process chains that have no event element at the beginning of the chain.</t>
  </si>
  <si>
    <t>If the starting eventis missing it will be hard to locate the start of the EA process.</t>
  </si>
  <si>
    <t>A starting event should be added. In a simple EA process model, it is not required.</t>
  </si>
  <si>
    <t>The Business Process "Receive Order" is not triggered by an event</t>
  </si>
  <si>
    <t>MATCH (startNode:BusinessProcess|ApplicationProcess|TechnologyProcess) &lt;br /&gt; WHERE NOT EXISTS((startNode)&lt;--()) &lt;br /&gt; MATCH (endNode:BusinessProcess|ApplicationProcess|TechnologyProcess) &lt;br /&gt; CALL apoc.path.expandConfig(startNode,{relationshipFilter:"TriggeringRelationship&gt;|FlowRelationship&gt;|AssociationRelationship&gt;", &lt;br /&gt; minLevel: $minLevel, &lt;br /&gt; maxLevel: $maxLevel, &lt;br /&gt; endNode: endNode &lt;br /&gt; })  &lt;br /&gt; YIELD path AS p &lt;br /&gt; RETURN p</t>
  </si>
  <si>
    <t>MATCH (startNode:BusinessProcess|ApplicationProcess|TechnologyProcess) &lt;br /&gt; WHERE NOT EXISTS((startNode)&lt;--()) &lt;br /&gt; MATCH (endNode:BusinessProcess|ApplicationProcess|TechnologyProcess) &lt;br /&gt; CALL apoc.path.expandConfig(startNode,{relationshipFilter:"TriggeringRelationship&gt;|FlowRelationship&gt;|AssociationRelationship&gt;", &lt;br /&gt; minLevel: $minLevel, &lt;br /&gt; maxLevel: $maxLevel, &lt;br /&gt; endNode: endNode &lt;br /&gt; })  &lt;br /&gt; YIELD path AS p &lt;br /&gt; RETURN count (DISTINCT startNode)</t>
  </si>
  <si>
    <t>./assets/no_end_event.JPG</t>
  </si>
  <si>
    <t>connector_envy.json</t>
  </si>
  <si>
    <t>Services implement large amounts of low-level interaction-related functionality, e.g. for communication, coordination, conversation, or facilitation. These functionalities should be implemented by a connector instead.</t>
  </si>
  <si>
    <t>Derived from: "Connector Envy"</t>
  </si>
  <si>
    <t>Reusability is reduced, because these low-level details are too specific and not agnostic enough. Understandability is reduced, because different concerns are mixed. Testability is reduced, because the connector and service functionality cannot be tested separately.</t>
  </si>
  <si>
    <t>Performance may have been preferred over maintainability, since separation of connector and service functionality would create an additional level of indirection.</t>
  </si>
  <si>
    <t>Extract the interaction-related functionality into a separate connector service.</t>
  </si>
  <si>
    <t xml:space="preserve">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t>
  </si>
  <si>
    <t>TheWordAndInElementName.json</t>
  </si>
  <si>
    <t>The word And in element name</t>
  </si>
  <si>
    <t>'The word And in element name' derived from a BPM anti-pattern "`AND` between verbs". It occurs when an elements name consists of multiple significant verbs separated by the word "and".</t>
  </si>
  <si>
    <t>Derived from: "'And' between verbs"</t>
  </si>
  <si>
    <t>For detection in ArchiMate, we looking at elements with an "AND" between two or more verbs.</t>
  </si>
  <si>
    <t>Capturing multiple abstractions in one element makes the model hard to maintain.</t>
  </si>
  <si>
    <t>The element should be split up.</t>
  </si>
  <si>
    <t>Consider an element with name "Update account and pay for the services". It is unclear if the updating account happens before paying for the services or if both should be executed in parallel.</t>
  </si>
  <si>
    <t>MATCH p = (a)--&gt;(b) &lt;br /&gt; WHERE toLower(a.name) contains toLower(" and ") &lt;br /&gt; RETURN p</t>
  </si>
  <si>
    <t>MATCH p = (a)--&gt;(b) WHERE toLower(a.name) contains toLower(" and ") RETURN count (distinct a)</t>
  </si>
  <si>
    <t>./assets/and_between_elems.JPG</t>
  </si>
  <si>
    <t>DeadElements.json</t>
  </si>
  <si>
    <t>Dead Element</t>
  </si>
  <si>
    <t>Dead elements are elements that will never be executed</t>
  </si>
  <si>
    <t>EA Process Model might lose its maintainability due to having a lot of elements that do not serve any purpose.</t>
  </si>
  <si>
    <t>overgeneralization.json</t>
  </si>
  <si>
    <t>In order to assure that components provide the greatest extent of reusability, they must be flexibly applicable. This generalization can be overdone though, which will result in overgeneralization. It will become more flexible than it actually needs to be.</t>
  </si>
  <si>
    <t>Derived from: "Ambiguous Interface"&lt;br /&gt; A service offers a single and very general operation instead of allocating its provided functionality. Sometimes combined with Bloated Service.</t>
  </si>
  <si>
    <t>In the ArchiMate modeling language, we can detect this Smell by searching for components that perform many functions and communicate with various services but publish only one service exposed by an interface.</t>
  </si>
  <si>
    <t>Not only does this smell lead to additional development work, it also makes using the components more difficult. Analyzability and understandability are reduced, because a service does not allocate all its provided functionality in a clear manner. Therefore, a user has to analyze this element before using it.</t>
  </si>
  <si>
    <t>May easily appear in systems, where interactions are not explicitly modeled and multiple services exchange event messages on a regular basis.</t>
  </si>
  <si>
    <t>This problem can be tackled by moving the always identical user modifications into the component. Otherwise, split the single generic operation into multiple more specialized operations to allow for more suitable applications.</t>
  </si>
  <si>
    <t>Interface with a single operation that needs further information as input in order to yield the desired result. Overgeneralization (Ambiguous Interface) appears specifically in publish-subscribe patterns. In ArchiMate, detecting this Smell involves identifying components that perform numerous functions and interact with various services but expose only one service through an interface.</t>
  </si>
  <si>
    <t>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p</t>
  </si>
  <si>
    <t>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count (distinct c)</t>
  </si>
  <si>
    <t>./assets/overgeneralization.JPG</t>
  </si>
  <si>
    <t>Permitted number of functions that performed by the overgeneralized componennt.</t>
  </si>
  <si>
    <t>dense_structure.json</t>
  </si>
  <si>
    <t>This smell arises when an EA repository has excessive and dense dependencies without any particular structure.</t>
  </si>
  <si>
    <t>Derived from: "Dense Structure"</t>
  </si>
  <si>
    <t>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t>
  </si>
  <si>
    <t>Modifications to the system may be cumbersome and many dependencies have to be added, due to the high coupling.</t>
  </si>
  <si>
    <t>Inefficient abstraction that needs high coupling of components to work.</t>
  </si>
  <si>
    <t>Extensive restructuring and rethinking of the architecture is needed, if the problems get noticeable.</t>
  </si>
  <si>
    <t>MATCH (p) &lt;br /&gt; WITH  avg(apoc.node.degree(p)) as degree &lt;br /&gt; WHERE degree &gt; $degree &lt;br /&gt; MATCH p = (a)--(b) &lt;br /&gt; RETURN p</t>
  </si>
  <si>
    <t>degree</t>
  </si>
  <si>
    <t>Degree of density.</t>
  </si>
  <si>
    <t>MissingData.json</t>
  </si>
  <si>
    <t>Missing Data</t>
  </si>
  <si>
    <t>The Data Object is specified for the Process Element but the Data Object source does not exist.</t>
  </si>
  <si>
    <t>Derived from: "Missing Data" BPM anti-pattern.</t>
  </si>
  <si>
    <t>Element can not be continued, due to missing data.</t>
  </si>
  <si>
    <t>The "Business Process k" accesses the data source to retrieve the data x, but the data is deleted several steps earlier by "Business Process i."</t>
  </si>
  <si>
    <t>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apoc.path.expandConfig(startNode,{relationshipFilter:"TriggeringRelationship&gt;|FlowRelationship&gt;|AssociationRelationship&gt;", &lt;br /&gt; minLevel: $minLevel, &lt;br /&gt; maxLevel: $maxLevel,  &lt;br /&gt; terminatorNodes:[endNode] &lt;br /&gt; }) &lt;br /&gt; YIELD path AS p &lt;br /&gt;  RETURN p</t>
  </si>
  <si>
    <t>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apoc.path.expandConfig(startNode,{relationshipFilter:"TriggeringRelationship&gt;|FlowRelationship&gt;|AssociationRelationship&gt;", &lt;br /&gt; minLevel: $minLevel, &lt;br /&gt; maxLevel: $maxLevel,  &lt;br /&gt; terminatorNodes:[endNode] &lt;br /&gt; }) &lt;br /&gt; YIELD path AS p &lt;br /&gt;  RETURN COUNT (DISTINCT startNode)</t>
  </si>
  <si>
    <t>./assets/missing_data.JPG</t>
  </si>
  <si>
    <t>delete</t>
  </si>
  <si>
    <t>string</t>
  </si>
  <si>
    <t>Property that specifies the deletion of certain data.</t>
  </si>
  <si>
    <t>read</t>
  </si>
  <si>
    <t>Property that specifies the retrieval of certain data.</t>
  </si>
  <si>
    <t>documentation.json</t>
  </si>
  <si>
    <t>Comments</t>
  </si>
  <si>
    <t>When you feel like writing a long and complex comment on aspects and the use of one element, try to refactor so that the comment becomes superfluous. Often documentations are even poorly written or completely unnecessary.</t>
  </si>
  <si>
    <t>Derived from: "Comments"&lt;br /&gt; Explanations can sometimes be useful: When explaining why something is being implemented in a particular way. When explaining complex structures/processes (when all other methods for simplification have been tried and come up short). Note that this smell is called "Documentation" because it is compliant to the ArchiMate-Notation. Maybe it should be renamed in the future with a more accurate name, because it can be confused with a holistic documentation.</t>
  </si>
  <si>
    <t>Search for quite long (default length 256) documentation belonging to one complex element or comments explaining obvious things.</t>
  </si>
  <si>
    <t>Comments are usually created with the best of intentions, when something is not intuitive or obvious. In such cases, explanations are like a deodorant masking the smell of fishy abstractions that could be improved.</t>
  </si>
  <si>
    <t>Refactor elements to make them self-explanatory.</t>
  </si>
  <si>
    <t>MATCH p = (n)&lt;br /&gt; WHERE size(n.documentation) &gt; $docLength &lt;br /&gt; RETURN p</t>
  </si>
  <si>
    <t>MATCH p = (n) WHERE size(n.documentation) &gt; $docLength  RETURN COUNT (DISTINCT n)</t>
  </si>
  <si>
    <t>docLength</t>
  </si>
  <si>
    <t>The character length of the documentation.</t>
  </si>
  <si>
    <t>strict_layers_violation.json</t>
  </si>
  <si>
    <t>Strict Layers Violation</t>
  </si>
  <si>
    <t>Archimate's specification offers certain relationships between it's core layers. They are realization and serving relationships. Serving is used when an element from upper layer use the services from lower layer and realization is used when a lower level realizes or implements the more abstract concept from the upper layer.  The application and technology layers must communicate with the business layer with these two types of relations. Using other relation types is not syntactically restricted, although not suggested.</t>
  </si>
  <si>
    <t>Derived from: "Strict Layers Violation"&lt;br /&gt; This violation very often occurs in the real world, although the model itself defined the layers and processes precisely.</t>
  </si>
  <si>
    <t>Check whether a relationship except serving and realization exists between core layers in the ArchiMate.</t>
  </si>
  <si>
    <t>Alterability is affected. The number of a layer's potential clients will increase, and the dependency between layers will grow.</t>
  </si>
  <si>
    <t>Layers must be built based on conventions.</t>
  </si>
  <si>
    <t>MATCH p = (a)-[r]-(b) &lt;br /&gt; WHERE a.ArchimateLayer &lt;&gt; 'null' and b.ArchimateLayer &lt;&gt; 'null' &lt;br /&gt; and a.ArchimateLayer &lt;&gt; b.ArchimateLayer &lt;br /&gt; AND NOT (r.Label = 'ServingRelationship' or r.Label ='RealizationRelationship') &lt;br /&gt; return p</t>
  </si>
  <si>
    <t>MATCH p = (a)-[r]-(b)  WHERE a.ArchimateLayer &lt;&gt; 'null' and b.ArchimateLayer &lt;&gt; 'null' and a.ArchimateLayer &lt;&gt; b.ArchimateLayer AND NOT (r.Label = 'ServingRelationship' or r.Label ='RealizationRelationship') return count (Distinct a)</t>
  </si>
  <si>
    <t>./assets/strict_layer_1.JPG</t>
  </si>
  <si>
    <t>Process does not contain an end event.json</t>
  </si>
  <si>
    <t>End Event Missing</t>
  </si>
  <si>
    <t>The End Event Missing is a BPM anti-pattern. If a process chain does not contain an end event, it might not be clear where it is terminated. Unlike BPMN, ArchiMate does not have an End event, but we can consider an event element at the end of the EA process.</t>
  </si>
  <si>
    <t>Derived from: "End Event Missing"</t>
  </si>
  <si>
    <t>We consider process flows that have no event element at the end of the chain.</t>
  </si>
  <si>
    <t>If the end event is missing it will be hard to locate the end of the EA process. Terefore the understandhability of the EA Model is lowered.</t>
  </si>
  <si>
    <t>An end event should be added. In a simple EA process model, it is not required.</t>
  </si>
  <si>
    <t>The "Handle Decision" element does not have an end event. Therefore, we can not determine whether the process terminated after this step.</t>
  </si>
  <si>
    <t>MATCH (startNode:BusinessProcess|ApplicationProcess|TechnologyProcess) &lt;br /&gt; MATCH (endNode:BusinessProcess|ApplicationProcess|TechnologyProcess) &lt;br /&gt; where not exists ((endNode)--&gt;()) &lt;br /&gt; CALL apoc.path.expandConfig(startNode,{relationshipFilter:"TriggeringRelationship&gt;|FlowRelationship&gt;|AssociationRelationship&gt;", &lt;br /&gt; minLevel: $minLevel, &lt;br /&gt; maxLevel: $maxLevel, &lt;br /&gt; terminatorNodes:[endNode] &lt;br /&gt; }) &lt;br /&gt; YIELD path AS p &lt;br /&gt; RETURN p</t>
  </si>
  <si>
    <t>MATCH (startNode:BusinessProcess|ApplicationProcess|TechnologyProcess) &lt;br /&gt; MATCH (endNode:BusinessProcess|ApplicationProcess|TechnologyProcess) &lt;br /&gt; where not exists ((endNode)--&gt;()) &lt;br /&gt; CALL apoc.path.expandConfig(startNode,{relationshipFilter:"TriggeringRelationship&gt;|FlowRelationship&gt;|AssociationRelationship&gt;", &lt;br /&gt; minLevel: $minLevel, &lt;br /&gt; maxLevel: $maxLevel, &lt;br /&gt; terminatorNodes:[endNode] &lt;br /&gt; }) &lt;br /&gt; YIELD path AS p &lt;br /&gt; RETURN count (distinct endNode)</t>
  </si>
  <si>
    <t>LayoutDeficit.json</t>
  </si>
  <si>
    <t>Layout deficit</t>
  </si>
  <si>
    <t>The EA Model has problematic spatial layout such as placing of element, spacing, or reading direction.</t>
  </si>
  <si>
    <t>A Process Model lose its maintainability, due being inconsistent.</t>
  </si>
  <si>
    <t>nanoservices.json</t>
  </si>
  <si>
    <t>Solution Sprawl</t>
  </si>
  <si>
    <t>A nano service is a fine-grained service with a simple operation that implements only a part of an abstraction and exchanges a large amount of information with a group of services to complete an abstraction task.</t>
  </si>
  <si>
    <t>Derived from: "Nanoservices"&lt;br /&gt; A SOA is often created by combining several relatively simple services. These services may not have been built with an SOA scenario in mind, but may rely more on simple RPC interaction. This may produce a large number of calls between services.</t>
  </si>
  <si>
    <t>A nanoservice interface provides only one or very few operations. A nanoservice generally implements an incomplete subset of one abstraction.</t>
  </si>
  <si>
    <t>Bad performance, fragmented logic, and an overhead in maintenance efforts. The functionality of one core abstraction is scattered across multiple services. This means multiple services may have to be changed to address a single feature or concept. Testing such a feature therefore also involves several services.</t>
  </si>
  <si>
    <t>Hidden or unclear requirements make it very hard to identify fitting abstractions. Sometimes, individual use cases are therefore mapped to separate services. Misunderstanding or wrongly applying patterns may also lead to nanoservices.</t>
  </si>
  <si>
    <t>Consolidate and merge the scattered, but related functionality into a single service.</t>
  </si>
  <si>
    <t>Single services for creating an order, delivering an order, updating an order, and approving an order.</t>
  </si>
  <si>
    <t>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t>
  </si>
  <si>
    <t>MATCH (a)-[r:CompositionRelationship]-&gt;(n) WITH a, COUNT(n) AS cnt WHERE cnt &gt;= $nanoServiceCount MATCH p1=(a)-[r:CompositionRelationship]-&gt;(n) return count (distinct n)</t>
  </si>
  <si>
    <t>./assets/nanoservice.JPG</t>
  </si>
  <si>
    <t>nanoServiceCount</t>
  </si>
  <si>
    <t>Number of nanoservices.</t>
  </si>
  <si>
    <t>Fine-Grained Services</t>
  </si>
  <si>
    <t>dead_component.json</t>
  </si>
  <si>
    <t>dead Code</t>
  </si>
  <si>
    <t>A component is no longer used (usually because it is now obsolete). Or you have generic or abstract elements that are not actually needed today. Such components often exists to support future behavior, which may or may not be necessary in the future.</t>
  </si>
  <si>
    <t>Derived from: "Dead Code"&lt;br /&gt; Dead Code is software or lines of code that are no longer used or have become redundant but, for safety’s sake, remain in the code base.</t>
  </si>
  <si>
    <t>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t>
  </si>
  <si>
    <t>Unused elements increase the complexity which harms the readability and maintainability.</t>
  </si>
  <si>
    <t>When requirements have changed or corrections have been made, nobody had time to clean up the old structure. Sometimes components are created "just in case" to support anticipated future features that never get implemented.</t>
  </si>
  <si>
    <t>Delete unused elements. Redistribute the functionality and aggregate components.</t>
  </si>
  <si>
    <t>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t>
  </si>
  <si>
    <t>MATCH p = (n) &lt;br /&gt; WHERE NOT ()--(n) &lt;br /&gt; RETURN p</t>
  </si>
  <si>
    <t>MATCH (n) WHERE NOT ()--(n) RETURN count (distinct n)</t>
  </si>
  <si>
    <t>./assets/deadComponent.JPG</t>
  </si>
  <si>
    <t>Boat Anchor</t>
  </si>
  <si>
    <t>(blank)</t>
  </si>
  <si>
    <t>Grand Total</t>
  </si>
  <si>
    <t>EA Smell Name</t>
  </si>
  <si>
    <t>Description</t>
  </si>
  <si>
    <t>Context</t>
  </si>
  <si>
    <t>Consequences`</t>
  </si>
  <si>
    <t>Cause</t>
  </si>
  <si>
    <t>Modifiability</t>
  </si>
  <si>
    <t>Structure</t>
  </si>
  <si>
    <t>Behavior</t>
  </si>
  <si>
    <t>Interoperability</t>
  </si>
  <si>
    <t>Comprehensibility</t>
  </si>
  <si>
    <t>Strategic Alignment</t>
  </si>
  <si>
    <t>Included?</t>
  </si>
  <si>
    <t>N</t>
  </si>
  <si>
    <t>Junction-condition and process-flow correctness</t>
  </si>
  <si>
    <t>Executability of process-model elements</t>
  </si>
  <si>
    <t>Process execution and flow termination</t>
  </si>
  <si>
    <t>Completeness of component-level functionality</t>
  </si>
  <si>
    <t>Data consistency in concurrent process flows</t>
  </si>
  <si>
    <t>Process-loop termination and control flow</t>
  </si>
  <si>
    <t>Junction representation in process models</t>
  </si>
  <si>
    <t>Synchronization of concurrent process flows</t>
  </si>
  <si>
    <t>Model labels and naming conventions</t>
  </si>
  <si>
    <t>Model layout and visual representation</t>
  </si>
  <si>
    <t>Data compatibility during process execution</t>
  </si>
  <si>
    <t>Data availability during process execution</t>
  </si>
  <si>
    <t>Completeness of process paths and scenarios</t>
  </si>
  <si>
    <t>Process termination representation</t>
  </si>
  <si>
    <t>Process-start representation</t>
  </si>
  <si>
    <t>Process-element naming convention</t>
  </si>
  <si>
    <t>Process-element naming and decision representation</t>
  </si>
  <si>
    <t>Process control-flow conditions</t>
  </si>
  <si>
    <t>Completeness of modeled process scenarios</t>
  </si>
  <si>
    <t>Y</t>
  </si>
  <si>
    <t>Theoretical basis in Lankhorst et al.</t>
  </si>
  <si>
    <t>Operationalization in this study</t>
  </si>
  <si>
    <t>Modifiability — Structure</t>
  </si>
  <si>
    <t>Modifiability — Behavior</t>
  </si>
  <si>
    <t>Count</t>
  </si>
  <si>
    <t>Reason for exclusion</t>
  </si>
  <si>
    <t>Source: RWTH EA Smell Catalogue</t>
  </si>
  <si>
    <r>
      <rPr>
        <b/>
        <sz val="11"/>
        <color theme="1"/>
        <rFont val="Aptos Narrow"/>
        <scheme val="minor"/>
      </rPr>
      <t>Sources:</t>
    </r>
    <r>
      <rPr>
        <sz val="11"/>
        <color theme="1"/>
        <rFont val="Aptos Narrow"/>
        <family val="2"/>
        <scheme val="minor"/>
      </rPr>
      <t xml:space="preserve">
Lankhorst, M. (2017). Enterprise Architecture at Work: Modelling, Communication and Analysis (4th ed.). Springer.
</t>
    </r>
  </si>
  <si>
    <t>RWTH Aachen University. EA Smell Catalogue. EA Smell Catalogue</t>
  </si>
  <si>
    <t>EA Concen</t>
  </si>
  <si>
    <t>Architectural Scope</t>
  </si>
  <si>
    <t>Analytical Grouping</t>
  </si>
  <si>
    <t>Architectural structuring operations affect quality attributes such as modifiability.</t>
  </si>
  <si>
    <t>Service orientation promotes interoperability at the information technology and higher semantic levels.</t>
  </si>
  <si>
    <t>The comprehensibility of a representation for its intended audience is crucial for effective communication.</t>
  </si>
  <si>
    <t>Architecture alignment concerns aligning IT architecture with business architecture and acts as a regulating idea that directs architectural decisions.</t>
  </si>
  <si>
    <t>Primary architectural effect is increased difficulty changing, maintaining, or evolving the architecture due to structural characteristics such as coupling, cohesion, component organization, or dependencies.</t>
  </si>
  <si>
    <t>Primary architectural effect is increased difficulty changing, maintaining, or evolving the architecture due to interactions or behavioral dependencies between architectural elements, such as service calls or chains.</t>
  </si>
  <si>
    <t>Primary architectural effect is impaired interaction, integration, or information exchange between architectural elements, including problems arising from incompatible interfaces or inappropriate separation of interacting concerns.</t>
  </si>
  <si>
    <t>Primary architectural effect is reduced clarity, interpretability, or understandability of the architecture, its elements, relationships, responsibilities, or representation.</t>
  </si>
  <si>
    <t>Primary architectural effect is a constraint on the architecture's ability to support business needs, architectural direction, or longer-term organizational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</si>
</sst>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theme="1"/>
      <name val="Aptos Narrow"/>
      <scheme val="minor"/>
    </font>
    <font>
      <sz val="11"/>
      <color theme="0"/>
      <name val="Aptos Narrow"/>
      <scheme val="minor"/>
    </font>
    <font>
      <sz val="11"/>
      <color theme="1"/>
      <name val="Aptos Narrow"/>
      <scheme val="minor"/>
    </font>
    <font>
      <sz val="11"/>
      <color theme="1"/>
      <name val="Calibri"/>
      <family val="2"/>
      <charset val="1"/>
    </font>
    <font>
      <sz val="8"/>
      <name val="Aptos Narrow"/>
      <family val="2"/>
      <scheme val="minor"/>
    </font>
  </fonts>
  <fills count="5">
    <fill>
      <patternFill patternType="none"/>
    </fill>
    <fill>
      <patternFill patternType="gray125"/>
    </fill>
    <fill>
      <patternFill patternType="solid">
        <fgColor theme="4"/>
        <bgColor theme="4"/>
      </patternFill>
    </fill>
    <fill>
      <patternFill patternType="solid">
        <fgColor rgb="FFFFC000"/>
        <bgColor indexed="64"/>
      </patternFill>
    </fill>
    <fill>
      <patternFill patternType="solid">
        <fgColor theme="0" tint="-0.14999847407452621"/>
        <bgColor indexed="64"/>
      </patternFill>
    </fill>
  </fills>
  <borders count="10">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diagonal/>
    </border>
    <border>
      <left/>
      <right style="thin">
        <color theme="4"/>
      </right>
      <top style="thin">
        <color theme="4"/>
      </top>
      <bottom style="thin">
        <color theme="4"/>
      </bottom>
      <diagonal/>
    </border>
    <border>
      <left style="thin">
        <color theme="4"/>
      </left>
      <right/>
      <top/>
      <bottom/>
      <diagonal/>
    </border>
    <border>
      <left/>
      <right style="thin">
        <color theme="4"/>
      </right>
      <top/>
      <bottom/>
      <diagonal/>
    </border>
    <border>
      <left/>
      <right/>
      <top/>
      <bottom style="thin">
        <color theme="4"/>
      </bottom>
      <diagonal/>
    </border>
  </borders>
  <cellStyleXfs count="3">
    <xf numFmtId="0" fontId="0" fillId="0" borderId="0"/>
    <xf numFmtId="0" fontId="1" fillId="0" borderId="0"/>
    <xf numFmtId="0" fontId="7" fillId="0" borderId="0"/>
  </cellStyleXfs>
  <cellXfs count="31">
    <xf numFmtId="0" fontId="0" fillId="0" borderId="0" xfId="0"/>
    <xf numFmtId="0" fontId="0" fillId="0" borderId="0" xfId="0" applyAlignment="1">
      <alignment horizontal="left"/>
    </xf>
    <xf numFmtId="0" fontId="0" fillId="0" borderId="0" xfId="0" applyAlignment="1">
      <alignment vertical="top" wrapText="1"/>
    </xf>
    <xf numFmtId="0" fontId="0" fillId="0" borderId="0" xfId="0" pivotButton="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5" xfId="0" applyFont="1" applyFill="1" applyBorder="1" applyAlignment="1">
      <alignment horizontal="left" vertical="top" wrapText="1"/>
    </xf>
    <xf numFmtId="0" fontId="3" fillId="0" borderId="1"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left" vertical="top" wrapText="1"/>
    </xf>
    <xf numFmtId="0" fontId="0" fillId="0" borderId="2" xfId="0" applyBorder="1" applyAlignment="1">
      <alignment horizontal="left" vertical="top"/>
    </xf>
    <xf numFmtId="0" fontId="0" fillId="0" borderId="5" xfId="0" applyBorder="1" applyAlignment="1">
      <alignment horizontal="left" vertical="top"/>
    </xf>
    <xf numFmtId="0" fontId="3" fillId="0" borderId="3" xfId="0" applyFont="1"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xf>
    <xf numFmtId="0" fontId="5" fillId="2" borderId="2" xfId="0" applyFont="1" applyFill="1" applyBorder="1" applyAlignment="1">
      <alignment horizontal="left" vertical="top" wrapText="1"/>
    </xf>
    <xf numFmtId="0" fontId="6" fillId="0" borderId="2" xfId="0" applyFont="1" applyBorder="1" applyAlignment="1">
      <alignment horizontal="left" vertical="top" wrapText="1"/>
    </xf>
    <xf numFmtId="0" fontId="6" fillId="0" borderId="4" xfId="0" applyFont="1" applyBorder="1" applyAlignment="1">
      <alignment horizontal="left" vertical="top" wrapText="1"/>
    </xf>
    <xf numFmtId="0" fontId="2" fillId="0" borderId="8" xfId="0" applyFont="1" applyBorder="1" applyAlignment="1">
      <alignment horizontal="left" vertical="top" wrapText="1"/>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0" fillId="0" borderId="5" xfId="0" applyBorder="1" applyAlignment="1">
      <alignment horizontal="left" vertical="top" wrapText="1"/>
    </xf>
    <xf numFmtId="0" fontId="3" fillId="0" borderId="0" xfId="0" applyFont="1" applyAlignment="1">
      <alignment vertical="top" wrapText="1"/>
    </xf>
    <xf numFmtId="0" fontId="0" fillId="0" borderId="6" xfId="0" applyBorder="1" applyAlignment="1">
      <alignment horizontal="left" vertical="top" wrapText="1"/>
    </xf>
    <xf numFmtId="0" fontId="6" fillId="4" borderId="0" xfId="0" applyFont="1" applyFill="1" applyAlignment="1">
      <alignment horizontal="left" vertical="top"/>
    </xf>
    <xf numFmtId="0" fontId="0" fillId="4" borderId="0" xfId="0" applyFill="1" applyAlignment="1">
      <alignment horizontal="left" vertical="top"/>
    </xf>
    <xf numFmtId="0" fontId="0" fillId="4" borderId="0" xfId="0" applyFill="1" applyAlignment="1">
      <alignment horizontal="left"/>
    </xf>
    <xf numFmtId="0" fontId="4" fillId="3" borderId="9" xfId="0" applyFont="1" applyFill="1" applyBorder="1" applyAlignment="1">
      <alignment horizontal="center"/>
    </xf>
    <xf numFmtId="0" fontId="0" fillId="3" borderId="9" xfId="0" applyFill="1" applyBorder="1" applyAlignment="1">
      <alignment horizontal="center"/>
    </xf>
  </cellXfs>
  <cellStyles count="3">
    <cellStyle name="Normal" xfId="0" builtinId="0"/>
    <cellStyle name="Normal 2" xfId="1" xr:uid="{D9AA45D9-3669-874E-B912-A1A5F4BE0B4C}"/>
    <cellStyle name="Normal 3" xfId="2" xr:uid="{5E22FDAA-4901-9D4B-B523-7FB6CE51EB2A}"/>
  </cellStyles>
  <dxfs count="1034">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top" textRotation="0" wrapText="1" indent="0" justifyLastLine="0" shrinkToFit="0" readingOrder="0"/>
      <border diagonalUp="0" diagonalDown="0" outline="0">
        <left/>
        <right style="thin">
          <color theme="4"/>
        </right>
        <top style="thin">
          <color theme="4"/>
        </top>
        <bottom/>
      </border>
    </dxf>
    <dxf>
      <border outline="0">
        <top style="thin">
          <color theme="4"/>
        </top>
      </border>
    </dxf>
    <dxf>
      <fill>
        <patternFill patternType="none">
          <fgColor indexed="64"/>
          <bgColor auto="1"/>
        </patternFill>
      </fill>
      <alignment vertical="top"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border diagonalUp="0" diagonalDown="0">
        <left/>
        <right/>
        <top style="thin">
          <color theme="4"/>
        </top>
        <bottom/>
        <vertical/>
        <horizontal/>
      </border>
    </dxf>
    <dxf>
      <font>
        <b/>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border diagonalUp="0" diagonalDown="0">
        <left/>
        <right/>
        <top style="thin">
          <color theme="4"/>
        </top>
        <bottom/>
        <vertical/>
        <horizontal/>
      </border>
    </dxf>
    <dxf>
      <font>
        <b/>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border diagonalUp="0" diagonalDown="0">
        <left/>
        <right style="thin">
          <color theme="4"/>
        </right>
        <top style="thin">
          <color theme="4"/>
        </top>
        <bottom/>
        <vertical/>
        <horizontal/>
      </border>
    </dxf>
    <dxf>
      <font>
        <b val="0"/>
        <i val="0"/>
        <strike val="0"/>
        <condense val="0"/>
        <extend val="0"/>
        <outline val="0"/>
        <shadow val="0"/>
        <u val="none"/>
        <vertAlign val="baseline"/>
        <sz val="11"/>
        <color theme="1"/>
        <name val="Aptos Narrow"/>
        <family val="2"/>
        <scheme val="minor"/>
      </font>
      <alignment horizontal="left" vertical="top" textRotation="0" wrapText="0" indent="0" justifyLastLine="0" shrinkToFit="0" readingOrder="0"/>
      <border diagonalUp="0" diagonalDown="0">
        <left/>
        <right/>
        <top style="thin">
          <color theme="4"/>
        </top>
        <bottom/>
        <vertical/>
        <horizontal/>
      </border>
    </dxf>
    <dxf>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left" vertical="top"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 K" refreshedDate="46262.740029398148" createdVersion="8" refreshedVersion="8" minRefreshableVersion="3" recordCount="1313" xr:uid="{59437F2D-B24F-ED4D-91F8-EF7CF59BA157}">
  <cacheSource type="worksheet">
    <worksheetSource ref="A1:V1048576" sheet="Raw Data"/>
  </cacheSource>
  <cacheFields count="22">
    <cacheField name="Source.Name" numFmtId="0">
      <sharedItems containsBlank="1" count="65">
        <s v="Deadlock.json"/>
        <s v="shotgun_surgery.json"/>
        <s v="hub-like_modularization.json"/>
        <s v="sand_pile.json"/>
        <s v="0_default_anitpattern.json"/>
        <s v="LanguageDeficit.json"/>
        <s v="nothing_new.json"/>
        <s v="scattered_parasitic_functionality.json"/>
        <s v="shared_persistency.json"/>
        <s v="missing_abstraction.json"/>
        <s v="deficient_encapsulation.json"/>
        <s v="data_service.json"/>
        <s v="Infinite Loop.json"/>
        <s v="data-driven_migration.json"/>
        <s v="useless_test.json"/>
        <s v="incomplete_node_or_collaboration.json"/>
        <s v="golden_hammer.json"/>
        <s v="wrong_cuts.json"/>
        <s v="temporary_solution.json"/>
        <s v="no_legacy.json"/>
        <s v="warm_bodies.json"/>
        <s v="the_shiny_nickel.json"/>
        <s v="architecture_by_implication.json"/>
        <s v="duplication.json"/>
        <s v="deficient_names.json"/>
        <s v="the_god_object.json"/>
        <s v="bloated_service.json"/>
        <s v="incomplete_abstraction.json"/>
        <s v="big_bang.json"/>
        <s v="multifaceted_abstraction.json"/>
        <s v="MismatchedData.json"/>
        <s v="weakened_modularity.json"/>
        <s v="IncosistentData.json"/>
        <s v="Lack of Synchronization.json"/>
        <s v="combinatorial_explosion.json"/>
        <s v="jumble.json"/>
        <s v="business_process_forever.json"/>
        <s v="ambiguous_viewpoint.json"/>
        <s v="ContradictionInInput.json"/>
        <s v="feature_envy.json"/>
        <s v="stovepipe_system.json"/>
        <s v="UndefinedJunctionCondition.json"/>
        <s v="cyclic_dependency.json"/>
        <s v="TheWordOrInElementName.json"/>
        <s v="lazy_component.json"/>
        <s v="inconsistent_versioning.json"/>
        <s v="chatty_service.json"/>
        <s v="vendor_lock-in.json"/>
        <s v="message_chain.json"/>
        <s v="MissingNegativeCase.json"/>
        <s v="JunctionNamedAsElement.json"/>
        <s v="processDoesNotContainStart.json"/>
        <s v="connector_envy.json"/>
        <s v="TheWordAndInElementName.json"/>
        <s v="DeadElements.json"/>
        <s v="overgeneralization.json"/>
        <s v="dense_structure.json"/>
        <s v="MissingData.json"/>
        <s v="documentation.json"/>
        <s v="strict_layers_violation.json"/>
        <s v="Process does not contain an end event.json"/>
        <s v="LayoutDeficit.json"/>
        <s v="nanoservices.json"/>
        <s v="dead_component.json"/>
        <m/>
      </sharedItems>
    </cacheField>
    <cacheField name="Name" numFmtId="0">
      <sharedItems containsBlank="1"/>
    </cacheField>
    <cacheField name="Value.name" numFmtId="0">
      <sharedItems containsBlank="1" count="65">
        <s v="Deadlock"/>
        <s v="Shotgun Surgery"/>
        <s v="Hub-like Modularization"/>
        <s v="Sand Pile"/>
        <s v=""/>
        <s v="Language Deficit"/>
        <s v="Nothing New"/>
        <s v="Scattered Parasitic Functionality"/>
        <s v="Shared Persistency"/>
        <s v="Missing Abstraction"/>
        <s v="Deficient Encapsulation"/>
        <s v="Data Service"/>
        <s v="Infinite Loop"/>
        <s v="Data-Driven Migration"/>
        <s v="Useless Test"/>
        <s v="Incomplete Node or Collaboration"/>
        <s v="Golden Hammer"/>
        <s v="Wrong Cuts"/>
        <s v="Temporary Solution"/>
        <s v="No Legacy"/>
        <s v="Warm Bodies"/>
        <s v="The Shiny Nickel"/>
        <s v="Architecture by Implication"/>
        <s v="Duplication"/>
        <s v="Deficient Names"/>
        <s v="The God Object"/>
        <s v="Bloated Service"/>
        <s v="Incomplete Pairs"/>
        <s v="Big Bang"/>
        <s v="Multifaceted Abstraction"/>
        <s v="Mismatched data"/>
        <s v="Weakened Modularity"/>
        <s v="Inconsistent Data"/>
        <s v="Lack of Synchronization"/>
        <s v="Combinatorial Explosion"/>
        <s v="Jumble"/>
        <s v="Business Process Forever"/>
        <s v="Ambiguous Viewpoint"/>
        <s v="Contradiction in input"/>
        <s v="Feature Envy"/>
        <s v="Stovepipe System"/>
        <s v="Undefined junction condition"/>
        <s v="Cyclic Dependency"/>
        <s v="The word Or in element name"/>
        <s v="Lazy Component"/>
        <s v="Inconsistent Versioning"/>
        <s v="Chatty Service"/>
        <s v="Vendor Lock-In"/>
        <s v="Message Chain"/>
        <s v="Missing Negative Case"/>
        <s v="Junction named as element"/>
        <s v="Start Event Missing"/>
        <s v="Connector Envy"/>
        <s v="The word And in element name"/>
        <s v="Dead Element"/>
        <s v="Overgeneralization"/>
        <s v="Dense Structure"/>
        <s v="Missing Data"/>
        <s v="Documentation"/>
        <s v="Strict Layers Violation"/>
        <s v="End Event Missing"/>
        <s v="Layout deficit"/>
        <s v="Nanoservices"/>
        <s v="Dead Component"/>
        <m/>
      </sharedItems>
    </cacheField>
    <cacheField name="Value.aliases" numFmtId="0">
      <sharedItems containsBlank="1"/>
    </cacheField>
    <cacheField name="Value.description" numFmtId="0">
      <sharedItems containsBlank="1" count="65" longText="1">
        <s v="It address the situations where the EA process can not continue  because it got into a stalemate. So no other elements can be further executed."/>
        <s v="Generally, when many abstractions are dependent to a single abstraction, any changes in the single abstraction may force some modifications in the dependent abstractions. This smell is evident when you must change lots of pieces in different places of the system simply to add a new or extended piece of behavior."/>
        <s v="This smell arises when an abstraction has dependencies (both incoming and outgoing) with a large number of other abstractions, being a single point of failure."/>
        <s v="An EA is implemented with one elementary service per component resulting in many small components that are sharing data."/>
        <s v=""/>
        <s v="This addresses incomplete, improper or ambiguous textual labels or labels that do not follow naming conventions."/>
        <s v="Practices of object-orientation or other non-SOA techniques are used because the principles of service orientation have not been understood."/>
        <s v="Multiple services are responsible for the same concern and some of these services are also responsible for orthogonal concerns."/>
        <s v="Different services access the same database. In the worst case, different services access the same entities of the same schema."/>
        <s v="Architects tend to make every functionality or data element a separate component, ignoring the benefits of abstractions altogether. In the EA domain, the model should also contain abstract elements to illustrate a more general point of view. The absence of such elements may indicate that the model suffers from Missing Abstraction EA Smell."/>
        <s v="This Smell occurs when an abstraction makes its members accessible to other abstractions in a more permissive way, which is not necessarily required. In the EA domain, particularly in the ArchiMate modeling language there are no access modifiers. As a result, we need to slightly adjust the definition to apply this concept to ArchiMate. Instead of modifiers, we try to identify sources of information that contain sensitive data while the rules for accessing those data are more lenient than necessary."/>
        <s v="A service that exclusively performs information retrieval and typically provides only simple read operations. Often goes hand in hand with Feature Envy, because relevant functionality is not provided."/>
        <s v="The &quot;Infinite Loop&quot; is a BPM anti-pattern that runs indefinitely because either a termination condition is missing or the condition is never fulfilled. It is a specific type of cyclic dependency. The key distinction is that, unlike typical cyclic dependencies where the process flow can exit the cycle after a certain number of iterations, in this situation, the process is trapped in an infinite loop with no opportunity for termination. If the execution is not aborted externally, then it will run forever."/>
        <s v="You migrate from a monolithic application to a microservices architecture and try to migrate both service functionality and the corresponding data together."/>
        <s v="The Useless Test EA Smell is derived from a BPM process anti-pattern. It arises when the modeled process takes into account only a subset of possible scenarios and neglects others."/>
        <s v="Occurs when responsibilities emerge in our system that clearly should be moved to a separate group, but we are unable or unwilling to modify the group to accept these new responsibilities"/>
        <s v="A system implements its functionality as services although there are no objective reasons for and benefits from this. It depicts the overzealous utilization of apparently universal solutions, instead of well suited adaptions of such solutions."/>
        <s v="Services are split on the basis of technical layers (presentation, business, and data layers) instead of business capabilities. Transactions extend across service boundaries and are not isolated inside services."/>
        <s v="Some components are introduced, in order to make a relatively fast adaption such that the established environment is working, although this temporary solution does not represent the desired or intended solution. This is the very common view of debt being taken."/>
        <s v="A legacy component is completely rebuilt instead of being (partly) modernized and integrated. Often, this anti-pattern is combined with the &quot;Big Bang&quot; anti-pattern where the entire system is built all at once."/>
        <s v="Project teams that grow beyond five people generally experience escalating difficulties with group coordination. The members have trouble making efficient decisions and maintaining a common vision. Working toward a near-term deadline is essential to encourage the team to focus and begin producing a solution."/>
        <s v="The latest technology buzz is incorporated into your system for the sake of telling people about it."/>
        <s v="This antipattern is characterized by the lack of architecture specifications for a system under development. Usually, the architects responsible for the project have experience with previous system construction, and therefore assume that documentation is unnecessary."/>
        <s v="Two or more abstractions with highly similar functionality exist."/>
        <s v="Pick a set of standard terminology and stick to it throughout your naming. Avoid meaningless names and try to match the responsibility/functionality of an component with an intuitive catchy name."/>
        <s v="A service that provides a large number of operations for multiple different business and technical abstractions. Often has a bloated interface and implementation."/>
        <s v="A service that has one large interface with many parameters or requires much data and performs mostly heterogeneous operations with low cohesion."/>
        <s v="This smell arises when an abstraction fails to provide all complementary methods. For example, in the case of a data structure, the abstraction must support adding and removing elements. If either of these interrelated methods is missing, the abstraction is considered incomplete. If an abstraction does not support complementary or interrelated functionality completely, resulting in another component needing to complete said feature."/>
        <s v="A strategy often preferred by large vendors where an entire Enterprise Architecture Model is built &quot;at once&quot;."/>
        <s v="A good abstraction should only be responsible for one specific functionality, and when it encapsulates more than one responsibility, it signifies the the Multifaceted Abstraction Smell. The Multifaceted Abstraction Smell violates the single responsibility principle and has a low cohesion, which also violates the principle of modularization."/>
        <s v="The case of mismatched data may arise when the structure of the data produced by the source is incompatible with the structure required by the element"/>
        <s v="Each module must strive for high cohesion and low coupling. This smell arises when a module exhibits high coupling and low cohesion."/>
        <s v="To address this anti-pattern within the EA domain, it is necessary to understand how concurrent processes arise in ArchiMate. Such a scenario may occur when a process flow is divided by an AND Junction, resulting in multiple concurrent processes. If these processes access the same data source, they may do so simultaneously, resulting in inconsistent data. Data elements retrieves an outdated value due to data synchronisation problems with other elements in the process."/>
        <s v="The term refers to a situation where concurrent processes are not properly synchronized, leading to unpredictable or inconsistent process flows. The &quot;Lack of Synchronization&quot; is a modeling error that occurs whenever an And Junction is combined with an Or Junction. All outgoing arrows from the And Junction will be activated. But the semantic of the Or Junction is to wait for only one element."/>
        <s v="A subtle form of Duplication, this smell exists when numerous elements do the same thing using different combinations of data or behavior."/>
        <s v="When horizontal and vertical design elements are intermixed, an unstable architecture results. Vertical design elements are dependent upon the individual application and specific implementations. Horizontal design elements are those that are common across applications and specific implementations."/>
        <s v="Business processes have been strictly defined and are now static and cannot be easily changed."/>
        <s v="Analysis and design models are often presented without clarifying the viewpoint represented by the model. Mixed viewpoints don't allow the fundamental separation of concerns, confusing blueprints of abstractions and implementation details."/>
        <s v="Refers to Or Junction conditions that are contradicting in itself. For example, Or Junction conditions that only result in one path if the variable A equals to 10 and 5 at the same time."/>
        <s v="This Smell occurs when an abstraction becomes more focused on the methods and fields of other abstractions rather than its functions and variables. This issue typically arises when data and functionality that should be kept together are separated across multiple components. It is often, but not always, accompanied by another smell, Data Service."/>
        <s v="Multiple systems within an EA model are designed independently at every level. It occurs when the interface of two components are different and yet the components themselves are quite similar. Subsystems are integrated in an ad hoc manner using multiple integration strategies and mechanisms."/>
        <s v="some of junction conditions are not specified. This Smell ocurs when the paths leaving from a Junction do not cover all possible outcomes in the model."/>
        <s v="This smell arises when two or more abstractions depend on each other directly or indirectly (creating a tight coupling between the abstractions). A cyclic chain of calls between abstractions exists."/>
        <s v="'The word Or in element name' derived from a BPM anti-pattern &quot;`OR` between verbs&quot;. It occurs when an elements name consists of multiple significant verbs separated by the word ``or``."/>
        <s v="A component that is not doing enough to pay for itself should be eliminated. Those components have limited responsibilities. That way, they clutter design, creating unnecessary abstractions. Although delegation is good, and one of the key fundamental features of abstractions, too much of a good thing can lead to objects that add no value, simply passing messages on to another component."/>
        <s v="A lack of semantically consistent versions of EA models (e.g. v1.1, v1.2, etc.) or poor versioning in general."/>
        <s v="When a service requires multiple interactions with other services to complete a single task, it is considered &quot;chatty&quot; and leads to increased overhead. A high number of operations is required to complete one abstraction. Such operations are typically rather simple tasks that needlessly slow down an entire process."/>
        <s v="The Vendor Lock-In is an anti-pattern when a product becomes strongly dependent on a technology provided by a vendor."/>
        <s v="A chain of service calls and messages fulfills common functionality."/>
        <s v="The &quot;Missing Negative Case&quot; is a process anti-pattern. It occurs when in a model, only the positive cases are considered, and the negative ones are disregarded.Only positive results are modeled in the EA Process."/>
        <s v="Indicates that a junction represents a task, which determines the choice."/>
        <s v="If a process chain does not have a start event, then it might not be clear where and when it has to be started, or maybe it might not be carried out after all. Although the ArchiMate Language does not contain a specified start event, the event element should be used to begin a process."/>
        <s v="Services implement large amounts of low-level interaction-related functionality, e.g. for communication, coordination, conversation, or facilitation. These functionalities should be implemented by a connector instead."/>
        <s v="'The word And in element name' derived from a BPM anti-pattern &quot;`AND` between verbs&quot;. It occurs when an elements name consists of multiple significant verbs separated by the word &quot;and&quot;."/>
        <s v="Dead elements are elements that will never be executed"/>
        <s v="In order to assure that components provide the greatest extent of reusability, they must be flexibly applicable. This generalization can be overdone though, which will result in overgeneralization. It will become more flexible than it actually needs to be."/>
        <s v="This smell arises when an EA repository has excessive and dense dependencies without any particular structure."/>
        <s v="The Data Object is specified for the Process Element but the Data Object source does not exist."/>
        <s v="When you feel like writing a long and complex comment on aspects and the use of one element, try to refactor so that the comment becomes superfluous. Often documentations are even poorly written or completely unnecessary."/>
        <s v="Archimate's specification offers certain relationships between it's core layers. They are realization and serving relationships. Serving is used when an element from upper layer use the services from lower layer and realization is used when a lower level realizes or implements the more abstract concept from the upper layer.  The application and technology layers must communicate with the business layer with these two types of relations. Using other relation types is not syntactically restricted, although not suggested."/>
        <s v="The End Event Missing is a BPM anti-pattern. If a process chain does not contain an end event, it might not be clear where it is terminated. Unlike BPMN, ArchiMate does not have an End event, but we can consider an event element at the end of the EA process."/>
        <s v="The EA Model has problematic spatial layout such as placing of element, spacing, or reading direction."/>
        <s v="A nano service is a fine-grained service with a simple operation that implements only a part of an abstraction and exchanges a large amount of information with a group of services to complete an abstraction task."/>
        <s v="A component is no longer used (usually because it is now obsolete). Or you have generic or abstract elements that are not actually needed today. Such components often exists to support future behavior, which may or may not be necessary in the future."/>
        <m/>
      </sharedItems>
    </cacheField>
    <cacheField name="Value.context" numFmtId="0">
      <sharedItems containsBlank="1" count="58" longText="1">
        <s v="Derived from: &quot;Deadlock&quot; BPM anti-pattern"/>
        <s v="Derived from: &quot;Shotgun Surgery&quot;"/>
        <s v="Derived from: &quot;Hub-like Modularization&quot;"/>
        <s v="Derived from: &quot;Sand Pile&quot;"/>
        <s v=""/>
        <s v="Derived from: &quot;Nothing New&quot;&lt;br /&gt; In a migration or transition context, there is often a clash between the principles or foundations of paradigms or architectural styles, e.g. object orientation and service orientation."/>
        <s v="Derived from: &quot;Scattered Parasitic Functionality&quot;&lt;br /&gt; That a single concern is split among multiple services and that at least one service handles multiple orthogonal concerns violates important service-oriented principles. This means that these concerns infect services with another orthogonal concern, like a parasite."/>
        <s v="Derived from: &quot;Shared Persistency&quot;&lt;br /&gt; The implementation of services usually follows a &quot;share nothing&quot; philosophy. This is especially relevant for clear data ownership. Each data collection or schema usually belongs to exactly one service. The only allowed access to this data is via this service."/>
        <s v="Derived from: &quot;Functional Decomposition&quot; and &quot;Primitive Obsession&quot;&lt;br /&gt; The EA model should give a more abstract insight and, thus, provide also more general components. Inside those abstractions further elements can be introduced to enable extensive description of the architecture."/>
        <s v="Derived from: &quot;Deficient Encapsulation&quot;&lt;br /&gt; Components have too deep insight into unimportant details of other elements, making their work harder."/>
        <s v="Derived from: &quot;Data Class&quot;&lt;br /&gt; This smell can, but does not have to, be applied to the provided model, depending on the used architectural style"/>
        <s v="Derived from: &quot;Infinite Loop&quot; BPM anti-pattern."/>
        <s v="Derived from: &quot;Data-Driven Migration&quot;&lt;br /&gt; Because it is difficult to get the granularity of each service right the first time, you may be frequently merging or splitting your services. Ideally, you want to migrate the data for each service only once, because data migrations are complex and error-prone much more than functionality migrations."/>
        <s v="Derived from: &quot;Useless Test&quot;"/>
        <s v="Derived from: &quot;Incomplete Library Class&quot;&lt;br /&gt; Extending a group (node or collaboration) can generate additional work if the changes to the group involve changes in existing components or structure."/>
        <s v="Derived from: &quot;Golden Hammer&quot;&lt;br /&gt; It seems like a Golden Hammer is a tool that is very familiar, simple to apply, and works best on things within striking distance: everyday problems. &quot;I have a hammer and everything else is a nail&quot;. A Golden Hammer is something we already have, and it worked great lots of time before, so it will be used for whatever comes next."/>
        <s v="Derived from: &quot;Wrong Cuts&quot;"/>
        <s v="Inspired by: &quot;Temporary Field&quot;&lt;br /&gt; Oftentimes, those adaptions are made &quot;on the fly&quot;, without a full model being designed."/>
        <s v="Derived from: &quot;No Legacy&quot;&lt;br /&gt; Management does not want to keep a legacy system of decent quality and therefore wants to rebuild the entire system. The idea is that obsolete parts should be dropped and integration and modernization efforts are perceived to be similar to a complete rewrite. However, since SOA usually enables the efficient integration of applications, a complete rewrite of the legacy system should require much more efforts."/>
        <s v="Derived from: &quot;Warm Bodies&quot;&lt;br /&gt; Skilled developers are essential to the success of a project. So-called heroic developers are exceptionally productive, but as few as 1 in 20 have this talent. They produce an order of magnitude of more suitable solutions than an average developer. Large-scale projects are prevalent in many industries. These projects employ hundreds of developers to build an enterprise system; a staff of 100 to 400 on a single project is not atypical. Many times this is not modelled, such that the smell must not become evident during design, but only afterwards in practice."/>
        <s v="Derived from: &quot;The Shiny Nickel&quot;"/>
        <s v="Derived from: &quot;Architecture by Implication&quot;&lt;br /&gt;  The antipattern is acceptable for a repeated solution, where there are minor differences to previous ones. The Architecture by Implication antipattern differs from the Stovepipe System antipattern in scope; the latter focuses on deficiencies in architecture. In particular, it identifies how improper abstraction of subcomponents leads to brittle architecture solutions. In contrast, the Architecture by Implication antipattern involves planning gaps constituted of multiple architecture viewpoints."/>
        <s v="Derived from: &quot;Duplicated Code&quot;&lt;br /&gt; Don't Repeat Yourself! While Microservices usually follow a &quot;share nothing&quot; philosophy, reuse is a common theme in SOA. Service normalization and consolidation are therefore frequent activities in an SOA to reduce the level of duplication. In Microservices on the other, you consciously allow duplication to exist up to a certain degree, because it reduces coupling and dependencies in your system."/>
        <s v="Derived from: &quot;Deficient Names&quot;&lt;br /&gt; Does the name of the component succinctly describe what that component does? Could you read the element's name to a coworker and have them explain to you what it does?"/>
        <s v="Derived from: &quot;The God Object&quot;"/>
        <s v="Derived from: &quot;Long Parameter List&quot;&lt;br /&gt; Don't get rid of options if doing so would cause unwanted dependency between components."/>
        <s v="Derived from: &quot;Incomplete Abstraction&quot;"/>
        <s v="Derived from: &quot;Big Bang&quot;&lt;br /&gt; Even in the design process &quot;divide and conquer is useful&quot;. So don't try to design the whole structure at the same time. Take steps to increase the quality of the system and avoid many other smells with a thought out architecture."/>
        <s v="Derived from: &quot;Multifaceted Abstraction&quot;&lt;br /&gt; High cohesion is one of the most important design principles. Services should provide operations that are closely related to each other. Functionality that is likely to change together should be in the same service."/>
        <s v="Derived from: &quot;Weakened Modularity&quot;&lt;br /&gt; High cohesion is one of the most important design principles. Modules should provide operations that are closely related to each other. Functionality that is likely to change together should be in the same artifact."/>
        <s v="Derived from: &quot;Inconsistent Data&quot; BPM anti-pattern"/>
        <s v="Derived from: &quot;Lack of Synchronization&quot; BPM anti-pattern"/>
        <s v="Derived from: &quot;Combinatorial Explosion&quot;"/>
        <s v="Derived from: &quot;Jumble&quot;&lt;br /&gt; It takes some time to fully understand the meaning and implications of horizontal and vertical design elements. Horizontal rather talks about technical related and vertical talks more about business functionality. In particular, the Horizontal-Vertical-Metadata (HVM) pattern establishes key principles for software architecture design that could be adapted for EA. The Jumble antipattern describes the most common misuse of these principles."/>
        <s v="Derived from: &quot;Business Process Forever&quot;&lt;br /&gt; Especially in small and medium sized businesses, business processes are often not stable. Moreover, not enough data of good quality may be available to allow a solid design."/>
        <s v="Derived from: &quot;Ambiguous Viewpoint&quot;&lt;br /&gt; Models can be less useful if they don't focus on the required perspective(s). A perspective applies filters to the information. It can also be the case that multiple viewpoints are maintained, although no stakeholder is responsible for this unused viewpoint. Then viewpoints are created just for the sake of having viewpoints."/>
        <s v="Derived from: &quot;Feature Envy&quot;&lt;br /&gt; Sometimes behavior is purposefully kept separate from the element that holds the data. The usual advantage of this is the ability to dynamically change the behavior. Depending on the architecture, this smell can be applied differently."/>
        <s v="Derived from: &quot;Stovepipe System&quot;&lt;br /&gt; Stovepipe is a popular term used to describe software systems with ad hoc architectures. It is a metaphor to the exhaust pipes of wood-burning stoves, so-called pot-bellied stoves. Since wood burning produces corrosive substances that erode metal, a stovepipe must be constantly maintained and repaired in order to avoid leakage. Often, the pipes are repaired with any materials at hand, thus wood-burning stovepipes quickly become a hodgepodge of ad hoc repairs - hence, the reference is used to describe the ad hoc structure of many systems."/>
        <s v="Derived from: &quot;Cyclic Dependency&quot; or &quot;Circular Dependency&quot; &lt;br /&gt; A special form of Cyclic Dependency is sometimes exhibited with specializations. A subtype has an obvious dependency on its supertype. However, when the supertype also depends on the subtype (for instance, by having an explicit reference to the subtype), it results in a cyclic dependency."/>
        <s v="Derived from: &quot;'OR' between verbs&quot;"/>
        <s v="Derived from: &quot;Lazy Class&quot; and &quot;Middle Man&quot;&lt;br /&gt; This smell can be the result of overzealous elimination of Message Chains. Sometimes a Lazy Component is created in order to delineate intentions for future development or to avoid dependencies between elements (e.g. Decorator Pattern). In this case, try to maintain a balance between clarity and simplicity in your architecture."/>
        <s v="Derived from: &quot;API Versioning&quot;&lt;br /&gt; The version is the first hint at different behaviors or changed functionality."/>
        <s v="Derived from: &quot;Chatty Service&quot;"/>
        <s v="Derived from: &quot;Vendor Lock-In&quot;&lt;br /&gt; Standardization is a useful part of any technical domain, but standards are commonly set by large software vendors and do not focus on compatibility with other standards."/>
        <s v="Derived from: &quot;Message Chain&quot;&lt;br /&gt; Multiple services exist that call each other sequentially to fulfill an abstraction or business process. Overly aggressive delegate hiding can cause structures in which it is hard to see where the functionality is actually occurring."/>
        <s v="Derived from: &quot;Missing negative&quot;&lt;br /&gt; BPM anti-pattern."/>
        <s v="Derived from: &quot;Start Event Missing&quot;"/>
        <s v="Derived from: &quot;Connector Envy&quot;"/>
        <s v="Derived from: &quot;'And' between verbs&quot;"/>
        <s v="Derived from: &quot;Ambiguous Interface&quot;&lt;br /&gt; A service offers a single and very general operation instead of allocating its provided functionality. Sometimes combined with Bloated Service."/>
        <s v="Derived from: &quot;Dense Structure&quot;"/>
        <s v="Derived from: &quot;Missing Data&quot; BPM anti-pattern."/>
        <s v="Derived from: &quot;Comments&quot;&lt;br /&gt; Explanations can sometimes be useful: When explaining why something is being implemented in a particular way. When explaining complex structures/processes (when all other methods for simplification have been tried and come up short). Note that this smell is called &quot;Documentation&quot; because it is compliant to the ArchiMate-Notation. Maybe it should be renamed in the future with a more accurate name, because it can be confused with a holistic documentation."/>
        <s v="Derived from: &quot;Strict Layers Violation&quot;&lt;br /&gt; This violation very often occurs in the real world, although the model itself defined the layers and processes precisely."/>
        <s v="Derived from: &quot;End Event Missing&quot;"/>
        <s v="Derived from: &quot;Nanoservices&quot;&lt;br /&gt; A SOA is often created by combining several relatively simple services. These services may not have been built with an SOA scenario in mind, but may rely more on simple RPC interaction. This may produce a large number of calls between services."/>
        <s v="Derived from: &quot;Dead Code&quot;&lt;br /&gt; Dead Code is software or lines of code that are no longer used or have become redundant but, for safety’s sake, remain in the code base."/>
        <m/>
      </sharedItems>
    </cacheField>
    <cacheField name="Value.detection" numFmtId="0">
      <sharedItems containsBlank="1" longText="1"/>
    </cacheField>
    <cacheField name="Value.consequences" numFmtId="0">
      <sharedItems containsBlank="1" count="57" longText="1">
        <s v="No further elements can be executed."/>
        <s v=""/>
        <s v="The service may have increased response times and low availability. It also becomes a single point of failure in the architecture."/>
        <s v="The large amount of small components may cause inefficiencies and maintenance problems."/>
        <s v="EA Process Model lose its maintainability, due being inconsistent"/>
        <s v="These practices may lead to poorly usable interfaces and may hinder maintainability."/>
        <s v="Modifiability, reusability, and testability may be reduced. Changing a scattered shared concern requires the changing and testing of several services. The shared concern also cannot be efficiently reused."/>
        <s v="This smell highly couples the services connected to the same data, reducing team and service independence."/>
        <s v="The model is hard to read, complex and very confusing."/>
        <s v="Not restricted sensitive data can be retrieved and modified by other abstractions unintentionally or imperceptibly."/>
        <s v="A data service may have a large number of operations with low cohesion, which can have a negative influence on maintainability."/>
        <s v="Process does not end and may result into a lot of iterations before we can find the infinite loop."/>
        <s v="Additional efforts for data migration, because you will need several iterations to get it right."/>
        <s v="Not considering all possible outcomes in models hinders enterprise architects to analyze other outcomes and handle the unexpected behavior."/>
        <s v="Unnecessary distribution can lead to performance issues, because direct communication is more efficient. There are also higher efforts for development, testing, and debugging, because implementing functionality as services is complex."/>
        <s v="Such a wrong separation of concerns can lead to increased data-splitting complexity. Moreover, this may cause ripple effects on changes and therefore decreases maintainability. Lastly, it may impact performance, if several services are needed to fulfill an abstraction."/>
        <s v="Very high investments and considerable risk are associated with a complete rewrite of large complex systems."/>
        <s v="Technologies are rarely re-used from one project to the next as IT delivery moves to the next shiny nickel. Each project lays down another technology stratum that increases the cost and complexity of support and creates an integration challenge for future projects."/>
        <s v="Lack of architecture planning and specification; insufficient definition of architecture for software, hardware, communications, persistence, security, and systems management. Hidden risks caused by scale, domain knowledge, technology, and complexity, all of which emerge as the project progresses."/>
        <s v="Duplicated functionality reduces the level of reuse and may confuse service consumers that cannot identify the service or operation they need. Moreover, if this common functionality changes, it needs to change in all duplicated locations, therefore causing higher maintenance efforts. A culture of &quot;build and expose&quot; may form where the enterprise becomes a mess of services all attempting to do the same thing."/>
        <s v="Unclear behavior of components and inconsistent names."/>
        <s v="Having only a few or even a single large service within the system may impact maintainability, performance, and availability. A very large service is harder to analyze and comprehend. Furthermore, multiple developers will concurrently work on the same service, which can cause unnecessary conflicts. Such a service will also have many consumers and therefore increases coupling in the system. Any changes to its interface result in ripples to these consumers. Moreover, testing such a service becomes very time consuming due to the dependencies within the service. The size and complexity of the service can also mean that using the service needs special effort. Lastly, such a service may become a performance bottleneck or a single point of failure."/>
        <s v="Bad understandability. Refactoring may reveal previously unnoticed Duplication of functionality."/>
        <s v="Functionality also has to be implemented multiple times for each user. Unit tests for such functionality (e.g. data validation) may fail or contain a lot of overhead code to properly test such a service."/>
        <s v="Creating a whole Enterprise Architecture Model in a Big Bang may lead to poorly understood requirements and inconsistencies in the architecture. Communication between and integration of services may be inefficient."/>
        <s v="The Multifaceted Abstraction Smell violates the single responsibility principle, which also violates the principle of modularization. The maintainability of such a service may be reduced. It may be more difficult to analyze and grasp all provided service functionality. The business logic is not reusable, because it contains service-specific implementation. Low cohesion and possibly low availability with high response times."/>
        <s v="The Element in the process can not continue because of incompatible data"/>
        <s v="The maintainability and possibility for development may be reduced. It may be more difficult to analyze and grasp all provided functionality."/>
        <s v="Elements will retrieve the wrong data value from an data element"/>
        <s v="This may result in unwanted behavior because we don’t wait for both elements to end."/>
        <s v="Unstable architecture with unclear possibilities for development."/>
        <s v="Business process owners have little to no control over the outcome and quality of their processes, since they cannot change their structure. They are merely observers."/>
        <s v="Different viewpoints emphasize different aspects, which can also cause disregard of some crucial factors of other viewpoints."/>
        <s v="It results into Dead Element smell because we never could reach one path of junction for example because the rules never apply for that path."/>
        <s v="Technical and utility functions are implemented inconsistently. Development time of stovepipe services is considerably larger. Duplication and different implementations for the same functionality also has a negative impact on maintainability. Lack of commonality inhibits interoperability between systems, prevents reuse, and drives up cost; in addition, reinvented system architecture and services lack quality structure supporting adaptability."/>
        <s v="The control flow of the EA Process is not defined at the junction point and therefore leaves room for interpretation."/>
        <s v="Abstractions involved in a cyclic dependency can be harder to maintain or reuse, as they are more strongly coupled."/>
        <s v="The information about the decision is missing and therefore leaving room for interpretation."/>
        <s v="In case of updates to non-semantically versioned models, users may face breaking changes. For example, the structure is changed fundamentally, such that the majority of procedures has to be performed in a new way."/>
        <s v="Maintenance becomes harder, like e.g. changing the order of invocations. Many interactions are required, which leads to overall higher time consumption. This can be especially harmful when synchronous tasks are chained together."/>
        <s v="Being overly reliant on a vendor's technology impacts the software quality, and the cost of switching to another technology becomes so high that the software is forced to stick with the current vendor."/>
        <s v="Such a chain may slow down performance and reduces the availability of the chained abstraction. It may also be harder to change the abstraction, especially with respect to the invocation order of services."/>
        <s v="As Murphy's Law states, if there is a chance of failure, it will happen. If we do not model failure it leads to undefined behavior in case it happens."/>
        <s v="A Process Model lose its maintainability."/>
        <s v="If the starting eventis missing it will be hard to locate the start of the EA process."/>
        <s v="Reusability is reduced, because these low-level details are too specific and not agnostic enough. Understandability is reduced, because different concerns are mixed. Testability is reduced, because the connector and service functionality cannot be tested separately."/>
        <s v="Capturing multiple abstractions in one element makes the model hard to maintain."/>
        <s v="EA Process Model might lose its maintainability due to having a lot of elements that do not serve any purpose."/>
        <s v="Not only does this smell lead to additional development work, it also makes using the components more difficult. Analyzability and understandability are reduced, because a service does not allocate all its provided functionality in a clear manner. Therefore, a user has to analyze this element before using it."/>
        <s v="Modifications to the system may be cumbersome and many dependencies have to be added, due to the high coupling."/>
        <s v="Element can not be continued, due to missing data."/>
        <s v="Alterability is affected. The number of a layer's potential clients will increase, and the dependency between layers will grow."/>
        <s v="If the end event is missing it will be hard to locate the end of the EA process. Terefore the understandhability of the EA Model is lowered."/>
        <s v="A Process Model lose its maintainability, due being inconsistent."/>
        <s v="Bad performance, fragmented logic, and an overhead in maintenance efforts. The functionality of one core abstraction is scattered across multiple services. This means multiple services may have to be changed to address a single feature or concept. Testing such a feature therefore also involves several services."/>
        <s v="Unused elements increase the complexity which harms the readability and maintainability."/>
        <m/>
      </sharedItems>
    </cacheField>
    <cacheField name="Value.cause" numFmtId="0">
      <sharedItems containsBlank="1" count="42" longText="1">
        <s v="A single responsibility has been split up among a large number of classes. This can happen after overzealous reduction of Multifaceted Abstraction. All was well as long as the structure stayed small. But with new components being added, making changes has become harder and harder."/>
        <s v="Functionality may gradually become more and more important and is therefore used by more and more consumers, maybe even external ones via a public service interface. To maximize reuse, service interfaces are sometimes also generalized which leads to more service consumers as well."/>
        <s v="Sand Pile may be caused by a wrong grouping of &quot;atomic&quot; capabilities."/>
        <s v=""/>
        <s v="Experienced object-oriented developers may fail to see new features in service orientation and therefore apply their standard practices in the new style. No trainings are provided to address this and prepare the developers for the new paradigm."/>
        <s v="It may be a tempting shortcut to distribute a concern over several existing services."/>
        <s v="Lack of architecture enforcement. Sometimes, those who generate specifications and requirements don't necessarily have real experience with those EA systems. Creating a simple element is so much easier than making a whole new extended component, right?"/>
        <s v="Keep a close eye on components that spend too much time together. Good elements should know as little about each other as possible. Such elements are easier to maintain and reuse."/>
        <s v="Data and behavior should be tightly coupled in the same abstraction. If they spread across different components, then it is likely that an abstraction contains only data, whereas the behavior that requires that data lies in another abstraction."/>
        <s v="Trying to split the data for each service right the first time."/>
        <s v="The developer of the group hasn't provided the features you need or has refused to implement them."/>
        <s v="Services may be chosen because of their promised scalability, modifiability, or interoperability, even though these quality attributes are not really vital for the system at hand. A general reason therefore is a poor understanding of the system's requirements. Lastly, using new and hyped technology or architectural styles is attractive and tempting for a lot of developers and architects."/>
        <s v="Rapidly evolving business processes may result in such transactions. Starting the design of an EA completely upfront without keeping some design decisions open may also lead to this antipattern."/>
        <s v="In order to keep the architecture working, adjustments have to be made shortly. Those adjustments are no optimal solutions resulting in cluttered abstractions and messed up architecture."/>
        <s v="Project management does not understand that integrating legacy systems into a new environment does not necessarily have to be a bad thing."/>
        <s v="The Shiny Nickel antipattern is often caused by soft procurement rules and a lack of a common IT strategy and vision. Often, product procurement takes place independently from projects, which leads to technology decisions on projects being driven by a desire to minimize shelfware."/>
        <s v="No risk management. Overconfidence of managers, architects, and/or developers. Reliance on previous experience, which may differ in critical areas. Implicit and unresolved architecture issues caused by gaps in systems engineering."/>
        <s v="Duplication usually occurs when multiple architects are working on different parts of the same architecture at the same time. Since they're working on different tasks, they may be unaware their colleague has already defined similar components that could be repurposed for their own needs. There's also more subtle duplication, when specific parts look different but actually perform the same job. This kind of duplication can be hard to find and fix. Sometimes duplication is purposeful. When rushing to meet deadlines and the existing architecture is &quot;almost right&quot; for the job, novice architects may not be able to resist the temptation of copying and pasting the relevant elements. And in some cases, the developer is simply too lazy to de-clutter."/>
        <s v="Can be caused by multiple architects with no common standard of naming."/>
        <s v="Hidden or unclear requirements may make it difficult to identify fitting abstractions. Wrongly applied patterns may also lead to a megaservice. The service designer may also be unfamiliar with the principles of high cohesion and low coupling."/>
        <s v="A long list of required inputs might happen after several types of operations are merged in a single element. A long list may have been created to control which functionality will be run and how. It's hard to understand such lists, which become contradictory and hard to use as they grow longer."/>
        <s v="Mainly caused by a lack of understanding that abstractions shall be self-contained, standalone functional components. A lack of communication in the development team can also lead to this antipattern, not adhering to language conventions or other standards."/>
        <s v="Due to fine-grained interfaces, services are not independent enough and an incremental development is not possible."/>
        <s v="Often these divergent modifications are due to poor architectural structure or &quot;cloning&quot;."/>
        <s v="Often these divergent modifications are due to poor program structure."/>
        <s v="Lack of refactoring and awareness of changing concerns, making naive design decisions."/>
        <s v="Business processes have been rigorously defined in the past and are now regarded as stable by technical experts. Therefore, business owners may not be able to easily commission for changes."/>
        <s v="It is hard to specify every important aspect from all possible viewpoints. Thus, it is important to state the taken viewpoint which should be elaborated extensively."/>
        <s v="This smell may occur after further data is moved to a data component. If this is the case, you may want to move the operations on data to this component as well."/>
        <s v="Inexperience in developing multilayer architectures is one reason that can result in stovepipe systems. They can also be caused by insufficient team communication and a lack of design reviews."/>
        <s v="Hard to visualize indirect dependencies."/>
        <s v="This smell can be the result of overzealous elimination of Message Chains. In other cases, it can be the result of the useful work of a functional component being gradually moved to other components during refactoring, for example. The original component remains as an empty shell that has become ridiculously small and doesn't do anything other than delegate."/>
        <s v="The tendency to standardize all technical aspects and dimensions leads to such an overstandardization."/>
        <s v="The organization may have created a detailed map of processes, which resulted in a series of grand &quot;end to end&quot; process models that are categorized by their large number of steps and a lack of sub-processes. However, no valid business services have been identified and thus the process maps have been created without a proper service structure. This makes identifying valid services a tricky process, especially when looking for cross-functional or horizontal services."/>
        <s v="Performance may have been preferred over maintainability, since separation of connector and service functionality would create an additional level of indirection."/>
        <s v="May easily appear in systems, where interactions are not explicitly modeled and multiple services exchange event messages on a regular basis."/>
        <s v="Inefficient abstraction that needs high coupling of components to work."/>
        <s v="Comments are usually created with the best of intentions, when something is not intuitive or obvious. In such cases, explanations are like a deodorant masking the smell of fishy abstractions that could be improved."/>
        <s v="Layers must be built based on conventions."/>
        <s v="Hidden or unclear requirements make it very hard to identify fitting abstractions. Sometimes, individual use cases are therefore mapped to separate services. Misunderstanding or wrongly applying patterns may also lead to nanoservices."/>
        <s v="When requirements have changed or corrections have been made, nobody had time to clean up the old structure. Sometimes components are created &quot;just in case&quot; to support anticipated future features that never get implemented."/>
        <m/>
      </sharedItems>
    </cacheField>
    <cacheField name="Value.solution" numFmtId="0">
      <sharedItems containsBlank="1" longText="1"/>
    </cacheField>
    <cacheField name="Value.example" numFmtId="0">
      <sharedItems containsBlank="1" longText="1"/>
    </cacheField>
    <cacheField name="Value.cypher" numFmtId="0">
      <sharedItems containsBlank="1" longText="1"/>
    </cacheField>
    <cacheField name="Value.cypher_count" numFmtId="0">
      <sharedItems containsBlank="1" longText="1"/>
    </cacheField>
    <cacheField name="Value.sources" numFmtId="0">
      <sharedItems containsBlank="1"/>
    </cacheField>
    <cacheField name="Value.graphicalDefiniton" numFmtId="0">
      <sharedItems containsBlank="1"/>
    </cacheField>
    <cacheField name="Value.queryParams.name" numFmtId="0">
      <sharedItems containsBlank="1"/>
    </cacheField>
    <cacheField name="Value.queryParams.type" numFmtId="0">
      <sharedItems containsBlank="1"/>
    </cacheField>
    <cacheField name="Value.queryParams.default" numFmtId="0">
      <sharedItems containsBlank="1" containsMixedTypes="1" containsNumber="1" minValue="0.4" maxValue="256"/>
    </cacheField>
    <cacheField name="Value.queryParams.description" numFmtId="0">
      <sharedItems containsBlank="1"/>
    </cacheField>
    <cacheField name="Value.tags" numFmtId="0">
      <sharedItems containsBlank="1" count="26">
        <s v="soa"/>
        <s v="microservices"/>
        <s v="business"/>
        <s v="application"/>
        <s v="technology"/>
        <s v="The Change Preventers"/>
        <s v="between elements"/>
        <s v="The Couplers"/>
        <s v="automatic detection"/>
        <s v="cohesion"/>
        <s v=""/>
        <s v="Understandability Problems"/>
        <s v="Process"/>
        <s v="migration"/>
        <s v="abstraction"/>
        <s v="data management"/>
        <s v="The Bloaters"/>
        <s v="The Dispensables"/>
        <s v="Control-flow Problems"/>
        <s v="legacy"/>
        <s v="ambiguity"/>
        <s v="within elements"/>
        <s v="Data-flow related defects"/>
        <s v="Rule-related defects"/>
        <s v="The Object-Orientation Abusers"/>
        <m/>
      </sharedItems>
    </cacheField>
    <cacheField name="Value.relatedItems.relation" numFmtId="0">
      <sharedItems containsBlank="1"/>
    </cacheField>
    <cacheField name="Value.relatedItems.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3">
  <r>
    <x v="0"/>
    <s v="antiPatterns"/>
    <x v="0"/>
    <s v=""/>
    <x v="0"/>
    <x v="0"/>
    <s v="search for a business or an application flows that reach an 'or' Junction and then split at least by two outgoing paths, which are later joined by an 'and' Junction."/>
    <x v="0"/>
    <x v="0"/>
    <s v="Move existing behaviors into a single component. If there's no component appropriate for this, create a new one. If moving code to the same element leaves the original one almost empty, try to get rid of these now-redundant components."/>
    <s v="When &quot;Business Process 1&quot; reaches the OR Junction, the execution of one of the two process flows is sufficient. However, it later becomes essential for both &quot;Business Process 3&quot; and &quot;Business Process 4&quot; to reach the AND Junction. Otherwise, the process will not execute further and can not proceed to &quot;Business Process 5,&quot; resulting in a Deadlock EA Smell."/>
    <s v="MATCH (startNode:Junction {type: 'or'}) &lt;br /&gt; MATCH (endNode:Junction {type: 'and'}) &lt;br /&gt; CALL apoc.path.expandConfig(startNode,{relationshipFilter: &quot;TriggeringRelationship&gt;|FlowRelationship&gt;|AssociationRelationship&gt;&quot;, &lt;br /&gt; minLevel: $minLevel, &lt;br /&gt; maxLevel: $maxLevel, &lt;br /&gt; terminatorNodes:[endNode] &lt;br /&gt; }) &lt;br /&gt; YIELD path AS p &lt;br /&gt; RETURN p"/>
    <s v="MATCH (startNode:Junction {type: 'or'}) MATCH (endNode:Junction {type: 'and'}) CALL apoc.path.expandConfig(startNode,{relationshipFilter: &quot;TriggeringRelationship&gt;|FlowRelationship&gt;|AssociationRelationship&gt;&quot;, minLevel: 1, maxLevel: 10, terminatorNodes:[endNode] }) YIELD path AS p RETURN count (distinct startNode)"/>
    <m/>
    <s v="./assets/deadlock1.JPG"/>
    <s v="minLevel"/>
    <s v="number"/>
    <n v="1"/>
    <s v="The minimum length of the path for detection."/>
    <x v="0"/>
    <s v=""/>
    <s v=""/>
  </r>
  <r>
    <x v="0"/>
    <s v="antiPatterns"/>
    <x v="0"/>
    <s v=""/>
    <x v="0"/>
    <x v="0"/>
    <s v="search for a business or an application flows that reach an 'or' Junction and then split at least by two outgoing paths, which are later joined by an 'and' Junction."/>
    <x v="0"/>
    <x v="0"/>
    <s v="Move existing behaviors into a single component. If there's no component appropriate for this, create a new one. If moving code to the same element leaves the original one almost empty, try to get rid of these now-redundant components."/>
    <s v="When &quot;Business Process 1&quot; reaches the OR Junction, the execution of one of the two process flows is sufficient. However, it later becomes essential for both &quot;Business Process 3&quot; and &quot;Business Process 4&quot; to reach the AND Junction. Otherwise, the process will not execute further and can not proceed to &quot;Business Process 5,&quot; resulting in a Deadlock EA Smell."/>
    <s v="MATCH (startNode:Junction {type: 'or'}) &lt;br /&gt; MATCH (endNode:Junction {type: 'and'}) &lt;br /&gt; CALL apoc.path.expandConfig(startNode,{relationshipFilter: &quot;TriggeringRelationship&gt;|FlowRelationship&gt;|AssociationRelationship&gt;&quot;, &lt;br /&gt; minLevel: $minLevel, &lt;br /&gt; maxLevel: $maxLevel, &lt;br /&gt; terminatorNodes:[endNode] &lt;br /&gt; }) &lt;br /&gt; YIELD path AS p &lt;br /&gt; RETURN p"/>
    <s v="MATCH (startNode:Junction {type: 'or'}) MATCH (endNode:Junction {type: 'and'}) CALL apoc.path.expandConfig(startNode,{relationshipFilter: &quot;TriggeringRelationship&gt;|FlowRelationship&gt;|AssociationRelationship&gt;&quot;, minLevel: 1, maxLevel: 10, terminatorNodes:[endNode] }) YIELD path AS p RETURN count (distinct startNode)"/>
    <m/>
    <s v="./assets/deadlock1.JPG"/>
    <s v="minLevel"/>
    <s v="number"/>
    <n v="1"/>
    <s v="The minimum length of the path for detection."/>
    <x v="0"/>
    <s v=""/>
    <s v=""/>
  </r>
  <r>
    <x v="0"/>
    <s v="antiPatterns"/>
    <x v="0"/>
    <s v=""/>
    <x v="0"/>
    <x v="0"/>
    <s v="search for a business or an application flows that reach an 'or' Junction and then split at least by two outgoing paths, which are later joined by an 'and' Junction."/>
    <x v="0"/>
    <x v="0"/>
    <s v="Move existing behaviors into a single component. If there's no component appropriate for this, create a new one. If moving code to the same element leaves the original one almost empty, try to get rid of these now-redundant components."/>
    <s v="When &quot;Business Process 1&quot; reaches the OR Junction, the execution of one of the two process flows is sufficient. However, it later becomes essential for both &quot;Business Process 3&quot; and &quot;Business Process 4&quot; to reach the AND Junction. Otherwise, the process will not execute further and can not proceed to &quot;Business Process 5,&quot; resulting in a Deadlock EA Smell."/>
    <s v="MATCH (startNode:Junction {type: 'or'}) &lt;br /&gt; MATCH (endNode:Junction {type: 'and'}) &lt;br /&gt; CALL apoc.path.expandConfig(startNode,{relationshipFilter: &quot;TriggeringRelationship&gt;|FlowRelationship&gt;|AssociationRelationship&gt;&quot;, &lt;br /&gt; minLevel: $minLevel, &lt;br /&gt; maxLevel: $maxLevel, &lt;br /&gt; terminatorNodes:[endNode] &lt;br /&gt; }) &lt;br /&gt; YIELD path AS p &lt;br /&gt; RETURN p"/>
    <s v="MATCH (startNode:Junction {type: 'or'}) MATCH (endNode:Junction {type: 'and'}) CALL apoc.path.expandConfig(startNode,{relationshipFilter: &quot;TriggeringRelationship&gt;|FlowRelationship&gt;|AssociationRelationship&gt;&quot;, minLevel: 1, maxLevel: 10, terminatorNodes:[endNode] }) YIELD path AS p RETURN count (distinct startNode)"/>
    <m/>
    <s v="./assets/deadlock1.JPG"/>
    <s v="maxLevel"/>
    <s v="number"/>
    <n v="10"/>
    <s v="The maximum length of the path for detection."/>
    <x v="0"/>
    <s v=""/>
    <s v=""/>
  </r>
  <r>
    <x v="0"/>
    <s v="antiPatterns"/>
    <x v="0"/>
    <s v=""/>
    <x v="0"/>
    <x v="0"/>
    <s v="search for a business or an application flows that reach an 'or' Junction and then split at least by two outgoing paths, which are later joined by an 'and' Junction."/>
    <x v="0"/>
    <x v="0"/>
    <s v="Move existing behaviors into a single component. If there's no component appropriate for this, create a new one. If moving code to the same element leaves the original one almost empty, try to get rid of these now-redundant components."/>
    <s v="When &quot;Business Process 1&quot; reaches the OR Junction, the execution of one of the two process flows is sufficient. However, it later becomes essential for both &quot;Business Process 3&quot; and &quot;Business Process 4&quot; to reach the AND Junction. Otherwise, the process will not execute further and can not proceed to &quot;Business Process 5,&quot; resulting in a Deadlock EA Smell."/>
    <s v="MATCH (startNode:Junction {type: 'or'}) &lt;br /&gt; MATCH (endNode:Junction {type: 'and'}) &lt;br /&gt; CALL apoc.path.expandConfig(startNode,{relationshipFilter: &quot;TriggeringRelationship&gt;|FlowRelationship&gt;|AssociationRelationship&gt;&quot;, &lt;br /&gt; minLevel: $minLevel, &lt;br /&gt; maxLevel: $maxLevel, &lt;br /&gt; terminatorNodes:[endNode] &lt;br /&gt; }) &lt;br /&gt; YIELD path AS p &lt;br /&gt; RETURN p"/>
    <s v="MATCH (startNode:Junction {type: 'or'}) MATCH (endNode:Junction {type: 'and'}) CALL apoc.path.expandConfig(startNode,{relationshipFilter: &quot;TriggeringRelationship&gt;|FlowRelationship&gt;|AssociationRelationship&gt;&quot;, minLevel: 1, maxLevel: 10, terminatorNodes:[endNode] }) YIELD path AS p RETURN count (distinct startNode)"/>
    <m/>
    <s v="./assets/deadlock1.JPG"/>
    <s v="maxLevel"/>
    <s v="number"/>
    <n v="10"/>
    <s v="The maximum length of the path for detection."/>
    <x v="0"/>
    <s v=""/>
    <s v=""/>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0"/>
    <s v="relates"/>
    <s v="Multifaceted Abstraction"/>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0"/>
    <s v="follows"/>
    <s v="Nanoservices"/>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1"/>
    <s v="relates"/>
    <s v="Multifaceted Abstraction"/>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1"/>
    <s v="follows"/>
    <s v="Nanoservices"/>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2"/>
    <s v="relates"/>
    <s v="Multifaceted Abstraction"/>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2"/>
    <s v="follows"/>
    <s v="Nanoservices"/>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3"/>
    <s v="relates"/>
    <s v="Multifaceted Abstraction"/>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3"/>
    <s v="follows"/>
    <s v="Nanoservices"/>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4"/>
    <s v="relates"/>
    <s v="Multifaceted Abstraction"/>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4"/>
    <s v="follows"/>
    <s v="Nanoservices"/>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5"/>
    <s v="relates"/>
    <s v="Multifaceted Abstraction"/>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5"/>
    <s v="follows"/>
    <s v="Nanoservices"/>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6"/>
    <s v="relates"/>
    <s v="Multifaceted Abstraction"/>
  </r>
  <r>
    <x v="1"/>
    <s v="antiPatterns"/>
    <x v="1"/>
    <s v=""/>
    <x v="1"/>
    <x v="1"/>
    <s v="In the ArchiMate modeling language, the relation types describing dependency are serving, association, access, and influence. For detection, we first check whether there exists a one-to-many relationship with the specified relation types. The size of &quot;many&quot; may differ depending on the organization or enterprise."/>
    <x v="1"/>
    <x v="0"/>
    <s v="Move existing behaviors into a single component. If there's no component appropriate for this, create a new one. If moving code to the same element leaves the original one almost empty, try to get rid of these now-redundant components."/>
    <s v="Every time you make a subclass of one class, you have to make a subclass of another."/>
    <s v="MATCH (a)-[r:ServingRelationship|AssociationRelationship|InfluenceRelationship|AccessingRelationship]-&gt;() &lt;br /&gt; WITH a, COUNT(r) AS relCount &lt;br /&gt; MATCH p=(a)-[r]-(b) &lt;br /&gt; WHERE relCount&gt; $abstractionsCnt &lt;br /&gt; RETURN p &lt;br /&gt;"/>
    <s v="MATCH (a)-[r:ServingRelationship|AssociationRelationship|InfluenceRelationship|AccessingRelationship]-&gt;() &lt;br /&gt; WITH a, COUNT(r) AS relCount &lt;br /&gt; MATCH p=(a)-[r]-(b) &lt;br /&gt; WHERE relCount&gt; $abstractionsCnt &lt;br /&gt; RETURN count (distinct a)"/>
    <m/>
    <s v="./assets/shotgun_surgurey.JPG"/>
    <s v="abstractionsCnt"/>
    <s v="number"/>
    <n v="3"/>
    <s v="The permitted number of abstractions that may depend on a single abstraction."/>
    <x v="6"/>
    <s v="follows"/>
    <s v="Nanoservices"/>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1"/>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1"/>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1"/>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0"/>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0"/>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0"/>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2"/>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2"/>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2"/>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3"/>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3"/>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3"/>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4"/>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4"/>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4"/>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6"/>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6"/>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6"/>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7"/>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7"/>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7"/>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8"/>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8"/>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incomingRels"/>
    <s v="number"/>
    <n v="7"/>
    <s v="Number of incomming relationships."/>
    <x v="8"/>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1"/>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1"/>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1"/>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0"/>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0"/>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0"/>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2"/>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2"/>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2"/>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3"/>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3"/>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3"/>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4"/>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4"/>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4"/>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6"/>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6"/>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6"/>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7"/>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7"/>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7"/>
    <s v="relates"/>
    <s v="Weakened Modularity"/>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8"/>
    <s v="relates"/>
    <s v="Lazy Component"/>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8"/>
    <s v="relates"/>
    <s v="Dense Structure"/>
  </r>
  <r>
    <x v="2"/>
    <s v="antiPatterns"/>
    <x v="2"/>
    <s v="Bottleneck Service"/>
    <x v="2"/>
    <x v="2"/>
    <s v="Check the number of incoming and outgoing relations of the corresponding cluster. If the amount is too high, report the smell."/>
    <x v="2"/>
    <x v="1"/>
    <s v="Split according to responsibilities."/>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fanout &lt;br /&gt; MATCH (m)-[r2]-&gt;(n) &lt;br /&gt; WHERE not (r2.Label contains 'Aggregation' or r2.Label contains 'Realization' or &lt;br /&gt; r2.Label contains 'Composition' or r2.Label contains 'Assignment') and &lt;br /&gt; (not m in cluster and n in cluster) &lt;br /&gt; WITH a , cluster, fanout , collect (r2) as fanin &lt;br /&gt; WHERE size (fanout) &gt; $outgoingRels and size (fanin)&gt; $incomingRels &lt;br /&gt; MATCH p=(a)--(b) &lt;br /&gt; RETURN p &lt;br /&gt;"/>
    <m/>
    <m/>
    <s v="./assets/hub-like-modularization_v1.JPG"/>
    <s v="outgoingRels"/>
    <s v="number"/>
    <n v="7"/>
    <s v="Number of outgoing relationships."/>
    <x v="8"/>
    <s v="relates"/>
    <s v="Weakened Modularity"/>
  </r>
  <r>
    <x v="3"/>
    <s v="antiPatterns"/>
    <x v="3"/>
    <s v=""/>
    <x v="3"/>
    <x v="3"/>
    <s v="Many small components exist that share data."/>
    <x v="3"/>
    <x v="2"/>
    <s v="Regroup related elementary services into one component with a common interface."/>
    <s v="Many highly specialized car service workshops are working separately. It is not an enterprise that provides all car repair services at one spot."/>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p"/>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COUNT (DISTINCT d)"/>
    <m/>
    <s v="./assets/sand_pile_v1.JPG"/>
    <m/>
    <m/>
    <m/>
    <m/>
    <x v="0"/>
    <s v="follows"/>
    <s v="Nanoservices"/>
  </r>
  <r>
    <x v="3"/>
    <s v="antiPatterns"/>
    <x v="3"/>
    <s v=""/>
    <x v="3"/>
    <x v="3"/>
    <s v="Many small components exist that share data."/>
    <x v="3"/>
    <x v="2"/>
    <s v="Regroup related elementary services into one component with a common interface."/>
    <s v="Many highly specialized car service workshops are working separately. It is not an enterprise that provides all car repair services at one spot."/>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p"/>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COUNT (DISTINCT d)"/>
    <m/>
    <s v="./assets/sand_pile_v1.JPG"/>
    <m/>
    <m/>
    <m/>
    <m/>
    <x v="2"/>
    <s v="follows"/>
    <s v="Nanoservices"/>
  </r>
  <r>
    <x v="3"/>
    <s v="antiPatterns"/>
    <x v="3"/>
    <s v=""/>
    <x v="3"/>
    <x v="3"/>
    <s v="Many small components exist that share data."/>
    <x v="3"/>
    <x v="2"/>
    <s v="Regroup related elementary services into one component with a common interface."/>
    <s v="Many highly specialized car service workshops are working separately. It is not an enterprise that provides all car repair services at one spot."/>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p"/>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COUNT (DISTINCT d)"/>
    <m/>
    <s v="./assets/sand_pile_v1.JPG"/>
    <m/>
    <m/>
    <m/>
    <m/>
    <x v="3"/>
    <s v="follows"/>
    <s v="Nanoservices"/>
  </r>
  <r>
    <x v="3"/>
    <s v="antiPatterns"/>
    <x v="3"/>
    <s v=""/>
    <x v="3"/>
    <x v="3"/>
    <s v="Many small components exist that share data."/>
    <x v="3"/>
    <x v="2"/>
    <s v="Regroup related elementary services into one component with a common interface."/>
    <s v="Many highly specialized car service workshops are working separately. It is not an enterprise that provides all car repair services at one spot."/>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p"/>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COUNT (DISTINCT d)"/>
    <m/>
    <s v="./assets/sand_pile_v1.JPG"/>
    <m/>
    <m/>
    <m/>
    <m/>
    <x v="4"/>
    <s v="follows"/>
    <s v="Nanoservices"/>
  </r>
  <r>
    <x v="3"/>
    <s v="antiPatterns"/>
    <x v="3"/>
    <s v=""/>
    <x v="3"/>
    <x v="3"/>
    <s v="Many small components exist that share data."/>
    <x v="3"/>
    <x v="2"/>
    <s v="Regroup related elementary services into one component with a common interface."/>
    <s v="Many highly specialized car service workshops are working separately. It is not an enterprise that provides all car repair services at one spot."/>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p"/>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COUNT (DISTINCT d)"/>
    <m/>
    <s v="./assets/sand_pile_v1.JPG"/>
    <m/>
    <m/>
    <m/>
    <m/>
    <x v="9"/>
    <s v="follows"/>
    <s v="Nanoservices"/>
  </r>
  <r>
    <x v="3"/>
    <s v="antiPatterns"/>
    <x v="3"/>
    <s v=""/>
    <x v="3"/>
    <x v="3"/>
    <s v="Many small components exist that share data."/>
    <x v="3"/>
    <x v="2"/>
    <s v="Regroup related elementary services into one component with a common interface."/>
    <s v="Many highly specialized car service workshops are working separately. It is not an enterprise that provides all car repair services at one spot."/>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p"/>
    <s v="MATCH (c)-[r2:AccessRelationship]-(d:DataObject) &lt;br /&gt; WITH  d, count(c) as cntCmps &lt;br /&gt; WHERE cntCmps&gt;1 &lt;br /&gt; MATCH p =(s)&lt;-[r1:RealizationRelationship]-(c)-[r2:AccessRelationship]-(d:DataObject) &lt;br /&gt; WITH c, count (d) as dataCnt  &lt;br /&gt; where dataCnt = 1  &lt;br /&gt; MATCH p =(s)&lt;-[r1:RealizationRelationship]-(c)-[r2:AccessRelationship]-(d:DataObject) &lt;br /&gt; RETURN COUNT (DISTINCT d)"/>
    <m/>
    <s v="./assets/sand_pile_v1.JPG"/>
    <m/>
    <m/>
    <m/>
    <m/>
    <x v="7"/>
    <s v="follows"/>
    <s v="Nanoservices"/>
  </r>
  <r>
    <x v="4"/>
    <s v="antiPatterns"/>
    <x v="4"/>
    <s v=""/>
    <x v="4"/>
    <x v="4"/>
    <s v=""/>
    <x v="1"/>
    <x v="3"/>
    <s v=""/>
    <s v=""/>
    <m/>
    <m/>
    <s v=""/>
    <m/>
    <m/>
    <m/>
    <m/>
    <m/>
    <x v="10"/>
    <s v=""/>
    <s v=""/>
  </r>
  <r>
    <x v="5"/>
    <s v="antiPatterns"/>
    <x v="5"/>
    <s v=""/>
    <x v="5"/>
    <x v="4"/>
    <s v=""/>
    <x v="4"/>
    <x v="3"/>
    <s v="Introduce or use consistent naming conventions"/>
    <s v=""/>
    <m/>
    <m/>
    <s v=""/>
    <m/>
    <m/>
    <m/>
    <m/>
    <m/>
    <x v="11"/>
    <s v=""/>
    <s v=""/>
  </r>
  <r>
    <x v="5"/>
    <s v="antiPatterns"/>
    <x v="5"/>
    <s v=""/>
    <x v="5"/>
    <x v="4"/>
    <s v=""/>
    <x v="4"/>
    <x v="3"/>
    <s v="Introduce or use consistent naming conventions"/>
    <s v=""/>
    <m/>
    <m/>
    <s v=""/>
    <m/>
    <m/>
    <m/>
    <m/>
    <m/>
    <x v="12"/>
    <s v=""/>
    <s v=""/>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0"/>
    <s v="follows"/>
    <s v="Nanoservices"/>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0"/>
    <s v="follows"/>
    <s v="Big Bang"/>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0"/>
    <s v="follows"/>
    <s v="No Legacy"/>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0"/>
    <s v="relates"/>
    <s v="Golden Hammer"/>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2"/>
    <s v="follows"/>
    <s v="Nanoservices"/>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2"/>
    <s v="follows"/>
    <s v="Big Bang"/>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2"/>
    <s v="follows"/>
    <s v="No Legacy"/>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2"/>
    <s v="relates"/>
    <s v="Golden Hammer"/>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3"/>
    <s v="follows"/>
    <s v="Nanoservices"/>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3"/>
    <s v="follows"/>
    <s v="Big Bang"/>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3"/>
    <s v="follows"/>
    <s v="No Legacy"/>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3"/>
    <s v="relates"/>
    <s v="Golden Hammer"/>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4"/>
    <s v="follows"/>
    <s v="Nanoservices"/>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4"/>
    <s v="follows"/>
    <s v="Big Bang"/>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4"/>
    <s v="follows"/>
    <s v="No Legacy"/>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4"/>
    <s v="relates"/>
    <s v="Golden Hammer"/>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13"/>
    <s v="follows"/>
    <s v="Nanoservices"/>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13"/>
    <s v="follows"/>
    <s v="Big Bang"/>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13"/>
    <s v="follows"/>
    <s v="No Legacy"/>
  </r>
  <r>
    <x v="6"/>
    <s v="antiPatterns"/>
    <x v="6"/>
    <s v="Same Old Way"/>
    <x v="6"/>
    <x v="5"/>
    <s v=""/>
    <x v="5"/>
    <x v="4"/>
    <s v="If RPC is used in the legacy system, a complete restructuring of the architecture should be considered. If a service supports or computerizes human activities, it often should not rely on RPC."/>
    <s v="SOAP is only used as an envelop for RPC calls, which limits service interfaces to RPC-like interactions."/>
    <m/>
    <m/>
    <m/>
    <m/>
    <m/>
    <m/>
    <m/>
    <m/>
    <x v="13"/>
    <s v="relates"/>
    <s v="Golden Hammer"/>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1"/>
    <s v="relates"/>
    <s v="Stovepipe Service"/>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1"/>
    <s v="relates"/>
    <s v="Shared Persistency"/>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0"/>
    <s v="relates"/>
    <s v="Stovepipe Service"/>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0"/>
    <s v="relates"/>
    <s v="Shared Persistency"/>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2"/>
    <s v="relates"/>
    <s v="Stovepipe Service"/>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2"/>
    <s v="relates"/>
    <s v="Shared Persistency"/>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3"/>
    <s v="relates"/>
    <s v="Stovepipe Service"/>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3"/>
    <s v="relates"/>
    <s v="Shared Persistency"/>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4"/>
    <s v="relates"/>
    <s v="Stovepipe Service"/>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4"/>
    <s v="relates"/>
    <s v="Shared Persistency"/>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14"/>
    <s v="relates"/>
    <s v="Stovepipe Service"/>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14"/>
    <s v="relates"/>
    <s v="Shared Persistency"/>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7"/>
    <s v="relates"/>
    <s v="Stovepipe Service"/>
  </r>
  <r>
    <x v="7"/>
    <s v="antiPatterns"/>
    <x v="7"/>
    <s v=""/>
    <x v="7"/>
    <x v="6"/>
    <s v="In the realm of EA, we interpret a concern as a function or a goal. We identify this Smell in the ArchiMate model in two ways. First, in the literal sense, we are looking for Application Components responsible for the same function. Besides, at least one of them also performs some independent functions. Second, by looking at the analysis elements called Assessments that emerge from stakeholder concerns. Each Assessment should deliver a goal. If two Assessments influence the same goal and one of them also addresses other goals at the same time, then this can also be a sign of the Scattered Parasitic Functionality Smell in ArchiMate."/>
    <x v="6"/>
    <x v="5"/>
    <s v="Implement a monitoring connector to exchange the data or the status of the data."/>
    <s v="Service A has a SharedConcern. Service B and C also have this shared concern, but also an orthogonal concern ConcernB respectively ConcernC. "/>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p"/>
    <s v="MATCH (a)-[r:AssignmentRelationship|AssociationRelationship &lt;br /&gt; |InfluenceRelationship|RealizationRelationship]-(b) &lt;br /&gt; WHERE (a:ApplicationFunction OR a:ApplicationService OR a:Goal) AND &lt;br /&gt; (b:ApplicationComponent OR b:Assessment) &lt;br /&gt; WITH a, COUNT (b) AS compCount &lt;br /&gt; MATCH (a)-[r:AssignmentRelationship|AssociationRelationship &lt;br /&gt; |InfluenceRelationship|RealizationRelationship]-(b) &lt;br /&gt; WHERE (b:ApplicationComponent OR b:Assessment) AND  compCount&gt;1 &lt;br /&gt;WITH a, b &lt;br /&gt; MATCH p = &lt;br /&gt; (a)--(b)-[r:AssignmentRelationship|AssociationRelationship|InfluenceRelationship|RealizationRelationship]-(orthogonal) &lt;br /&gt; WHERE a&lt;&gt;orthogonal and (orthogonal:ApplicationFunction or orthogonal:Goal) &lt;br /&gt; RETURN COUNT (DISTINCT a)"/>
    <m/>
    <s v="./assets/Scattered_Parasitic_Functionality.JPG"/>
    <m/>
    <m/>
    <m/>
    <m/>
    <x v="7"/>
    <s v="relates"/>
    <s v="Shared Persistency"/>
  </r>
  <r>
    <x v="8"/>
    <s v="antiPatterns"/>
    <x v="8"/>
    <s v=""/>
    <x v="8"/>
    <x v="7"/>
    <s v="Check if multiple services are accessing the same System Software represents a database.."/>
    <x v="7"/>
    <x v="3"/>
    <s v="Possible solutions are to use independent databases for each service, to use a shared database with a set of private tables for each service that can be accessed by only that service, or to use a private database schema for each service."/>
    <s v=""/>
    <s v="MATCH p=(a:BusinessObject|DataObject|Systemsoftware)-[r:AccessRelationship]-(b) &lt;br /&gt; WITH a, count (r) as cnt &lt;br /&gt; WHERE cnt&gt; 1 &lt;br /&gt; MATCH p = (a)-[r:AccessRelationship]-(b) &lt;br /&gt; RETURN p &lt;br /&gt; UNION &lt;br /&gt; MATCH p=(a:SystemSoftware)-[r]-(b) &lt;br /&gt; WHERE toLower(a.name) contains &quot;dbms&quot; OR toLower(a.name) contains &quot;data&quot; &lt;br /&gt; WITH a , count (r) as cnt &lt;br /&gt; WHERE cnt&gt; 1 &lt;br /&gt; MATCH p = (a)-[r:AccessRelationship]-(b) &lt;br /&gt; RETURN p"/>
    <s v="MATCH (a:BusinessObject|DataObject|Systemsoftware)-[r:AccessRelationship|ServingRelationship]-(b)  with a , count (r) as cnt  where cnt&gt; 1  MATCH p = (a)-[r]-(b) return count (distinct a)"/>
    <m/>
    <s v="./assets/shared_persistency.JPG"/>
    <m/>
    <m/>
    <m/>
    <m/>
    <x v="1"/>
    <s v="relates"/>
    <s v="Scattered Parasitic Functionality"/>
  </r>
  <r>
    <x v="8"/>
    <s v="antiPatterns"/>
    <x v="8"/>
    <s v=""/>
    <x v="8"/>
    <x v="7"/>
    <s v="Check if multiple services are accessing the same System Software represents a database.."/>
    <x v="7"/>
    <x v="3"/>
    <s v="Possible solutions are to use independent databases for each service, to use a shared database with a set of private tables for each service that can be accessed by only that service, or to use a private database schema for each service."/>
    <s v=""/>
    <s v="MATCH p=(a:BusinessObject|DataObject|Systemsoftware)-[r:AccessRelationship]-(b) &lt;br /&gt; WITH a, count (r) as cnt &lt;br /&gt; WHERE cnt&gt; 1 &lt;br /&gt; MATCH p = (a)-[r:AccessRelationship]-(b) &lt;br /&gt; RETURN p &lt;br /&gt; UNION &lt;br /&gt; MATCH p=(a:SystemSoftware)-[r]-(b) &lt;br /&gt; WHERE toLower(a.name) contains &quot;dbms&quot; OR toLower(a.name) contains &quot;data&quot; &lt;br /&gt; WITH a , count (r) as cnt &lt;br /&gt; WHERE cnt&gt; 1 &lt;br /&gt; MATCH p = (a)-[r:AccessRelationship]-(b) &lt;br /&gt; RETURN p"/>
    <s v="MATCH (a:BusinessObject|DataObject|Systemsoftware)-[r:AccessRelationship|ServingRelationship]-(b)  with a , count (r) as cnt  where cnt&gt; 1  MATCH p = (a)-[r]-(b) return count (distinct a)"/>
    <m/>
    <s v="./assets/shared_persistency.JPG"/>
    <m/>
    <m/>
    <m/>
    <m/>
    <x v="0"/>
    <s v="relates"/>
    <s v="Scattered Parasitic Functionality"/>
  </r>
  <r>
    <x v="8"/>
    <s v="antiPatterns"/>
    <x v="8"/>
    <s v=""/>
    <x v="8"/>
    <x v="7"/>
    <s v="Check if multiple services are accessing the same System Software represents a database.."/>
    <x v="7"/>
    <x v="3"/>
    <s v="Possible solutions are to use independent databases for each service, to use a shared database with a set of private tables for each service that can be accessed by only that service, or to use a private database schema for each service."/>
    <s v=""/>
    <s v="MATCH p=(a:BusinessObject|DataObject|Systemsoftware)-[r:AccessRelationship]-(b) &lt;br /&gt; WITH a, count (r) as cnt &lt;br /&gt; WHERE cnt&gt; 1 &lt;br /&gt; MATCH p = (a)-[r:AccessRelationship]-(b) &lt;br /&gt; RETURN p &lt;br /&gt; UNION &lt;br /&gt; MATCH p=(a:SystemSoftware)-[r]-(b) &lt;br /&gt; WHERE toLower(a.name) contains &quot;dbms&quot; OR toLower(a.name) contains &quot;data&quot; &lt;br /&gt; WITH a , count (r) as cnt &lt;br /&gt; WHERE cnt&gt; 1 &lt;br /&gt; MATCH p = (a)-[r:AccessRelationship]-(b) &lt;br /&gt; RETURN p"/>
    <s v="MATCH (a:BusinessObject|DataObject|Systemsoftware)-[r:AccessRelationship|ServingRelationship]-(b)  with a , count (r) as cnt  where cnt&gt; 1  MATCH p = (a)-[r]-(b) return count (distinct a)"/>
    <m/>
    <s v="./assets/shared_persistency.JPG"/>
    <m/>
    <m/>
    <m/>
    <m/>
    <x v="3"/>
    <s v="relates"/>
    <s v="Scattered Parasitic Functionality"/>
  </r>
  <r>
    <x v="8"/>
    <s v="antiPatterns"/>
    <x v="8"/>
    <s v=""/>
    <x v="8"/>
    <x v="7"/>
    <s v="Check if multiple services are accessing the same System Software represents a database.."/>
    <x v="7"/>
    <x v="3"/>
    <s v="Possible solutions are to use independent databases for each service, to use a shared database with a set of private tables for each service that can be accessed by only that service, or to use a private database schema for each service."/>
    <s v=""/>
    <s v="MATCH p=(a:BusinessObject|DataObject|Systemsoftware)-[r:AccessRelationship]-(b) &lt;br /&gt; WITH a, count (r) as cnt &lt;br /&gt; WHERE cnt&gt; 1 &lt;br /&gt; MATCH p = (a)-[r:AccessRelationship]-(b) &lt;br /&gt; RETURN p &lt;br /&gt; UNION &lt;br /&gt; MATCH p=(a:SystemSoftware)-[r]-(b) &lt;br /&gt; WHERE toLower(a.name) contains &quot;dbms&quot; OR toLower(a.name) contains &quot;data&quot; &lt;br /&gt; WITH a , count (r) as cnt &lt;br /&gt; WHERE cnt&gt; 1 &lt;br /&gt; MATCH p = (a)-[r:AccessRelationship]-(b) &lt;br /&gt; RETURN p"/>
    <s v="MATCH (a:BusinessObject|DataObject|Systemsoftware)-[r:AccessRelationship|ServingRelationship]-(b)  with a , count (r) as cnt  where cnt&gt; 1  MATCH p = (a)-[r]-(b) return count (distinct a)"/>
    <m/>
    <s v="./assets/shared_persistency.JPG"/>
    <m/>
    <m/>
    <m/>
    <m/>
    <x v="4"/>
    <s v="relates"/>
    <s v="Scattered Parasitic Functionality"/>
  </r>
  <r>
    <x v="8"/>
    <s v="antiPatterns"/>
    <x v="8"/>
    <s v=""/>
    <x v="8"/>
    <x v="7"/>
    <s v="Check if multiple services are accessing the same System Software represents a database.."/>
    <x v="7"/>
    <x v="3"/>
    <s v="Possible solutions are to use independent databases for each service, to use a shared database with a set of private tables for each service that can be accessed by only that service, or to use a private database schema for each service."/>
    <s v=""/>
    <s v="MATCH p=(a:BusinessObject|DataObject|Systemsoftware)-[r:AccessRelationship]-(b) &lt;br /&gt; WITH a, count (r) as cnt &lt;br /&gt; WHERE cnt&gt; 1 &lt;br /&gt; MATCH p = (a)-[r:AccessRelationship]-(b) &lt;br /&gt; RETURN p &lt;br /&gt; UNION &lt;br /&gt; MATCH p=(a:SystemSoftware)-[r]-(b) &lt;br /&gt; WHERE toLower(a.name) contains &quot;dbms&quot; OR toLower(a.name) contains &quot;data&quot; &lt;br /&gt; WITH a , count (r) as cnt &lt;br /&gt; WHERE cnt&gt; 1 &lt;br /&gt; MATCH p = (a)-[r:AccessRelationship]-(b) &lt;br /&gt; RETURN p"/>
    <s v="MATCH (a:BusinessObject|DataObject|Systemsoftware)-[r:AccessRelationship|ServingRelationship]-(b)  with a , count (r) as cnt  where cnt&gt; 1  MATCH p = (a)-[r]-(b) return count (distinct a)"/>
    <m/>
    <s v="./assets/shared_persistency.JPG"/>
    <m/>
    <m/>
    <m/>
    <m/>
    <x v="15"/>
    <s v="relates"/>
    <s v="Scattered Parasitic Functionality"/>
  </r>
  <r>
    <x v="8"/>
    <s v="antiPatterns"/>
    <x v="8"/>
    <s v=""/>
    <x v="8"/>
    <x v="7"/>
    <s v="Check if multiple services are accessing the same System Software represents a database.."/>
    <x v="7"/>
    <x v="3"/>
    <s v="Possible solutions are to use independent databases for each service, to use a shared database with a set of private tables for each service that can be accessed by only that service, or to use a private database schema for each service."/>
    <s v=""/>
    <s v="MATCH p=(a:BusinessObject|DataObject|Systemsoftware)-[r:AccessRelationship]-(b) &lt;br /&gt; WITH a, count (r) as cnt &lt;br /&gt; WHERE cnt&gt; 1 &lt;br /&gt; MATCH p = (a)-[r:AccessRelationship]-(b) &lt;br /&gt; RETURN p &lt;br /&gt; UNION &lt;br /&gt; MATCH p=(a:SystemSoftware)-[r]-(b) &lt;br /&gt; WHERE toLower(a.name) contains &quot;dbms&quot; OR toLower(a.name) contains &quot;data&quot; &lt;br /&gt; WITH a , count (r) as cnt &lt;br /&gt; WHERE cnt&gt; 1 &lt;br /&gt; MATCH p = (a)-[r:AccessRelationship]-(b) &lt;br /&gt; RETURN p"/>
    <s v="MATCH (a:BusinessObject|DataObject|Systemsoftware)-[r:AccessRelationship|ServingRelationship]-(b)  with a , count (r) as cnt  where cnt&gt; 1  MATCH p = (a)-[r]-(b) return count (distinct a)"/>
    <m/>
    <s v="./assets/shared_persistency.JPG"/>
    <m/>
    <m/>
    <m/>
    <m/>
    <x v="7"/>
    <s v="relates"/>
    <s v="Scattered Parasitic Functionality"/>
  </r>
  <r>
    <x v="8"/>
    <s v="antiPatterns"/>
    <x v="8"/>
    <s v=""/>
    <x v="8"/>
    <x v="7"/>
    <s v="Check if multiple services are accessing the same System Software represents a database.."/>
    <x v="7"/>
    <x v="3"/>
    <s v="Possible solutions are to use independent databases for each service, to use a shared database with a set of private tables for each service that can be accessed by only that service, or to use a private database schema for each service."/>
    <s v=""/>
    <s v="MATCH p=(a:BusinessObject|DataObject|Systemsoftware)-[r:AccessRelationship]-(b) &lt;br /&gt; WITH a, count (r) as cnt &lt;br /&gt; WHERE cnt&gt; 1 &lt;br /&gt; MATCH p = (a)-[r:AccessRelationship]-(b) &lt;br /&gt; RETURN p &lt;br /&gt; UNION &lt;br /&gt; MATCH p=(a:SystemSoftware)-[r]-(b) &lt;br /&gt; WHERE toLower(a.name) contains &quot;dbms&quot; OR toLower(a.name) contains &quot;data&quot; &lt;br /&gt; WITH a , count (r) as cnt &lt;br /&gt; WHERE cnt&gt; 1 &lt;br /&gt; MATCH p = (a)-[r:AccessRelationship]-(b) &lt;br /&gt; RETURN p"/>
    <s v="MATCH (a:BusinessObject|DataObject|Systemsoftware)-[r:AccessRelationship|ServingRelationship]-(b)  with a , count (r) as cnt  where cnt&gt; 1  MATCH p = (a)-[r]-(b) return count (distinct a)"/>
    <m/>
    <s v="./assets/shared_persistency.JPG"/>
    <m/>
    <m/>
    <m/>
    <m/>
    <x v="8"/>
    <s v="relates"/>
    <s v="Scattered Parasitic Functionality"/>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countOfNodesOfSameType"/>
    <s v="number"/>
    <n v="3"/>
    <s v="Minimum number of nodes of the same type within a community."/>
    <x v="0"/>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countOfNodesOfSameType"/>
    <s v="number"/>
    <n v="3"/>
    <s v="Minimum number of nodes of the same type within a community."/>
    <x v="1"/>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countOfNodesOfSameType"/>
    <s v="number"/>
    <n v="3"/>
    <s v="Minimum number of nodes of the same type within a community."/>
    <x v="2"/>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countOfNodesOfSameType"/>
    <s v="number"/>
    <n v="3"/>
    <s v="Minimum number of nodes of the same type within a community."/>
    <x v="3"/>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countOfNodesOfSameType"/>
    <s v="number"/>
    <n v="3"/>
    <s v="Minimum number of nodes of the same type within a community."/>
    <x v="4"/>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countOfNodesOfSameType"/>
    <s v="number"/>
    <n v="3"/>
    <s v="Minimum number of nodes of the same type within a community."/>
    <x v="14"/>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countOfNodesOfSameType"/>
    <s v="number"/>
    <n v="3"/>
    <s v="Minimum number of nodes of the same type within a community."/>
    <x v="16"/>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countOfNodesOfSameType"/>
    <s v="number"/>
    <n v="3"/>
    <s v="Minimum number of nodes of the same type within a community."/>
    <x v="6"/>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elationsCount"/>
    <s v="number"/>
    <n v="10"/>
    <s v="Minimum number of relations within a comminity."/>
    <x v="0"/>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elationsCount"/>
    <s v="number"/>
    <n v="10"/>
    <s v="Minimum number of relations within a comminity."/>
    <x v="1"/>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elationsCount"/>
    <s v="number"/>
    <n v="10"/>
    <s v="Minimum number of relations within a comminity."/>
    <x v="2"/>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elationsCount"/>
    <s v="number"/>
    <n v="10"/>
    <s v="Minimum number of relations within a comminity."/>
    <x v="3"/>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elationsCount"/>
    <s v="number"/>
    <n v="10"/>
    <s v="Minimum number of relations within a comminity."/>
    <x v="4"/>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elationsCount"/>
    <s v="number"/>
    <n v="10"/>
    <s v="Minimum number of relations within a comminity."/>
    <x v="14"/>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elationsCount"/>
    <s v="number"/>
    <n v="10"/>
    <s v="Minimum number of relations within a comminity."/>
    <x v="16"/>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elationsCount"/>
    <s v="number"/>
    <n v="10"/>
    <s v="Minimum number of relations within a comminity."/>
    <x v="6"/>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atio"/>
    <s v="number"/>
    <n v="3"/>
    <s v="Ratio threshold"/>
    <x v="0"/>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atio"/>
    <s v="number"/>
    <n v="3"/>
    <s v="Ratio threshold"/>
    <x v="1"/>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atio"/>
    <s v="number"/>
    <n v="3"/>
    <s v="Ratio threshold"/>
    <x v="2"/>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atio"/>
    <s v="number"/>
    <n v="3"/>
    <s v="Ratio threshold"/>
    <x v="3"/>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atio"/>
    <s v="number"/>
    <n v="3"/>
    <s v="Ratio threshold"/>
    <x v="4"/>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atio"/>
    <s v="number"/>
    <n v="3"/>
    <s v="Ratio threshold"/>
    <x v="14"/>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atio"/>
    <s v="number"/>
    <n v="3"/>
    <s v="Ratio threshold"/>
    <x v="16"/>
    <s v="precedes"/>
    <s v="Nanoservices"/>
  </r>
  <r>
    <x v="9"/>
    <s v="antiPatterns"/>
    <x v="9"/>
    <s v="Decomposition"/>
    <x v="9"/>
    <x v="8"/>
    <s v="Many rather small components exist that are not aggregated into encompassing superelements. Count separate elements that are not encapsulated in a component. Candidates for the smell could be identified by Clustering-Algorithms."/>
    <x v="8"/>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A Business Object consisting of multiple elements is not encapsulated in an abstraction. Instead of modelling contracts and customers together, only separate data objects exist that clutter the model. A concrete example, consider the elements in graphical example as a cluster. This cluster suffers from Missing Abstraction EA Smell, as many services and components are present but are not aggregated into a more general element."/>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p"/>
    <s v="MATCH (n) &lt;br /&gt; WITH count (n) as nodes, n.ClassName as label, n.community as communities &lt;br /&gt; WHERE nodes &gt; $countOfNodesOfSameType &lt;br /&gt; WITH communities &lt;br /&gt; MATCH (t)-[st]-&gt;(s) &lt;br /&gt; WHERE t.community=s.community and t.community in communities &lt;br /&gt; WITH count (st) as relcount, communities &lt;br /&gt; MATCH (a)-[r]-&gt;(b) &lt;br /&gt; WHERE relcount &gt; $relationsCount and a.community=b.community and b.community in communities &lt;br /&gt;  optional MATCH p1=(s)-[r:CompositionRelationship|AggregationRelationship]-&gt;(t) &lt;br /&gt; WHERE s.community=t.community and s.community in communities &lt;br /&gt; WITH count (p1) as aggCnt, relcount, communities &lt;br /&gt; MATCH p=(a)-[r1]-&gt;(b) &lt;br /&gt; WHERE a.community=b.community and a.community in &lt;br /&gt; communities and (aggCnt=0 or  relcount/aggCnt &gt; $ratio)  &lt;br /&gt; RETURN COUNT (distinct a.community)"/>
    <m/>
    <s v="./assets/missing_abstraction_v1.JPG"/>
    <s v="ratio"/>
    <s v="number"/>
    <n v="3"/>
    <s v="Ratio threshold"/>
    <x v="6"/>
    <s v="precedes"/>
    <s v="Nanoservices"/>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sensitiveProperties"/>
    <s v="list"/>
    <s v="[List]"/>
    <s v="The property values specifying an element as confidential."/>
    <x v="0"/>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sensitiveProperties"/>
    <s v="list"/>
    <s v="[List]"/>
    <s v="The property values specifying an element as confidential."/>
    <x v="1"/>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sensitiveProperties"/>
    <s v="list"/>
    <s v="[List]"/>
    <s v="The property values specifying an element as confidential."/>
    <x v="2"/>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sensitiveProperties"/>
    <s v="list"/>
    <s v="[List]"/>
    <s v="The property values specifying an element as confidential."/>
    <x v="3"/>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sensitiveProperties"/>
    <s v="list"/>
    <s v="[List]"/>
    <s v="The property values specifying an element as confidential."/>
    <x v="4"/>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sensitiveProperties"/>
    <s v="list"/>
    <s v="[List]"/>
    <s v="The property values specifying an element as confidential."/>
    <x v="7"/>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sensitiveProperties"/>
    <s v="list"/>
    <s v="[List]"/>
    <s v="The property values specifying an element as confidential."/>
    <x v="6"/>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permissibleCount"/>
    <s v="number"/>
    <s v="2"/>
    <s v="The permissible number of elements for accessing a confidential data source."/>
    <x v="0"/>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permissibleCount"/>
    <s v="number"/>
    <s v="2"/>
    <s v="The permissible number of elements for accessing a confidential data source."/>
    <x v="1"/>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permissibleCount"/>
    <s v="number"/>
    <s v="2"/>
    <s v="The permissible number of elements for accessing a confidential data source."/>
    <x v="2"/>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permissibleCount"/>
    <s v="number"/>
    <s v="2"/>
    <s v="The permissible number of elements for accessing a confidential data source."/>
    <x v="3"/>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permissibleCount"/>
    <s v="number"/>
    <s v="2"/>
    <s v="The permissible number of elements for accessing a confidential data source."/>
    <x v="4"/>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permissibleCount"/>
    <s v="number"/>
    <s v="2"/>
    <s v="The permissible number of elements for accessing a confidential data source."/>
    <x v="7"/>
    <s v=""/>
    <s v=""/>
  </r>
  <r>
    <x v="10"/>
    <s v="antiPatterns"/>
    <x v="10"/>
    <s v="Too Much Information"/>
    <x v="10"/>
    <x v="9"/>
    <s v="In ArchiMate, Business Objects, Data Objects and Artifacts serve as data source representations. However, there is no distinction made between sensitive and non-sensitive data sources. To address this, we can explore identifying a property that designates a data source as confidential. Additionally, we can establish a threshold for permissible access to sensitive data. If the number of accesses exceeds this threshold, we may interpret it as an indication of a Deficient Encapsulation EA Smell."/>
    <x v="9"/>
    <x v="7"/>
    <s v="Try to hide as much unneeded information as possible. Integrate functionality into components that use that functionality. This is only possible if the first component truly does not need these parts."/>
    <s v=""/>
    <s v="MATCH (n) &lt;br /&gt; WHERE n.ClassName ='DataObject' or n.ClassName='BusinessObject' or n.ClassName='Artifact' &lt;br /&gt; WITH n &lt;br /&gt; WHERE ANY (x in keys(n) WHERE n[x] IN $sensitiveProperties OR toLower(x) IN $sensitiveProperties) &lt;br /&gt; WITH  n &lt;br /&gt; MATCH (n)-[r:AccessRelationship]-(m) &lt;br /&gt; WITH n, COUNT (r) as accessCount &lt;br /&gt; MATCH p = (n)-[r:AccessRelationship]-(m) &lt;br /&gt; WHERE accessCount &gt; $permissibleCount &lt;br /&gt; RETURN p"/>
    <s v="MATCH (n) WHERE n.ClassName ='DataObject' or n.ClassName='BusinessObject' or n.ClassName='Artifact' &lt;br /&gt; WITH n WHERE ANY (x in keys(n) WHERE n[x] IN  [&quot;confident&quot;, &quot;sensible&quot;, &quot;sensitive&quot;] OR toLower(x) IN [&quot;confident&quot;, &quot;sensible&quot;, &quot;sensitive&quot;]) WITH n MATCH (n)-[r:AccessRelationship]-(m) WITH n, COUNT (r) as accessCount MATCH p = (n)-[r:AccessRelationship]-(m) WHERE accessCount &gt; 3 RETURN count (distinct n)"/>
    <m/>
    <s v="./assets/Deficient_Encapsulation.JPG"/>
    <s v="permissibleCount"/>
    <s v="number"/>
    <s v="2"/>
    <s v="The permissible number of elements for accessing a confidential data source."/>
    <x v="6"/>
    <s v=""/>
    <s v=""/>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0"/>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0"/>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0"/>
    <s v="relates"/>
    <s v="Feature Envy"/>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
    <s v="relates"/>
    <s v="Feature Envy"/>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2"/>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2"/>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2"/>
    <s v="relates"/>
    <s v="Feature Envy"/>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3"/>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3"/>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3"/>
    <s v="relates"/>
    <s v="Feature Envy"/>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9"/>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9"/>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9"/>
    <s v="relates"/>
    <s v="Feature Envy"/>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5"/>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5"/>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5"/>
    <s v="relates"/>
    <s v="Feature Envy"/>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6"/>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6"/>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6"/>
    <s v="relates"/>
    <s v="Feature Envy"/>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7"/>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7"/>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17"/>
    <s v="relates"/>
    <s v="Feature Envy"/>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8"/>
    <s v="follows"/>
    <s v="Chatty Service"/>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8"/>
    <s v="precedes"/>
    <s v="Wrong Cuts"/>
  </r>
  <r>
    <x v="11"/>
    <s v="antiPatterns"/>
    <x v="11"/>
    <s v="Data Class"/>
    <x v="11"/>
    <x v="10"/>
    <s v="Searching services that exclusively provide access to a data source (Business Object, Data Object or Artifact) and do not initiate interaction with other services. However, other services may use this service to retrieve data."/>
    <x v="10"/>
    <x v="8"/>
    <s v="Move Method; Encapsulate Field"/>
    <s v="A component only provides customer data and does not process those informations"/>
    <s v="MATCH p = (a)-[r:AccessRelationship]-(d) &lt;br /&gt; WHERE (a:ApplicationService or a:BusinessService or a:TechnologyService) AND (d:DataObject or d:BusinessObject or d:Artifact) &lt;br /&gt; WITH p, a &lt;br /&gt; WHERE NOT EXISTS{ &lt;br /&gt; (a)-[r1:AssignmentRelationship|CompositionRelationship|AssociationRelationship|AggregationRelationship|RealizationRelationship]-(s) &lt;br /&gt; WHERE NOT s:ApplicationService or s:BusinessService or s:TechnologyService &lt;br /&gt; } &lt;br /&gt; RETURN p"/>
    <s v="MATCH p = (a)-[r:AccessRelationship]-(d) WHERE (a:ApplicationService or a:BusinessService or a:TechnologyService) AND (d:DataObject or d:BusinessObject or d:Artifact)  WITH p,a   WHERE NOT EXISTS{ (a)-[r1:AssignmentRelationship|CompositionRelationship|AssociationRelationship|AggregationRelationship|RealizationRelationship]-(s)  WHERE NOT s:ApplicationService or s:BusinessService or s:TechnologyService } RETURN count(distinct a)"/>
    <m/>
    <s v="./assets/dataservice.JPG"/>
    <m/>
    <m/>
    <m/>
    <m/>
    <x v="8"/>
    <s v="relates"/>
    <s v="Feature Envy"/>
  </r>
  <r>
    <x v="12"/>
    <s v="antiPatterns"/>
    <x v="12"/>
    <s v=""/>
    <x v="12"/>
    <x v="11"/>
    <s v="We can consider two possible cases in the ArchiMate modeling language. In the first case, we assume the Infinite Loop is a small sub-graph with at least one cyclic path and no exiting edges that can escape from the loop. In the second case, there could also be an edge that can escape the loop, but the process will never go through that edge for different reasons. For example, the condition is never met. We can not detect the second case via the KG query, and a dynamic analysis is required."/>
    <x v="11"/>
    <x v="3"/>
    <s v=""/>
    <s v=""/>
    <s v="MATCH (a) WITH collect(a) AS nodes CALL apoc.nodes.cycles(nodes, {maxDepth: $maxDepth}) &lt;br /&gt; YIELD path WITH path AS p &lt;br /&gt; WITH nodes(p) AS loopSet &lt;br /&gt; WHERE NOT EXISTS{ &lt;br /&gt; MATCH (a)--(b) &lt;br /&gt; WHERE a IN loopSet AND NOT b IN loopSet &lt;br /&gt; } &lt;br /&gt; Match p=(m)--(n)&lt;br /&gt; WHERE m IN loopSet AND n IN loopSet return p"/>
    <s v=""/>
    <m/>
    <s v="./assets/infiniteLoop.JPG"/>
    <s v="maxDepth"/>
    <s v="number"/>
    <n v="5"/>
    <s v="The maximum length of the path for detection."/>
    <x v="12"/>
    <s v=""/>
    <s v=""/>
  </r>
  <r>
    <x v="12"/>
    <s v="antiPatterns"/>
    <x v="12"/>
    <s v=""/>
    <x v="12"/>
    <x v="11"/>
    <s v="We can consider two possible cases in the ArchiMate modeling language. In the first case, we assume the Infinite Loop is a small sub-graph with at least one cyclic path and no exiting edges that can escape from the loop. In the second case, there could also be an edge that can escape the loop, but the process will never go through that edge for different reasons. For example, the condition is never met. We can not detect the second case via the KG query, and a dynamic analysis is required."/>
    <x v="11"/>
    <x v="3"/>
    <s v=""/>
    <s v=""/>
    <s v="MATCH (a) WITH collect(a) AS nodes CALL apoc.nodes.cycles(nodes, {maxDepth: $maxDepth}) &lt;br /&gt; YIELD path WITH path AS p &lt;br /&gt; WITH nodes(p) AS loopSet &lt;br /&gt; WHERE NOT EXISTS{ &lt;br /&gt; MATCH (a)--(b) &lt;br /&gt; WHERE a IN loopSet AND NOT b IN loopSet &lt;br /&gt; } &lt;br /&gt; Match p=(m)--(n)&lt;br /&gt; WHERE m IN loopSet AND n IN loopSet return p"/>
    <s v=""/>
    <m/>
    <s v="./assets/infiniteLoop.JPG"/>
    <s v="maxDepth"/>
    <s v="number"/>
    <n v="5"/>
    <s v="The maximum length of the path for detection."/>
    <x v="18"/>
    <s v=""/>
    <s v=""/>
  </r>
  <r>
    <x v="13"/>
    <s v="antiPatterns"/>
    <x v="13"/>
    <s v=""/>
    <x v="13"/>
    <x v="12"/>
    <s v=""/>
    <x v="12"/>
    <x v="9"/>
    <s v="First, migrate the functionality of each service and worry about bounded contexts between services and data later. Once you learn more about the services, you will likely adjust the level of granularity through merging and splitting. After reaching a stable level of service granularity, migrate the data."/>
    <s v=""/>
    <m/>
    <m/>
    <m/>
    <m/>
    <m/>
    <m/>
    <m/>
    <m/>
    <x v="1"/>
    <m/>
    <m/>
  </r>
  <r>
    <x v="13"/>
    <s v="antiPatterns"/>
    <x v="13"/>
    <s v=""/>
    <x v="13"/>
    <x v="12"/>
    <s v=""/>
    <x v="12"/>
    <x v="9"/>
    <s v="First, migrate the functionality of each service and worry about bounded contexts between services and data later. Once you learn more about the services, you will likely adjust the level of granularity through merging and splitting. After reaching a stable level of service granularity, migrate the data."/>
    <s v=""/>
    <m/>
    <m/>
    <m/>
    <m/>
    <m/>
    <m/>
    <m/>
    <m/>
    <x v="3"/>
    <m/>
    <m/>
  </r>
  <r>
    <x v="13"/>
    <s v="antiPatterns"/>
    <x v="13"/>
    <s v=""/>
    <x v="13"/>
    <x v="12"/>
    <s v=""/>
    <x v="12"/>
    <x v="9"/>
    <s v="First, migrate the functionality of each service and worry about bounded contexts between services and data later. Once you learn more about the services, you will likely adjust the level of granularity through merging and splitting. After reaching a stable level of service granularity, migrate the data."/>
    <s v=""/>
    <m/>
    <m/>
    <m/>
    <m/>
    <m/>
    <m/>
    <m/>
    <m/>
    <x v="4"/>
    <m/>
    <m/>
  </r>
  <r>
    <x v="13"/>
    <s v="antiPatterns"/>
    <x v="13"/>
    <s v=""/>
    <x v="13"/>
    <x v="12"/>
    <s v=""/>
    <x v="12"/>
    <x v="9"/>
    <s v="First, migrate the functionality of each service and worry about bounded contexts between services and data later. Once you learn more about the services, you will likely adjust the level of granularity through merging and splitting. After reaching a stable level of service granularity, migrate the data."/>
    <s v=""/>
    <m/>
    <m/>
    <m/>
    <m/>
    <m/>
    <m/>
    <m/>
    <m/>
    <x v="13"/>
    <m/>
    <m/>
  </r>
  <r>
    <x v="13"/>
    <s v="antiPatterns"/>
    <x v="13"/>
    <s v=""/>
    <x v="13"/>
    <x v="12"/>
    <s v=""/>
    <x v="12"/>
    <x v="9"/>
    <s v="First, migrate the functionality of each service and worry about bounded contexts between services and data later. Once you learn more about the services, you will likely adjust the level of granularity through merging and splitting. After reaching a stable level of service granularity, migrate the data."/>
    <s v=""/>
    <m/>
    <m/>
    <m/>
    <m/>
    <m/>
    <m/>
    <m/>
    <m/>
    <x v="15"/>
    <m/>
    <m/>
  </r>
  <r>
    <x v="14"/>
    <s v="antiPatterns"/>
    <x v="14"/>
    <s v=""/>
    <x v="14"/>
    <x v="13"/>
    <s v="We search for element names that denote a test. Such verbs may include &quot;evaluate,&quot; &quot;verify,&quot; and &quot;validate&quot;. Typically, a test scenario can yield two potential outcomes, either successful or unsuccessful. Therefore, if the test element is not followed by an OR Junction or has only one leaving path presenting only one possible outcome of the test, then the model suffers from the Useless Test EA Smell."/>
    <x v="13"/>
    <x v="0"/>
    <s v="Move existing behaviors into a single component. If there's no component appropriate for this, create a new one. If moving code to the same element leaves the original one almost empty, try to get rid of these now-redundant components."/>
    <s v="The element “Evaluate money withdrawal request“ has only one possible output “Process money withdrawal“, but a negative case is not considered in the model."/>
    <s v="MATCH p = (m)--&gt;(n) &lt;br /&gt; WHERE ANY (name in $testVerbs where toLower(m.name) CONTAINS toLower(name)) &lt;br /&gt; and NOT EXISTS ((m)--&gt;(:Junction {type: &quot;or&quot;})) &lt;br /&gt; RETURN p &lt;br /&gt; UNION  &lt;br /&gt; MATCH (m)--&gt;(Junction {type: 'or'})--&gt;(n) &lt;br /&gt; WITH m, COUNT (n) as testReslults &lt;br /&gt; WHERE testReslults=1 &lt;br /&gt; MATCH p=(m)--&gt;(Junction {type: 'or'})--&gt;(n) &lt;br /&gt; WHERE any (name in $testVerbs where toLower(m.name) CONTAINS toLower(name)) &lt;br /&gt; RETURN p"/>
    <s v="MATCH p = (m)--&gt;(n) WHERE any (name in $testVerbs where toLower(m.name) CONTAINS toLower(name)) and NOT EXISTS ((m)--&gt;(:Junction {type: 'or'})) RETURN count(DISTINCT m)"/>
    <m/>
    <s v="./assets/uselesstest.JPG"/>
    <s v="testVerbs"/>
    <s v="list"/>
    <s v="[List]"/>
    <s v="List of verbs that indicates a test or verification."/>
    <x v="11"/>
    <s v="relates"/>
    <s v="Multifaceted Abstraction"/>
  </r>
  <r>
    <x v="14"/>
    <s v="antiPatterns"/>
    <x v="14"/>
    <s v=""/>
    <x v="14"/>
    <x v="13"/>
    <s v="We search for element names that denote a test. Such verbs may include &quot;evaluate,&quot; &quot;verify,&quot; and &quot;validate&quot;. Typically, a test scenario can yield two potential outcomes, either successful or unsuccessful. Therefore, if the test element is not followed by an OR Junction or has only one leaving path presenting only one possible outcome of the test, then the model suffers from the Useless Test EA Smell."/>
    <x v="13"/>
    <x v="0"/>
    <s v="Move existing behaviors into a single component. If there's no component appropriate for this, create a new one. If moving code to the same element leaves the original one almost empty, try to get rid of these now-redundant components."/>
    <s v="The element “Evaluate money withdrawal request“ has only one possible output “Process money withdrawal“, but a negative case is not considered in the model."/>
    <s v="MATCH p = (m)--&gt;(n) &lt;br /&gt; WHERE ANY (name in $testVerbs where toLower(m.name) CONTAINS toLower(name)) &lt;br /&gt; and NOT EXISTS ((m)--&gt;(:Junction {type: &quot;or&quot;})) &lt;br /&gt; RETURN p &lt;br /&gt; UNION  &lt;br /&gt; MATCH (m)--&gt;(Junction {type: 'or'})--&gt;(n) &lt;br /&gt; WITH m, COUNT (n) as testReslults &lt;br /&gt; WHERE testReslults=1 &lt;br /&gt; MATCH p=(m)--&gt;(Junction {type: 'or'})--&gt;(n) &lt;br /&gt; WHERE any (name in $testVerbs where toLower(m.name) CONTAINS toLower(name)) &lt;br /&gt; RETURN p"/>
    <s v="MATCH p = (m)--&gt;(n) WHERE any (name in $testVerbs where toLower(m.name) CONTAINS toLower(name)) and NOT EXISTS ((m)--&gt;(:Junction {type: 'or'})) RETURN count(DISTINCT m)"/>
    <m/>
    <s v="./assets/uselesstest.JPG"/>
    <s v="testVerbs"/>
    <s v="list"/>
    <s v="[List]"/>
    <s v="List of verbs that indicates a test or verification."/>
    <x v="11"/>
    <s v="follows"/>
    <s v="Nanoservices"/>
  </r>
  <r>
    <x v="14"/>
    <s v="antiPatterns"/>
    <x v="14"/>
    <s v=""/>
    <x v="14"/>
    <x v="13"/>
    <s v="We search for element names that denote a test. Such verbs may include &quot;evaluate,&quot; &quot;verify,&quot; and &quot;validate&quot;. Typically, a test scenario can yield two potential outcomes, either successful or unsuccessful. Therefore, if the test element is not followed by an OR Junction or has only one leaving path presenting only one possible outcome of the test, then the model suffers from the Useless Test EA Smell."/>
    <x v="13"/>
    <x v="0"/>
    <s v="Move existing behaviors into a single component. If there's no component appropriate for this, create a new one. If moving code to the same element leaves the original one almost empty, try to get rid of these now-redundant components."/>
    <s v="The element “Evaluate money withdrawal request“ has only one possible output “Process money withdrawal“, but a negative case is not considered in the model."/>
    <s v="MATCH p = (m)--&gt;(n) &lt;br /&gt; WHERE ANY (name in $testVerbs where toLower(m.name) CONTAINS toLower(name)) &lt;br /&gt; and NOT EXISTS ((m)--&gt;(:Junction {type: &quot;or&quot;})) &lt;br /&gt; RETURN p &lt;br /&gt; UNION  &lt;br /&gt; MATCH (m)--&gt;(Junction {type: 'or'})--&gt;(n) &lt;br /&gt; WITH m, COUNT (n) as testReslults &lt;br /&gt; WHERE testReslults=1 &lt;br /&gt; MATCH p=(m)--&gt;(Junction {type: 'or'})--&gt;(n) &lt;br /&gt; WHERE any (name in $testVerbs where toLower(m.name) CONTAINS toLower(name)) &lt;br /&gt; RETURN p"/>
    <s v="MATCH p = (m)--&gt;(n) WHERE any (name in $testVerbs where toLower(m.name) CONTAINS toLower(name)) and NOT EXISTS ((m)--&gt;(:Junction {type: 'or'})) RETURN count(DISTINCT m)"/>
    <m/>
    <s v="./assets/uselesstest.JPG"/>
    <s v="testVerbs"/>
    <s v="list"/>
    <s v="[List]"/>
    <s v="List of verbs that indicates a test or verification."/>
    <x v="12"/>
    <s v="relates"/>
    <s v="Multifaceted Abstraction"/>
  </r>
  <r>
    <x v="14"/>
    <s v="antiPatterns"/>
    <x v="14"/>
    <s v=""/>
    <x v="14"/>
    <x v="13"/>
    <s v="We search for element names that denote a test. Such verbs may include &quot;evaluate,&quot; &quot;verify,&quot; and &quot;validate&quot;. Typically, a test scenario can yield two potential outcomes, either successful or unsuccessful. Therefore, if the test element is not followed by an OR Junction or has only one leaving path presenting only one possible outcome of the test, then the model suffers from the Useless Test EA Smell."/>
    <x v="13"/>
    <x v="0"/>
    <s v="Move existing behaviors into a single component. If there's no component appropriate for this, create a new one. If moving code to the same element leaves the original one almost empty, try to get rid of these now-redundant components."/>
    <s v="The element “Evaluate money withdrawal request“ has only one possible output “Process money withdrawal“, but a negative case is not considered in the model."/>
    <s v="MATCH p = (m)--&gt;(n) &lt;br /&gt; WHERE ANY (name in $testVerbs where toLower(m.name) CONTAINS toLower(name)) &lt;br /&gt; and NOT EXISTS ((m)--&gt;(:Junction {type: &quot;or&quot;})) &lt;br /&gt; RETURN p &lt;br /&gt; UNION  &lt;br /&gt; MATCH (m)--&gt;(Junction {type: 'or'})--&gt;(n) &lt;br /&gt; WITH m, COUNT (n) as testReslults &lt;br /&gt; WHERE testReslults=1 &lt;br /&gt; MATCH p=(m)--&gt;(Junction {type: 'or'})--&gt;(n) &lt;br /&gt; WHERE any (name in $testVerbs where toLower(m.name) CONTAINS toLower(name)) &lt;br /&gt; RETURN p"/>
    <s v="MATCH p = (m)--&gt;(n) WHERE any (name in $testVerbs where toLower(m.name) CONTAINS toLower(name)) and NOT EXISTS ((m)--&gt;(:Junction {type: 'or'})) RETURN count(DISTINCT m)"/>
    <m/>
    <s v="./assets/uselesstest.JPG"/>
    <s v="testVerbs"/>
    <s v="list"/>
    <s v="[List]"/>
    <s v="List of verbs that indicates a test or verification."/>
    <x v="12"/>
    <s v="follows"/>
    <s v="Nanoservices"/>
  </r>
  <r>
    <x v="15"/>
    <s v="antiPatterns"/>
    <x v="15"/>
    <s v=""/>
    <x v="15"/>
    <x v="14"/>
    <s v=""/>
    <x v="1"/>
    <x v="10"/>
    <s v="Introduce extensions to realize features."/>
    <s v="A Node that should be an encompassing resource to model application platforms or Application Collaborations that do not fulfill their responsibilities."/>
    <m/>
    <m/>
    <m/>
    <m/>
    <m/>
    <m/>
    <m/>
    <m/>
    <x v="0"/>
    <s v="relates"/>
    <s v="Incomplete Abstraction"/>
  </r>
  <r>
    <x v="15"/>
    <s v="antiPatterns"/>
    <x v="15"/>
    <s v=""/>
    <x v="15"/>
    <x v="14"/>
    <s v=""/>
    <x v="1"/>
    <x v="10"/>
    <s v="Introduce extensions to realize features."/>
    <s v="A Node that should be an encompassing resource to model application platforms or Application Collaborations that do not fulfill their responsibilities."/>
    <m/>
    <m/>
    <m/>
    <m/>
    <m/>
    <m/>
    <m/>
    <m/>
    <x v="1"/>
    <s v="relates"/>
    <s v="Incomplete Abstraction"/>
  </r>
  <r>
    <x v="15"/>
    <s v="antiPatterns"/>
    <x v="15"/>
    <s v=""/>
    <x v="15"/>
    <x v="14"/>
    <s v=""/>
    <x v="1"/>
    <x v="10"/>
    <s v="Introduce extensions to realize features."/>
    <s v="A Node that should be an encompassing resource to model application platforms or Application Collaborations that do not fulfill their responsibilities."/>
    <m/>
    <m/>
    <m/>
    <m/>
    <m/>
    <m/>
    <m/>
    <m/>
    <x v="2"/>
    <s v="relates"/>
    <s v="Incomplete Abstraction"/>
  </r>
  <r>
    <x v="15"/>
    <s v="antiPatterns"/>
    <x v="15"/>
    <s v=""/>
    <x v="15"/>
    <x v="14"/>
    <s v=""/>
    <x v="1"/>
    <x v="10"/>
    <s v="Introduce extensions to realize features."/>
    <s v="A Node that should be an encompassing resource to model application platforms or Application Collaborations that do not fulfill their responsibilities."/>
    <m/>
    <m/>
    <m/>
    <m/>
    <m/>
    <m/>
    <m/>
    <m/>
    <x v="3"/>
    <s v="relates"/>
    <s v="Incomplete Abstraction"/>
  </r>
  <r>
    <x v="15"/>
    <s v="antiPatterns"/>
    <x v="15"/>
    <s v=""/>
    <x v="15"/>
    <x v="14"/>
    <s v=""/>
    <x v="1"/>
    <x v="10"/>
    <s v="Introduce extensions to realize features."/>
    <s v="A Node that should be an encompassing resource to model application platforms or Application Collaborations that do not fulfill their responsibilities."/>
    <m/>
    <m/>
    <m/>
    <m/>
    <m/>
    <m/>
    <m/>
    <m/>
    <x v="4"/>
    <s v="relates"/>
    <s v="Incomplete Abstraction"/>
  </r>
  <r>
    <x v="15"/>
    <s v="antiPatterns"/>
    <x v="15"/>
    <s v=""/>
    <x v="15"/>
    <x v="14"/>
    <s v=""/>
    <x v="1"/>
    <x v="10"/>
    <s v="Introduce extensions to realize features."/>
    <s v="A Node that should be an encompassing resource to model application platforms or Application Collaborations that do not fulfill their responsibilities."/>
    <m/>
    <m/>
    <m/>
    <m/>
    <m/>
    <m/>
    <m/>
    <m/>
    <x v="19"/>
    <s v="relates"/>
    <s v="Incomplete Abstraction"/>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1"/>
    <s v="relates"/>
    <s v="Nothing New"/>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1"/>
    <s v="relates"/>
    <s v="The Shiny Nickel"/>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0"/>
    <s v="relates"/>
    <s v="Nothing New"/>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0"/>
    <s v="relates"/>
    <s v="The Shiny Nickel"/>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2"/>
    <s v="relates"/>
    <s v="Nothing New"/>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2"/>
    <s v="relates"/>
    <s v="The Shiny Nickel"/>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3"/>
    <s v="relates"/>
    <s v="Nothing New"/>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3"/>
    <s v="relates"/>
    <s v="The Shiny Nickel"/>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4"/>
    <s v="relates"/>
    <s v="Nothing New"/>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4"/>
    <s v="relates"/>
    <s v="The Shiny Nickel"/>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14"/>
    <s v="relates"/>
    <s v="Nothing New"/>
  </r>
  <r>
    <x v="16"/>
    <s v="antiPatterns"/>
    <x v="16"/>
    <s v="Silver Bullet"/>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14"/>
    <s v="relates"/>
    <s v="The Shiny Nickel"/>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1"/>
    <s v="relates"/>
    <s v="Nothing New"/>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1"/>
    <s v="relates"/>
    <s v="The Shiny Nickel"/>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0"/>
    <s v="relates"/>
    <s v="Nothing New"/>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0"/>
    <s v="relates"/>
    <s v="The Shiny Nickel"/>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2"/>
    <s v="relates"/>
    <s v="Nothing New"/>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2"/>
    <s v="relates"/>
    <s v="The Shiny Nickel"/>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3"/>
    <s v="relates"/>
    <s v="Nothing New"/>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3"/>
    <s v="relates"/>
    <s v="The Shiny Nickel"/>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4"/>
    <s v="relates"/>
    <s v="Nothing New"/>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4"/>
    <s v="relates"/>
    <s v="The Shiny Nickel"/>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14"/>
    <s v="relates"/>
    <s v="Nothing New"/>
  </r>
  <r>
    <x v="16"/>
    <s v="antiPatterns"/>
    <x v="16"/>
    <s v="When in doubt, make it a service"/>
    <x v="16"/>
    <x v="15"/>
    <s v=""/>
    <x v="14"/>
    <x v="11"/>
    <s v="Extensive refactoring of the underlying system and service to appropriate components."/>
    <s v=" Functionality is implemented as a web service, although it is only used internally by the system. The assumption is that this would be better for future requirements, but it reduces the performance."/>
    <m/>
    <m/>
    <m/>
    <m/>
    <m/>
    <m/>
    <m/>
    <m/>
    <x v="14"/>
    <s v="relates"/>
    <s v="The Shiny Nickel"/>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1"/>
    <s v="follows"/>
    <s v="Data Service"/>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1"/>
    <s v="follows"/>
    <s v="Message Chain"/>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1"/>
    <s v="relates"/>
    <s v="Nanoservices"/>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2"/>
    <s v="follows"/>
    <s v="Data Service"/>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2"/>
    <s v="follows"/>
    <s v="Message Chain"/>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2"/>
    <s v="relates"/>
    <s v="Nanoservices"/>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3"/>
    <s v="follows"/>
    <s v="Data Service"/>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3"/>
    <s v="follows"/>
    <s v="Message Chain"/>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3"/>
    <s v="relates"/>
    <s v="Nanoservices"/>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4"/>
    <s v="follows"/>
    <s v="Data Service"/>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4"/>
    <s v="follows"/>
    <s v="Message Chain"/>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4"/>
    <s v="relates"/>
    <s v="Nanoservices"/>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9"/>
    <s v="follows"/>
    <s v="Data Service"/>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9"/>
    <s v="follows"/>
    <s v="Message Chain"/>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9"/>
    <s v="relates"/>
    <s v="Nanoservices"/>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7"/>
    <s v="follows"/>
    <s v="Data Service"/>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7"/>
    <s v="follows"/>
    <s v="Message Chain"/>
  </r>
  <r>
    <x v="17"/>
    <s v="antiPatterns"/>
    <x v="17"/>
    <s v=""/>
    <x v="17"/>
    <x v="16"/>
    <s v="We can transfer the concept of &quot;Wrong Cuts&quot; into the EA domain by looking for behaviours or business capabilities that are implemented by more than one component. The &quot;Wrong Cuts&quot; EA Smells can occur in the ArchiMate once two or more &quot;Application Components&quot; implement the same behavior."/>
    <x v="15"/>
    <x v="12"/>
    <s v="Perform a clear analysis of business processes and the need for resources and use this knowledge to refactor the services according to bounded contexts."/>
    <s v=""/>
    <s v="MATCH (c:ApplicationComponent)-[r:RealizationRelationship]-(f:ApplicationFunction|ApplicationProcess|ApplicationService) &lt;br /&gt; WITH f, COUNT(c) AS compCount &lt;br /&gt;  MATCH p = (c:ApplicationComponent)-[r:RealizationRelationship]-(f:ApplicationFunction|ApplicationProcess|ApplicationService) &lt;br /&gt; WHERE compCount&gt; 1 &lt;br /&gt;RETURN p"/>
    <s v="MATCH (c:ApplicationComponent)-[r:RealizationRelationship]-(f:ApplicationFunction|ApplicationProcess|ApplicationService) WITH f, COUNT(c) AS  compCount MATCH p = (c:ApplicationComponent)-[r:RealizationRelationship]-(f:ApplicationFunction|ApplicationProcess|ApplicationService) WHERE compCount&gt; 1  RETURN COUNT (distinct f)"/>
    <m/>
    <s v="./assets/wrongCuts.JPG"/>
    <m/>
    <m/>
    <m/>
    <m/>
    <x v="7"/>
    <s v="relates"/>
    <s v="Nanoservices"/>
  </r>
  <r>
    <x v="18"/>
    <s v="antiPatterns"/>
    <x v="18"/>
    <s v=""/>
    <x v="18"/>
    <x v="17"/>
    <s v=""/>
    <x v="1"/>
    <x v="13"/>
    <s v="Increase the awareness of those faults and refactor such that a supposed ideal solution is pursued."/>
    <s v="The EA is currently relying on a System A. In the long run a System C should be used to realize the roadmap, but as the integration of that system is delayed a temporary solution B has to be integrated, because data from System A is still used. Such actions increase the dependency and hinder the intended development."/>
    <m/>
    <m/>
    <m/>
    <m/>
    <m/>
    <m/>
    <m/>
    <m/>
    <x v="0"/>
    <s v=""/>
    <s v=""/>
  </r>
  <r>
    <x v="18"/>
    <s v="antiPatterns"/>
    <x v="18"/>
    <s v=""/>
    <x v="18"/>
    <x v="17"/>
    <s v=""/>
    <x v="1"/>
    <x v="13"/>
    <s v="Increase the awareness of those faults and refactor such that a supposed ideal solution is pursued."/>
    <s v="The EA is currently relying on a System A. In the long run a System C should be used to realize the roadmap, but as the integration of that system is delayed a temporary solution B has to be integrated, because data from System A is still used. Such actions increase the dependency and hinder the intended development."/>
    <m/>
    <m/>
    <m/>
    <m/>
    <m/>
    <m/>
    <m/>
    <m/>
    <x v="1"/>
    <s v=""/>
    <s v=""/>
  </r>
  <r>
    <x v="18"/>
    <s v="antiPatterns"/>
    <x v="18"/>
    <s v=""/>
    <x v="18"/>
    <x v="17"/>
    <s v=""/>
    <x v="1"/>
    <x v="13"/>
    <s v="Increase the awareness of those faults and refactor such that a supposed ideal solution is pursued."/>
    <s v="The EA is currently relying on a System A. In the long run a System C should be used to realize the roadmap, but as the integration of that system is delayed a temporary solution B has to be integrated, because data from System A is still used. Such actions increase the dependency and hinder the intended development."/>
    <m/>
    <m/>
    <m/>
    <m/>
    <m/>
    <m/>
    <m/>
    <m/>
    <x v="2"/>
    <s v=""/>
    <s v=""/>
  </r>
  <r>
    <x v="18"/>
    <s v="antiPatterns"/>
    <x v="18"/>
    <s v=""/>
    <x v="18"/>
    <x v="17"/>
    <s v=""/>
    <x v="1"/>
    <x v="13"/>
    <s v="Increase the awareness of those faults and refactor such that a supposed ideal solution is pursued."/>
    <s v="The EA is currently relying on a System A. In the long run a System C should be used to realize the roadmap, but as the integration of that system is delayed a temporary solution B has to be integrated, because data from System A is still used. Such actions increase the dependency and hinder the intended development."/>
    <m/>
    <m/>
    <m/>
    <m/>
    <m/>
    <m/>
    <m/>
    <m/>
    <x v="3"/>
    <s v=""/>
    <s v=""/>
  </r>
  <r>
    <x v="18"/>
    <s v="antiPatterns"/>
    <x v="18"/>
    <s v=""/>
    <x v="18"/>
    <x v="17"/>
    <s v=""/>
    <x v="1"/>
    <x v="13"/>
    <s v="Increase the awareness of those faults and refactor such that a supposed ideal solution is pursued."/>
    <s v="The EA is currently relying on a System A. In the long run a System C should be used to realize the roadmap, but as the integration of that system is delayed a temporary solution B has to be integrated, because data from System A is still used. Such actions increase the dependency and hinder the intended development."/>
    <m/>
    <m/>
    <m/>
    <m/>
    <m/>
    <m/>
    <m/>
    <m/>
    <x v="4"/>
    <s v=""/>
    <s v=""/>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0"/>
    <s v="precedes"/>
    <s v="Big Bang"/>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0"/>
    <s v="precedes"/>
    <s v="Nothing New"/>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0"/>
    <s v="relates"/>
    <s v="Vendor Lock-In"/>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2"/>
    <s v="precedes"/>
    <s v="Big Bang"/>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2"/>
    <s v="precedes"/>
    <s v="Nothing New"/>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2"/>
    <s v="relates"/>
    <s v="Vendor Lock-In"/>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3"/>
    <s v="precedes"/>
    <s v="Big Bang"/>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3"/>
    <s v="precedes"/>
    <s v="Nothing New"/>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3"/>
    <s v="relates"/>
    <s v="Vendor Lock-In"/>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4"/>
    <s v="precedes"/>
    <s v="Big Bang"/>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4"/>
    <s v="precedes"/>
    <s v="Nothing New"/>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4"/>
    <s v="relates"/>
    <s v="Vendor Lock-In"/>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19"/>
    <s v="precedes"/>
    <s v="Big Bang"/>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19"/>
    <s v="precedes"/>
    <s v="Nothing New"/>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19"/>
    <s v="relates"/>
    <s v="Vendor Lock-In"/>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13"/>
    <s v="precedes"/>
    <s v="Big Bang"/>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13"/>
    <s v="precedes"/>
    <s v="Nothing New"/>
  </r>
  <r>
    <x v="19"/>
    <s v="antiPatterns"/>
    <x v="19"/>
    <s v=""/>
    <x v="19"/>
    <x v="18"/>
    <s v="While the ArchiMate modeling language lacks a designated syntax or element for denoting legacy components, we can still discern them based on their names or properties. Furthermore, we can pinpoint components that serve a limited duration as they are intended to be replaced by new ones. In ArchiMate, a &quot;Plateau&quot; is an element type representing a stable state that remains for a limited period."/>
    <x v="16"/>
    <x v="14"/>
    <s v="Project management first has to accept that stable and solid parts of a legacy systems are worth keeping. Integration candidates have to be chosen and modernized with user-oriented interfaces. Front-end gates can be used to achieve this."/>
    <s v="Graphical example illustrates a legacy system 'Main Frame CRM', which will be replaced by a new component, 'Microservice CRM'. The terms 'Baseline' and 'Vision' represent elements of type &quot;Plateau&quot;. The baseline reflects the current state of the legacy system 'Main Frame CRM', capturing its contents for comparison with the new state, referred to as 'Vision'. These two states are relevant for a limited period until the replacement occurs. The process of replacement is managed by the 'Replace Main Frame' element, which is categorized as a &quot;Work Package&quot;. A work package encompasses a set of actions aimed at accomplishing a specific task within a defined timeframe. In this case, the task is to create the 'Microservice CRM'."/>
    <s v="MATCH p=(m)--(n) &lt;br /&gt; WHERE ANY (name in $legacy where toLower(m.name) CONTAINS toLower(name)) &lt;br /&gt; OR ANY (x in keys(m) WHERE m[x] IN  $legacy OR x IN  $legacy) &lt;br /&gt; WITH m &lt;br /&gt; MATCH p = (m)--(n:WorkPackage|Plateau) &lt;br /&gt; return p"/>
    <s v="MATCH p=(m)--(n) WHERE ANY (name in $legacy where toLower(m.name) CONTAINS toLower(name)) OR ANY (x in keys(m) WHERE m[x] IN $legacy OR x IN $legacy) RETURN COUNT (DISTINCT m)"/>
    <m/>
    <s v="./assets/noLegacy_v1.JPG"/>
    <s v="legacy"/>
    <s v="list"/>
    <s v="[List]"/>
    <s v="The element names or property values specifying legacy components."/>
    <x v="13"/>
    <s v="relates"/>
    <s v="Vendor Lock-In"/>
  </r>
  <r>
    <x v="20"/>
    <s v="antiPatterns"/>
    <x v="20"/>
    <s v="Deadwood"/>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Property"/>
    <s v="list"/>
    <s v="[List]"/>
    <s v="Property name(s) specifying the size of a team."/>
    <x v="3"/>
    <s v=""/>
    <s v=""/>
  </r>
  <r>
    <x v="20"/>
    <s v="antiPatterns"/>
    <x v="20"/>
    <s v="Deadwood"/>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Property"/>
    <s v="list"/>
    <s v="[List]"/>
    <s v="Property name(s) specifying the size of a team."/>
    <x v="0"/>
    <s v=""/>
    <s v=""/>
  </r>
  <r>
    <x v="20"/>
    <s v="antiPatterns"/>
    <x v="20"/>
    <s v="Deadwood"/>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Property"/>
    <s v="list"/>
    <s v="[List]"/>
    <s v="Property name(s) specifying the size of a team."/>
    <x v="1"/>
    <s v=""/>
    <s v=""/>
  </r>
  <r>
    <x v="20"/>
    <s v="antiPatterns"/>
    <x v="20"/>
    <s v="Deadwood"/>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Size"/>
    <s v="number"/>
    <s v="4"/>
    <s v="The acceptable number of people assigned to an actor or work package element."/>
    <x v="3"/>
    <s v=""/>
    <s v=""/>
  </r>
  <r>
    <x v="20"/>
    <s v="antiPatterns"/>
    <x v="20"/>
    <s v="Deadwood"/>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Size"/>
    <s v="number"/>
    <s v="4"/>
    <s v="The acceptable number of people assigned to an actor or work package element."/>
    <x v="0"/>
    <s v=""/>
    <s v=""/>
  </r>
  <r>
    <x v="20"/>
    <s v="antiPatterns"/>
    <x v="20"/>
    <s v="Deadwood"/>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Size"/>
    <s v="number"/>
    <s v="4"/>
    <s v="The acceptable number of people assigned to an actor or work package element."/>
    <x v="1"/>
    <s v=""/>
    <s v=""/>
  </r>
  <r>
    <x v="20"/>
    <s v="antiPatterns"/>
    <x v="20"/>
    <s v="Seat Warmers"/>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Property"/>
    <s v="list"/>
    <s v="[List]"/>
    <s v="Property name(s) specifying the size of a team."/>
    <x v="3"/>
    <s v=""/>
    <s v=""/>
  </r>
  <r>
    <x v="20"/>
    <s v="antiPatterns"/>
    <x v="20"/>
    <s v="Seat Warmers"/>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Property"/>
    <s v="list"/>
    <s v="[List]"/>
    <s v="Property name(s) specifying the size of a team."/>
    <x v="0"/>
    <s v=""/>
    <s v=""/>
  </r>
  <r>
    <x v="20"/>
    <s v="antiPatterns"/>
    <x v="20"/>
    <s v="Seat Warmers"/>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Property"/>
    <s v="list"/>
    <s v="[List]"/>
    <s v="Property name(s) specifying the size of a team."/>
    <x v="1"/>
    <s v=""/>
    <s v=""/>
  </r>
  <r>
    <x v="20"/>
    <s v="antiPatterns"/>
    <x v="20"/>
    <s v="Seat Warmers"/>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Size"/>
    <s v="number"/>
    <s v="4"/>
    <s v="The acceptable number of people assigned to an actor or work package element."/>
    <x v="3"/>
    <s v=""/>
    <s v=""/>
  </r>
  <r>
    <x v="20"/>
    <s v="antiPatterns"/>
    <x v="20"/>
    <s v="Seat Warmers"/>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Size"/>
    <s v="number"/>
    <s v="4"/>
    <s v="The acceptable number of people assigned to an actor or work package element."/>
    <x v="0"/>
    <s v=""/>
    <s v=""/>
  </r>
  <r>
    <x v="20"/>
    <s v="antiPatterns"/>
    <x v="20"/>
    <s v="Seat Warmers"/>
    <x v="20"/>
    <x v="19"/>
    <s v="In the EA domain, we can represent the team concept by &quot;Actor&quot; or &quot;Work package&quot; elements. An actor can represent several people, and a work package can accommodate a group of employees. Work packages in ArchiMate are similar to agile iterations and represent designed actions for achieving a specific task at a particular time. To identify the number of team members in such elements, we assume that there is a property that specifies the size of the team. If such a property exists and the number of team members exceeds a certain threshold, the element in the model is a candidate for the &quot;Warm Bodies&quot; EA Smell."/>
    <x v="1"/>
    <x v="3"/>
    <s v="The ideal project size is four developers; the ideal project duration is four months. Software projects are subject to the same group dynamics as committee meetings (Design by Committee)."/>
    <s v="Graphical examlple illustrates The element “Hardware Update“ has a property named 'Members' which has seven as team size"/>
    <s v="MATCH p=(n:Actor|WorkPackage) &lt;br /&gt; where ANY (x in keys(n) WHERE x IN $staffProperty and n[x] &gt; $staffSize) &lt;br /&gt; RETURN p"/>
    <s v="MATCH (n:Actor|WorkPackage) &lt;br /&gt; where ANY (x in keys(n) WHERE x IN $staffProperty and n[x] &gt; $staffSize) &lt;br /&gt; RETURN COUNT (distinct n) "/>
    <m/>
    <s v="./assets/warm_bodies.JPG"/>
    <s v="staffSize"/>
    <s v="number"/>
    <s v="4"/>
    <s v="The acceptable number of people assigned to an actor or work package element."/>
    <x v="1"/>
    <s v=""/>
    <s v=""/>
  </r>
  <r>
    <x v="21"/>
    <s v="antiPatterns"/>
    <x v="21"/>
    <s v=""/>
    <x v="21"/>
    <x v="20"/>
    <s v=""/>
    <x v="17"/>
    <x v="15"/>
    <s v="Fixing The Shiny Nickel is about knowing in which direction you want to go. This means defining what you want your architecture and enterprise to look like in a few years and understanding the steps, standards, and therefore technologies that will take you there. It also means getting a grip on IT procurement so decisions are ratified against the roadmap."/>
    <s v="Introducing an Enterprise Service Bus (ESB) for 2 services that have no translation or routing requirements."/>
    <m/>
    <m/>
    <m/>
    <m/>
    <m/>
    <m/>
    <m/>
    <m/>
    <x v="0"/>
    <s v="relates"/>
    <s v="Golden Hammer"/>
  </r>
  <r>
    <x v="21"/>
    <s v="antiPatterns"/>
    <x v="21"/>
    <s v=""/>
    <x v="21"/>
    <x v="20"/>
    <s v=""/>
    <x v="17"/>
    <x v="15"/>
    <s v="Fixing The Shiny Nickel is about knowing in which direction you want to go. This means defining what you want your architecture and enterprise to look like in a few years and understanding the steps, standards, and therefore technologies that will take you there. It also means getting a grip on IT procurement so decisions are ratified against the roadmap."/>
    <s v="Introducing an Enterprise Service Bus (ESB) for 2 services that have no translation or routing requirements."/>
    <m/>
    <m/>
    <m/>
    <m/>
    <m/>
    <m/>
    <m/>
    <m/>
    <x v="2"/>
    <s v="relates"/>
    <s v="Golden Hammer"/>
  </r>
  <r>
    <x v="21"/>
    <s v="antiPatterns"/>
    <x v="21"/>
    <s v=""/>
    <x v="21"/>
    <x v="20"/>
    <s v=""/>
    <x v="17"/>
    <x v="15"/>
    <s v="Fixing The Shiny Nickel is about knowing in which direction you want to go. This means defining what you want your architecture and enterprise to look like in a few years and understanding the steps, standards, and therefore technologies that will take you there. It also means getting a grip on IT procurement so decisions are ratified against the roadmap."/>
    <s v="Introducing an Enterprise Service Bus (ESB) for 2 services that have no translation or routing requirements."/>
    <m/>
    <m/>
    <m/>
    <m/>
    <m/>
    <m/>
    <m/>
    <m/>
    <x v="3"/>
    <s v="relates"/>
    <s v="Golden Hammer"/>
  </r>
  <r>
    <x v="21"/>
    <s v="antiPatterns"/>
    <x v="21"/>
    <s v=""/>
    <x v="21"/>
    <x v="20"/>
    <s v=""/>
    <x v="17"/>
    <x v="15"/>
    <s v="Fixing The Shiny Nickel is about knowing in which direction you want to go. This means defining what you want your architecture and enterprise to look like in a few years and understanding the steps, standards, and therefore technologies that will take you there. It also means getting a grip on IT procurement so decisions are ratified against the roadmap."/>
    <s v="Introducing an Enterprise Service Bus (ESB) for 2 services that have no translation or routing requirements."/>
    <m/>
    <m/>
    <m/>
    <m/>
    <m/>
    <m/>
    <m/>
    <m/>
    <x v="4"/>
    <s v="relates"/>
    <s v="Golden Hammer"/>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2"/>
    <s v="relates"/>
    <s v="Stovepipe System"/>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2"/>
    <s v="relates"/>
    <s v="Ambiguous Viewpoint"/>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2"/>
    <s v="relates"/>
    <s v="Documentation"/>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3"/>
    <s v="relates"/>
    <s v="Stovepipe System"/>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3"/>
    <s v="relates"/>
    <s v="Ambiguous Viewpoint"/>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3"/>
    <s v="relates"/>
    <s v="Documentation"/>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4"/>
    <s v="relates"/>
    <s v="Stovepipe System"/>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4"/>
    <s v="relates"/>
    <s v="Ambiguous Viewpoint"/>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4"/>
    <s v="relates"/>
    <s v="Documentation"/>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0"/>
    <s v="relates"/>
    <s v="Stovepipe System"/>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0"/>
    <s v="relates"/>
    <s v="Ambiguous Viewpoint"/>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0"/>
    <s v="relates"/>
    <s v="Documentation"/>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1"/>
    <s v="relates"/>
    <s v="Stovepipe System"/>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1"/>
    <s v="relates"/>
    <s v="Ambiguous Viewpoint"/>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1"/>
    <s v="relates"/>
    <s v="Documentation"/>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14"/>
    <s v="relates"/>
    <s v="Stovepipe System"/>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14"/>
    <s v="relates"/>
    <s v="Ambiguous Viewpoint"/>
  </r>
  <r>
    <x v="22"/>
    <s v="antiPatterns"/>
    <x v="22"/>
    <s v=""/>
    <x v="22"/>
    <x v="21"/>
    <s v=""/>
    <x v="18"/>
    <x v="16"/>
    <s v="The solution entails an organized approach to systems architecture definition, and relies on multiple views of the system. Each view models the system from the perspective of a system stakeholder, who may be real or imaginary, individual or aggregate. Each stakeholder is responsible for a high-priority set of questions and issues, and each view represents the entire information system and answers these key questions and issues. Define the architecture goals with blueprints and validate the implementation."/>
    <s v="Without a standardized approach it is hard to make use of the different components, as they may rely on different styles of architecture and, therefore, suffer from inconsistency and poor performance."/>
    <m/>
    <m/>
    <m/>
    <m/>
    <m/>
    <m/>
    <m/>
    <m/>
    <x v="14"/>
    <s v="relates"/>
    <s v="Documentat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0"/>
    <s v="relates"/>
    <s v="Stovepipe System"/>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0"/>
    <s v="relates"/>
    <s v="Combinatorial Explos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0"/>
    <s v="follows"/>
    <s v="Incomplete Abstract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
    <s v="relates"/>
    <s v="Stovepipe System"/>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
    <s v="relates"/>
    <s v="Combinatorial Explos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
    <s v="follows"/>
    <s v="Incomplete Abstract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3"/>
    <s v="relates"/>
    <s v="Stovepipe System"/>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3"/>
    <s v="relates"/>
    <s v="Combinatorial Explos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3"/>
    <s v="follows"/>
    <s v="Incomplete Abstract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4"/>
    <s v="relates"/>
    <s v="Stovepipe System"/>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4"/>
    <s v="relates"/>
    <s v="Combinatorial Explos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4"/>
    <s v="follows"/>
    <s v="Incomplete Abstract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0"/>
    <s v="relates"/>
    <s v="Stovepipe System"/>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0"/>
    <s v="relates"/>
    <s v="Combinatorial Explos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0"/>
    <s v="follows"/>
    <s v="Incomplete Abstract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17"/>
    <s v="relates"/>
    <s v="Stovepipe System"/>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17"/>
    <s v="relates"/>
    <s v="Combinatorial Explos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17"/>
    <s v="follows"/>
    <s v="Incomplete Abstract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1"/>
    <s v="relates"/>
    <s v="Stovepipe System"/>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1"/>
    <s v="relates"/>
    <s v="Combinatorial Explos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21"/>
    <s v="follows"/>
    <s v="Incomplete Abstract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8"/>
    <s v="relates"/>
    <s v="Stovepipe System"/>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8"/>
    <s v="relates"/>
    <s v="Combinatorial Explosion"/>
  </r>
  <r>
    <x v="23"/>
    <s v="antiPatterns"/>
    <x v="23"/>
    <s v=""/>
    <x v="23"/>
    <x v="22"/>
    <s v="Services or operations with similar or identical names and/or message parameters may exist in your system. If the ratio of similar words to the total number of words in the names exceeds 0.75 the smell is detected."/>
    <x v="19"/>
    <x v="17"/>
    <s v="Consolidate the duplicate functionality into a single service. If necessary, raise the level of abstraction. Be aware though that this increases coupling in the system and may make the consolidated service a bottleneck or single point of failure."/>
    <s v=""/>
    <s v="MATCH p1=(a) , p2=(b) &lt;br /&gt; where a&lt;&gt;b and a.ClassName = b.ClassName &lt;br /&gt; and apoc.text.jaroWinklerDistance (a.name, b.name) &lt;  $score &lt;br /&gt; UNWIND [p1,p2] as p &lt;br /&gt; RETURN p"/>
    <m/>
    <m/>
    <m/>
    <s v="score"/>
    <s v="range"/>
    <n v="0.4"/>
    <s v="Score from 0 to 1. 0 = exact match and 1 = no similarity."/>
    <x v="8"/>
    <s v="follows"/>
    <s v="Incomplete Abstraction"/>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1"/>
    <s v="precedes"/>
    <s v="Incomplete Abstraction"/>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1"/>
    <s v="relates"/>
    <s v="Inconsistent Versioning"/>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0"/>
    <s v="precedes"/>
    <s v="Incomplete Abstraction"/>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0"/>
    <s v="relates"/>
    <s v="Inconsistent Versioning"/>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2"/>
    <s v="precedes"/>
    <s v="Incomplete Abstraction"/>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2"/>
    <s v="relates"/>
    <s v="Inconsistent Versioning"/>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3"/>
    <s v="precedes"/>
    <s v="Incomplete Abstraction"/>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3"/>
    <s v="relates"/>
    <s v="Inconsistent Versioning"/>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4"/>
    <s v="precedes"/>
    <s v="Incomplete Abstraction"/>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4"/>
    <s v="relates"/>
    <s v="Inconsistent Versioning"/>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21"/>
    <s v="precedes"/>
    <s v="Incomplete Abstraction"/>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21"/>
    <s v="relates"/>
    <s v="Inconsistent Versioning"/>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20"/>
    <s v="precedes"/>
    <s v="Incomplete Abstraction"/>
  </r>
  <r>
    <x v="24"/>
    <s v="antiPatterns"/>
    <x v="24"/>
    <s v=""/>
    <x v="24"/>
    <x v="23"/>
    <s v=""/>
    <x v="20"/>
    <x v="18"/>
    <s v="Rename components. Support complementary or interrelated functionality to avoid misunderstanding."/>
    <s v="Placing types in names is a very stupid way of naming. It's not only redundant, but it forces you to change the name if the architecture is structured differently."/>
    <m/>
    <m/>
    <m/>
    <m/>
    <m/>
    <m/>
    <m/>
    <m/>
    <x v="20"/>
    <s v="relates"/>
    <s v="Inconsistent Versioning"/>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0"/>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0"/>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3"/>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3"/>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4"/>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4"/>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9"/>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9"/>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4"/>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4"/>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6"/>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6"/>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7"/>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7"/>
    <s v="relates"/>
    <s v="Bloated Service"/>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1"/>
    <s v="relates"/>
    <s v="Multifaceted Abstraction"/>
  </r>
  <r>
    <x v="25"/>
    <s v="antiPatterns"/>
    <x v="25"/>
    <s v="Mega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1"/>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0"/>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0"/>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3"/>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3"/>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4"/>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4"/>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9"/>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9"/>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4"/>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4"/>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6"/>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6"/>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7"/>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7"/>
    <s v="relates"/>
    <s v="Bloated Service"/>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1"/>
    <s v="relates"/>
    <s v="Multifaceted Abstraction"/>
  </r>
  <r>
    <x v="25"/>
    <s v="antiPatterns"/>
    <x v="25"/>
    <s v="Swiss Army Knif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1"/>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0"/>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0"/>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3"/>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3"/>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4"/>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4"/>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9"/>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9"/>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4"/>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4"/>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6"/>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16"/>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7"/>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7"/>
    <s v="relates"/>
    <s v="Bloated Service"/>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1"/>
    <s v="relates"/>
    <s v="Multifaceted Abstraction"/>
  </r>
  <r>
    <x v="25"/>
    <s v="antiPatterns"/>
    <x v="25"/>
    <s v="Bloated Service"/>
    <x v="25"/>
    <x v="24"/>
    <s v="The service possesses a variety of public interface operations that are related to different domains or entities. We consider an Application Component that implements multiple functions exposed by a single application service."/>
    <x v="21"/>
    <x v="19"/>
    <s v="The megaservice should be decomposed into several smaller services. The service's inappropriate features need to be extracted to new components."/>
    <s v="A service that implements operations from different domains."/>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p"/>
    <s v="MATCH (c)-[r2:RealizationRelationship]-(s:ApplicationInterface|ApplicationService) &lt;br /&gt; WITH c, COUNT(s) AS exposedServiceCnt &lt;br /&gt; WHERE exposedServiceCnt=1 &lt;br /&gt; WITH c &lt;br /&gt; MATCH (c)-[r:RealizationRelationship]-(n) &lt;br /&gt; WITH c, COUNT(n) AS functionsCnt &lt;br /&gt; MATCH p= (c)-[r:RealizationRelationship]-(n)  &lt;br /&gt; WHERE functionsCnt &gt; $functionOrServiceCnt &lt;br /&gt; RETURN COUNT (distinct c)"/>
    <m/>
    <s v="./assets/god_object_archi.JPG"/>
    <s v="functionOrServiceCnt"/>
    <s v="number"/>
    <n v="3"/>
    <s v="The permitted number of functions implemented by an application component."/>
    <x v="21"/>
    <s v="relates"/>
    <s v="Bloated Service"/>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1"/>
    <s v="relates"/>
    <s v="Overgeneralization"/>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1"/>
    <s v="relates"/>
    <s v="The God Object"/>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0"/>
    <s v="relates"/>
    <s v="Overgeneralization"/>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0"/>
    <s v="relates"/>
    <s v="The God Object"/>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2"/>
    <s v="relates"/>
    <s v="Overgeneralization"/>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2"/>
    <s v="relates"/>
    <s v="The God Object"/>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3"/>
    <s v="relates"/>
    <s v="Overgeneralization"/>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3"/>
    <s v="relates"/>
    <s v="The God Object"/>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4"/>
    <s v="relates"/>
    <s v="Overgeneralization"/>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4"/>
    <s v="relates"/>
    <s v="The God Object"/>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9"/>
    <s v="relates"/>
    <s v="Overgeneralization"/>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9"/>
    <s v="relates"/>
    <s v="The God Object"/>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16"/>
    <s v="relates"/>
    <s v="Overgeneralization"/>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16"/>
    <s v="relates"/>
    <s v="The God Object"/>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21"/>
    <s v="relates"/>
    <s v="Overgeneralization"/>
  </r>
  <r>
    <x v="26"/>
    <s v="antiPatterns"/>
    <x v="26"/>
    <s v=""/>
    <x v="26"/>
    <x v="25"/>
    <s v="A service requires a lot of information to perform its task."/>
    <x v="22"/>
    <x v="20"/>
    <s v="Check what information is passed. Instead of passing a group of data received from another object, refer to the object itself. If there are several unrelated elements, sometimes you can merge them into a more abstract object."/>
    <s v=""/>
    <m/>
    <m/>
    <m/>
    <m/>
    <m/>
    <m/>
    <m/>
    <m/>
    <x v="21"/>
    <s v="relates"/>
    <s v="The God Object"/>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0"/>
    <s v="relates"/>
    <s v="Feature Envy"/>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0"/>
    <s v="relates"/>
    <s v="Nanoservic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0"/>
    <s v="relates"/>
    <s v="Incomplete Node or Collabor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0"/>
    <s v="precedes"/>
    <s v="Duplic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0"/>
    <s v="follows"/>
    <s v="Deficient Nam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
    <s v="relates"/>
    <s v="Feature Envy"/>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
    <s v="relates"/>
    <s v="Nanoservic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
    <s v="relates"/>
    <s v="Incomplete Node or Collabor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
    <s v="precedes"/>
    <s v="Duplic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
    <s v="follows"/>
    <s v="Deficient Nam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2"/>
    <s v="relates"/>
    <s v="Feature Envy"/>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2"/>
    <s v="relates"/>
    <s v="Nanoservic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2"/>
    <s v="relates"/>
    <s v="Incomplete Node or Collabor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2"/>
    <s v="precedes"/>
    <s v="Duplic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2"/>
    <s v="follows"/>
    <s v="Deficient Nam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3"/>
    <s v="relates"/>
    <s v="Feature Envy"/>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3"/>
    <s v="relates"/>
    <s v="Nanoservic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3"/>
    <s v="relates"/>
    <s v="Incomplete Node or Collabor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3"/>
    <s v="precedes"/>
    <s v="Duplic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3"/>
    <s v="follows"/>
    <s v="Deficient Nam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4"/>
    <s v="relates"/>
    <s v="Feature Envy"/>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4"/>
    <s v="relates"/>
    <s v="Nanoservic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4"/>
    <s v="relates"/>
    <s v="Incomplete Node or Collabor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4"/>
    <s v="precedes"/>
    <s v="Duplic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4"/>
    <s v="follows"/>
    <s v="Deficient Nam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4"/>
    <s v="relates"/>
    <s v="Feature Envy"/>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4"/>
    <s v="relates"/>
    <s v="Nanoservices"/>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4"/>
    <s v="relates"/>
    <s v="Incomplete Node or Collabor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4"/>
    <s v="precedes"/>
    <s v="Duplication"/>
  </r>
  <r>
    <x v="27"/>
    <s v="antiPatterns"/>
    <x v="27"/>
    <s v=""/>
    <x v="27"/>
    <x v="26"/>
    <s v="Complementary feature pairs cannot be found in an EA process."/>
    <x v="23"/>
    <x v="21"/>
    <s v="Refactor the functionality and aim for symmetric feature pairs."/>
    <s v="An element is named &quot;start claim,&quot; but a complementary element &quot;stop claim&quot; is missing."/>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p=(n), (m) &lt;br /&gt; WHERE not exists { &lt;br /&gt; MATCH (j) &lt;br /&gt; WHERE m=j and toLower(n.name) contains complementaryKey and toLower(j.name) contains apoc.map.values($pairs, complementaryKey, true) &lt;br /&gt; } &lt;br /&gt; RETURN p"/>
    <s v="WITH apoc.map.values($pairs, keys($pairs), true) as jsonValues &lt;br /&gt; MATCH(n) &lt;br /&gt; WHERE any (x in keys($pairs) &lt;br /&gt; WHERE toLower(n.name) starts WITH x) &lt;br /&gt; WITH n &lt;br /&gt; WITH [x in keys($pairs) &lt;br /&gt; WHERE  toLower(n.name) starts WITH x | x] as copmplementaryPair, n &lt;br /&gt; UNWIND copmplementaryPair as selectedKey &lt;br /&gt; WITH  collect(distinct selectedKey) as complementaryKey, n &lt;br /&gt; WITH n,  apoc.map.values($pairs, complementaryKey, true) as jsonValues, complementaryKey &lt;br /&gt; MATCH (n), (m) &lt;br /&gt; WHERE not exists { &lt;br /&gt; MATCH (j) &lt;br /&gt; WHERE m=j and toLower(n.name) contains complementaryKey and toLower(j.name) contains apoc.map.values($pairs, complementaryKey, true) &lt;br /&gt; } &lt;br /&gt; RETURN COUNT (DISTINCT n)"/>
    <m/>
    <s v="./assets/incomplete_pairs.JPG"/>
    <s v="pairs"/>
    <s v="map"/>
    <s v="[Record]"/>
    <s v="A list of complementary key-value pairs."/>
    <x v="14"/>
    <s v="follows"/>
    <s v="Deficient Names"/>
  </r>
  <r>
    <x v="28"/>
    <s v="antiPatterns"/>
    <x v="28"/>
    <s v=""/>
    <x v="28"/>
    <x v="27"/>
    <s v=""/>
    <x v="24"/>
    <x v="22"/>
    <s v="Coarse grained user-oriented interfaces should be used and required capabilities should be properly decomposed into autonomous services."/>
    <s v=""/>
    <m/>
    <m/>
    <m/>
    <m/>
    <m/>
    <m/>
    <m/>
    <m/>
    <x v="2"/>
    <s v="precedes"/>
    <s v="Nothing New"/>
  </r>
  <r>
    <x v="28"/>
    <s v="antiPatterns"/>
    <x v="28"/>
    <s v=""/>
    <x v="28"/>
    <x v="27"/>
    <s v=""/>
    <x v="24"/>
    <x v="22"/>
    <s v="Coarse grained user-oriented interfaces should be used and required capabilities should be properly decomposed into autonomous services."/>
    <s v=""/>
    <m/>
    <m/>
    <m/>
    <m/>
    <m/>
    <m/>
    <m/>
    <m/>
    <x v="2"/>
    <s v="precedes"/>
    <s v="Nanoservices"/>
  </r>
  <r>
    <x v="28"/>
    <s v="antiPatterns"/>
    <x v="28"/>
    <s v=""/>
    <x v="28"/>
    <x v="27"/>
    <s v=""/>
    <x v="24"/>
    <x v="22"/>
    <s v="Coarse grained user-oriented interfaces should be used and required capabilities should be properly decomposed into autonomous services."/>
    <s v=""/>
    <m/>
    <m/>
    <m/>
    <m/>
    <m/>
    <m/>
    <m/>
    <m/>
    <x v="2"/>
    <s v="follows"/>
    <s v="No Legacy"/>
  </r>
  <r>
    <x v="28"/>
    <s v="antiPatterns"/>
    <x v="28"/>
    <s v=""/>
    <x v="28"/>
    <x v="27"/>
    <s v=""/>
    <x v="24"/>
    <x v="22"/>
    <s v="Coarse grained user-oriented interfaces should be used and required capabilities should be properly decomposed into autonomous services."/>
    <s v=""/>
    <m/>
    <m/>
    <m/>
    <m/>
    <m/>
    <m/>
    <m/>
    <m/>
    <x v="3"/>
    <s v="precedes"/>
    <s v="Nothing New"/>
  </r>
  <r>
    <x v="28"/>
    <s v="antiPatterns"/>
    <x v="28"/>
    <s v=""/>
    <x v="28"/>
    <x v="27"/>
    <s v=""/>
    <x v="24"/>
    <x v="22"/>
    <s v="Coarse grained user-oriented interfaces should be used and required capabilities should be properly decomposed into autonomous services."/>
    <s v=""/>
    <m/>
    <m/>
    <m/>
    <m/>
    <m/>
    <m/>
    <m/>
    <m/>
    <x v="3"/>
    <s v="precedes"/>
    <s v="Nanoservices"/>
  </r>
  <r>
    <x v="28"/>
    <s v="antiPatterns"/>
    <x v="28"/>
    <s v=""/>
    <x v="28"/>
    <x v="27"/>
    <s v=""/>
    <x v="24"/>
    <x v="22"/>
    <s v="Coarse grained user-oriented interfaces should be used and required capabilities should be properly decomposed into autonomous services."/>
    <s v=""/>
    <m/>
    <m/>
    <m/>
    <m/>
    <m/>
    <m/>
    <m/>
    <m/>
    <x v="3"/>
    <s v="follows"/>
    <s v="No Legacy"/>
  </r>
  <r>
    <x v="28"/>
    <s v="antiPatterns"/>
    <x v="28"/>
    <s v=""/>
    <x v="28"/>
    <x v="27"/>
    <s v=""/>
    <x v="24"/>
    <x v="22"/>
    <s v="Coarse grained user-oriented interfaces should be used and required capabilities should be properly decomposed into autonomous services."/>
    <s v=""/>
    <m/>
    <m/>
    <m/>
    <m/>
    <m/>
    <m/>
    <m/>
    <m/>
    <x v="4"/>
    <s v="precedes"/>
    <s v="Nothing New"/>
  </r>
  <r>
    <x v="28"/>
    <s v="antiPatterns"/>
    <x v="28"/>
    <s v=""/>
    <x v="28"/>
    <x v="27"/>
    <s v=""/>
    <x v="24"/>
    <x v="22"/>
    <s v="Coarse grained user-oriented interfaces should be used and required capabilities should be properly decomposed into autonomous services."/>
    <s v=""/>
    <m/>
    <m/>
    <m/>
    <m/>
    <m/>
    <m/>
    <m/>
    <m/>
    <x v="4"/>
    <s v="precedes"/>
    <s v="Nanoservices"/>
  </r>
  <r>
    <x v="28"/>
    <s v="antiPatterns"/>
    <x v="28"/>
    <s v=""/>
    <x v="28"/>
    <x v="27"/>
    <s v=""/>
    <x v="24"/>
    <x v="22"/>
    <s v="Coarse grained user-oriented interfaces should be used and required capabilities should be properly decomposed into autonomous services."/>
    <s v=""/>
    <m/>
    <m/>
    <m/>
    <m/>
    <m/>
    <m/>
    <m/>
    <m/>
    <x v="4"/>
    <s v="follows"/>
    <s v="No Legacy"/>
  </r>
  <r>
    <x v="28"/>
    <s v="antiPatterns"/>
    <x v="28"/>
    <s v=""/>
    <x v="28"/>
    <x v="27"/>
    <s v=""/>
    <x v="24"/>
    <x v="22"/>
    <s v="Coarse grained user-oriented interfaces should be used and required capabilities should be properly decomposed into autonomous services."/>
    <s v=""/>
    <m/>
    <m/>
    <m/>
    <m/>
    <m/>
    <m/>
    <m/>
    <m/>
    <x v="0"/>
    <s v="precedes"/>
    <s v="Nothing New"/>
  </r>
  <r>
    <x v="28"/>
    <s v="antiPatterns"/>
    <x v="28"/>
    <s v=""/>
    <x v="28"/>
    <x v="27"/>
    <s v=""/>
    <x v="24"/>
    <x v="22"/>
    <s v="Coarse grained user-oriented interfaces should be used and required capabilities should be properly decomposed into autonomous services."/>
    <s v=""/>
    <m/>
    <m/>
    <m/>
    <m/>
    <m/>
    <m/>
    <m/>
    <m/>
    <x v="0"/>
    <s v="precedes"/>
    <s v="Nanoservices"/>
  </r>
  <r>
    <x v="28"/>
    <s v="antiPatterns"/>
    <x v="28"/>
    <s v=""/>
    <x v="28"/>
    <x v="27"/>
    <s v=""/>
    <x v="24"/>
    <x v="22"/>
    <s v="Coarse grained user-oriented interfaces should be used and required capabilities should be properly decomposed into autonomous services."/>
    <s v=""/>
    <m/>
    <m/>
    <m/>
    <m/>
    <m/>
    <m/>
    <m/>
    <m/>
    <x v="0"/>
    <s v="follows"/>
    <s v="No Legacy"/>
  </r>
  <r>
    <x v="28"/>
    <s v="antiPatterns"/>
    <x v="28"/>
    <s v=""/>
    <x v="28"/>
    <x v="27"/>
    <s v=""/>
    <x v="24"/>
    <x v="22"/>
    <s v="Coarse grained user-oriented interfaces should be used and required capabilities should be properly decomposed into autonomous services."/>
    <s v=""/>
    <m/>
    <m/>
    <m/>
    <m/>
    <m/>
    <m/>
    <m/>
    <m/>
    <x v="19"/>
    <s v="precedes"/>
    <s v="Nothing New"/>
  </r>
  <r>
    <x v="28"/>
    <s v="antiPatterns"/>
    <x v="28"/>
    <s v=""/>
    <x v="28"/>
    <x v="27"/>
    <s v=""/>
    <x v="24"/>
    <x v="22"/>
    <s v="Coarse grained user-oriented interfaces should be used and required capabilities should be properly decomposed into autonomous services."/>
    <s v=""/>
    <m/>
    <m/>
    <m/>
    <m/>
    <m/>
    <m/>
    <m/>
    <m/>
    <x v="19"/>
    <s v="precedes"/>
    <s v="Nanoservices"/>
  </r>
  <r>
    <x v="28"/>
    <s v="antiPatterns"/>
    <x v="28"/>
    <s v=""/>
    <x v="28"/>
    <x v="27"/>
    <s v=""/>
    <x v="24"/>
    <x v="22"/>
    <s v="Coarse grained user-oriented interfaces should be used and required capabilities should be properly decomposed into autonomous services."/>
    <s v=""/>
    <m/>
    <m/>
    <m/>
    <m/>
    <m/>
    <m/>
    <m/>
    <m/>
    <x v="19"/>
    <s v="follows"/>
    <s v="No Legacy"/>
  </r>
  <r>
    <x v="28"/>
    <s v="antiPatterns"/>
    <x v="28"/>
    <s v=""/>
    <x v="28"/>
    <x v="27"/>
    <s v=""/>
    <x v="24"/>
    <x v="22"/>
    <s v="Coarse grained user-oriented interfaces should be used and required capabilities should be properly decomposed into autonomous services."/>
    <s v=""/>
    <m/>
    <m/>
    <m/>
    <m/>
    <m/>
    <m/>
    <m/>
    <m/>
    <x v="7"/>
    <s v="precedes"/>
    <s v="Nothing New"/>
  </r>
  <r>
    <x v="28"/>
    <s v="antiPatterns"/>
    <x v="28"/>
    <s v=""/>
    <x v="28"/>
    <x v="27"/>
    <s v=""/>
    <x v="24"/>
    <x v="22"/>
    <s v="Coarse grained user-oriented interfaces should be used and required capabilities should be properly decomposed into autonomous services."/>
    <s v=""/>
    <m/>
    <m/>
    <m/>
    <m/>
    <m/>
    <m/>
    <m/>
    <m/>
    <x v="7"/>
    <s v="precedes"/>
    <s v="Nanoservices"/>
  </r>
  <r>
    <x v="28"/>
    <s v="antiPatterns"/>
    <x v="28"/>
    <s v=""/>
    <x v="28"/>
    <x v="27"/>
    <s v=""/>
    <x v="24"/>
    <x v="22"/>
    <s v="Coarse grained user-oriented interfaces should be used and required capabilities should be properly decomposed into autonomous services."/>
    <s v=""/>
    <m/>
    <m/>
    <m/>
    <m/>
    <m/>
    <m/>
    <m/>
    <m/>
    <x v="7"/>
    <s v="follows"/>
    <s v="No Legac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The God Object"/>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Connector Env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Shotgun Surger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Weakened Modularit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The God Object"/>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Connector Env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Shotgun Surger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Weakened Modularit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The God Object"/>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Connector Env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Shotgun Surger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Weakened Modularit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The God Object"/>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Connector Env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Shotgun Surger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Weakened Modularit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The God Object"/>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Connector Env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Shotgun Surger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Weakened Modularit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The God Object"/>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Connector Env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Shotgun Surger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Weakened Modularit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The God Object"/>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Connector Env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Shotgun Surgery"/>
  </r>
  <r>
    <x v="29"/>
    <s v="antiPatterns"/>
    <x v="29"/>
    <s v="Divergent Change"/>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Weakened Modularit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The God Object"/>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Connector Env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Shotgun Surger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Weakened Modularit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The God Object"/>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Connector Env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Shotgun Surger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Weakened Modularit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The God Object"/>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Connector Env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Shotgun Surger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Weakened Modularit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The God Object"/>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Connector Env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Shotgun Surger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Weakened Modularit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The God Object"/>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Connector Env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Shotgun Surger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Weakened Modularit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The God Object"/>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Connector Env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Shotgun Surger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Weakened Modularit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The God Object"/>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Connector Env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Shotgun Surgery"/>
  </r>
  <r>
    <x v="29"/>
    <s v="antiPatterns"/>
    <x v="29"/>
    <s v="Large Component"/>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Weakened Modularit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The God Object"/>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Connector Env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Shotgun Surger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1"/>
    <s v="relates"/>
    <s v="Weakened Modularit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The God Object"/>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Connector Env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Shotgun Surger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0"/>
    <s v="relates"/>
    <s v="Weakened Modularit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The God Object"/>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Connector Env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Shotgun Surger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2"/>
    <s v="relates"/>
    <s v="Weakened Modularit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The God Object"/>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Connector Env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Shotgun Surger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3"/>
    <s v="relates"/>
    <s v="Weakened Modularit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The God Object"/>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Connector Env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Shotgun Surger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4"/>
    <s v="relates"/>
    <s v="Weakened Modularit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The God Object"/>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Connector Env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Shotgun Surger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5"/>
    <s v="relates"/>
    <s v="Weakened Modularit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The God Object"/>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Connector Env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Shotgun Surgery"/>
  </r>
  <r>
    <x v="29"/>
    <s v="antiPatterns"/>
    <x v="29"/>
    <s v="Low Cohesive Operations"/>
    <x v="29"/>
    <x v="28"/>
    <s v="We can transfer this Smell in the EA domain by examining an active structure performing or realizing more than one behavior. According to the ArchiMate specification, the Assignment Relationship links active structures to behaviors and states for responsibility, execution, and performing of a behavior. The Realization Relationship signifies that an element implements and supplies the abstract element."/>
    <x v="25"/>
    <x v="23"/>
    <s v="Split up the behavior of the component. These components should dispatch requests to the underlying business logic."/>
    <s v="A business actor performing more than one business processes, or an application component realizing two different Services."/>
    <s v="MATCH (m)-[r:AssignmentRelationship|RealizationRelationship]-&gt;(n)  &lt;br /&gt; WITH m, COUNT(r) AS rCount  &lt;br /&gt; MATCH p = (m)-[r:AssignmentRelationship|RealizationRelationship]-&gt;(n)  &lt;br /&gt; WHERE rCount&gt;1  &lt;br /&gt; RETURN  p"/>
    <s v="MATCH (m)-[r:AssignmentRelationship|RealizationRelationship]-&gt;(n) WITH m, COUNT(r) AS rCount MATCH p = (m)-[r:AssignmentRelationship|RealizationRelationship]-&gt;(n) WHERE rCount&gt;1 RETURN count (distinct m)"/>
    <m/>
    <s v="./assets/multifaceted_abstraction.JPG"/>
    <m/>
    <m/>
    <m/>
    <m/>
    <x v="6"/>
    <s v="relates"/>
    <s v="Weakened Modularity"/>
  </r>
  <r>
    <x v="30"/>
    <s v="antiPatterns"/>
    <x v="30"/>
    <s v=""/>
    <x v="30"/>
    <x v="4"/>
    <s v=""/>
    <x v="26"/>
    <x v="3"/>
    <s v=""/>
    <s v=""/>
    <m/>
    <m/>
    <s v=""/>
    <m/>
    <m/>
    <m/>
    <m/>
    <m/>
    <x v="22"/>
    <s v=""/>
    <s v=""/>
  </r>
  <r>
    <x v="30"/>
    <s v="antiPatterns"/>
    <x v="30"/>
    <s v=""/>
    <x v="30"/>
    <x v="4"/>
    <s v=""/>
    <x v="26"/>
    <x v="3"/>
    <s v=""/>
    <s v=""/>
    <m/>
    <m/>
    <s v=""/>
    <m/>
    <m/>
    <m/>
    <m/>
    <m/>
    <x v="12"/>
    <s v=""/>
    <s v=""/>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1"/>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1"/>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1"/>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0"/>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0"/>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0"/>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2"/>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2"/>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2"/>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3"/>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3"/>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3"/>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4"/>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4"/>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4"/>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9"/>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9"/>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9"/>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7"/>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7"/>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7"/>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5"/>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5"/>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5"/>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6"/>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6"/>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6"/>
    <s v="relates"/>
    <s v="Hub-like Modulariza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8"/>
    <s v="relates"/>
    <s v="Multifaceted Abstraction"/>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8"/>
    <s v="relates"/>
    <s v="Dense Structure"/>
  </r>
  <r>
    <x v="31"/>
    <s v="antiPatterns"/>
    <x v="31"/>
    <s v="The Knot"/>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8"/>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1"/>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1"/>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1"/>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0"/>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0"/>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0"/>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2"/>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2"/>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2"/>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3"/>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3"/>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3"/>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4"/>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4"/>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4"/>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9"/>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9"/>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9"/>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7"/>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7"/>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7"/>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5"/>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5"/>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5"/>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6"/>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6"/>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6"/>
    <s v="relates"/>
    <s v="Hub-like Modulariza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8"/>
    <s v="relates"/>
    <s v="Multifaceted Abstraction"/>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8"/>
    <s v="relates"/>
    <s v="Dense Structure"/>
  </r>
  <r>
    <x v="31"/>
    <s v="antiPatterns"/>
    <x v="31"/>
    <s v="Artificial Coupling"/>
    <x v="31"/>
    <x v="29"/>
    <s v="We compute the modularity ratio for each module by dividing the number of intra-cluster references (cohesion) and the number of inter-cluster references (coupling). To ensure that elements without internal relations modelled are not reported a minimal internal relation count has to be reached."/>
    <x v="27"/>
    <x v="24"/>
    <s v="Split up the behavior of the module."/>
    <s v=""/>
    <s v="MATCH (a)-[r]-(b) &lt;br /&gt; WHERE (r.Label contains 'Aggregation' or r.Label contains 'Realization' or r.Label contains 'Composition' or r.Label contains 'Assignment') &lt;br /&gt; and a.ArchimateLayer = b.ArchimateLayer &lt;br /&gt; WITH a , collect (r) as rels , a+ collect (b) as cluster &lt;br /&gt; MATCH (m)-[r1]-&gt;(n) &lt;br /&gt; WHERE not (r1.Label contains 'Aggregation' or r1.Label contains 'Realization' or &lt;br /&gt; r1.Label contains 'Composition' or r1.Label contains 'Assignment') and &lt;br /&gt; (m in cluster and not n in cluster) &lt;br /&gt; WITH a , cluster, collect (r1) as internal &lt;br /&gt; MATCH (m)-[r2]-&gt;(n) &lt;br /&gt; WHERE not (r2.Label contains 'Aggregation' or r2.Label contains 'Realization' or &lt;br /&gt; r2.Label contains 'Composition' or r2.Label contains 'Assignment') and &lt;br /&gt; (not m in cluster and n in cluster) &lt;br /&gt; WITH a , cluster, internal , collect (r2) as external &lt;br /&gt; WHERE size (internal)&lt; size(external) and size(internal) &lt; $internalRels &lt;br /&gt; MATCH p=(a)--(b) &lt;br /&gt; RETURN p"/>
    <m/>
    <m/>
    <m/>
    <s v="internalRels"/>
    <s v="number"/>
    <n v="3"/>
    <s v="Number of intenral relationships."/>
    <x v="8"/>
    <s v="relates"/>
    <s v="Hub-like Modularization"/>
  </r>
  <r>
    <x v="32"/>
    <s v="antiPatterns"/>
    <x v="32"/>
    <s v=""/>
    <x v="32"/>
    <x v="30"/>
    <s v="A concurrent process may arise in the ArchiMate when a process flow is split by an &quot;AND&quot; Junction, then the process is branched in two or more flows that run simultaneously. If those processes that have driven from the same branch access the same data source, this could mean they have simultaneous access to data, and this may lead to inconsistency of data."/>
    <x v="28"/>
    <x v="0"/>
    <s v="Move existing behaviors into a single component. If there's no component appropriate for this, create a new one. If moving code to the same element leaves the original one almost empty, try to get rid of these now-redundant components."/>
    <s v="The &quot;Start event&quot; element initiates a concurrent process. The &quot;Process order&quot; and &quot;Evaluate customer credit&quot; elements operate simultaneously and access the same data source, &quot;Order data.&quot; Consequently, data consistency cannot be ensured, and any modifications made by one element may remain unnoticed by the other."/>
    <s v="MATCH (startNode:Junction {type: 'and'}) &lt;br /&gt; MATCH (endNode:BusinessObject|DataObject) &lt;br /&gt; CALL apoc.path.expandConfig(startNode,{relationshipFilter:&quot;AccessRelationship&gt;|TriggeringRelationship&gt;|FlowRelationship&gt;|AssociationRelationship&gt;&quot;, &lt;br /&gt; minLevel: $minLevel, &lt;br /&gt; maxLevel: $maxLevel, &lt;br /&gt; terminatorNodes:[endNode] &lt;br /&gt; }) &lt;br /&gt; YIELD path AS p &lt;br /&gt; RETURN p"/>
    <s v="MATCH (startNode:Junction {type: 'and'})  MATCH (endNode:BusinessObject|DataObject)  CALL apoc.path.expandConfig(startNode,{relationshipFilter:&quot;AccessRelationship&gt;|TriggeringRelationship&gt;|FlowRelationship&gt;|AssociationRelationship&gt;&quot;,  minLevel: $minLevel,  maxLevel: $maxLevel, terminatorNodes:[endNode] &lt;br /&gt; })  YIELD path AS p RETURN COUNT (DISTINCT endNode)"/>
    <m/>
    <s v="./assets/inconsistentData_v1.JPG"/>
    <s v="minLevel"/>
    <s v="number"/>
    <n v="2"/>
    <s v="The minimum length of the path for detection."/>
    <x v="12"/>
    <s v=""/>
    <s v=""/>
  </r>
  <r>
    <x v="32"/>
    <s v="antiPatterns"/>
    <x v="32"/>
    <s v=""/>
    <x v="32"/>
    <x v="30"/>
    <s v="A concurrent process may arise in the ArchiMate when a process flow is split by an &quot;AND&quot; Junction, then the process is branched in two or more flows that run simultaneously. If those processes that have driven from the same branch access the same data source, this could mean they have simultaneous access to data, and this may lead to inconsistency of data."/>
    <x v="28"/>
    <x v="0"/>
    <s v="Move existing behaviors into a single component. If there's no component appropriate for this, create a new one. If moving code to the same element leaves the original one almost empty, try to get rid of these now-redundant components."/>
    <s v="The &quot;Start event&quot; element initiates a concurrent process. The &quot;Process order&quot; and &quot;Evaluate customer credit&quot; elements operate simultaneously and access the same data source, &quot;Order data.&quot; Consequently, data consistency cannot be ensured, and any modifications made by one element may remain unnoticed by the other."/>
    <s v="MATCH (startNode:Junction {type: 'and'}) &lt;br /&gt; MATCH (endNode:BusinessObject|DataObject) &lt;br /&gt; CALL apoc.path.expandConfig(startNode,{relationshipFilter:&quot;AccessRelationship&gt;|TriggeringRelationship&gt;|FlowRelationship&gt;|AssociationRelationship&gt;&quot;, &lt;br /&gt; minLevel: $minLevel, &lt;br /&gt; maxLevel: $maxLevel, &lt;br /&gt; terminatorNodes:[endNode] &lt;br /&gt; }) &lt;br /&gt; YIELD path AS p &lt;br /&gt; RETURN p"/>
    <s v="MATCH (startNode:Junction {type: 'and'})  MATCH (endNode:BusinessObject|DataObject)  CALL apoc.path.expandConfig(startNode,{relationshipFilter:&quot;AccessRelationship&gt;|TriggeringRelationship&gt;|FlowRelationship&gt;|AssociationRelationship&gt;&quot;,  minLevel: $minLevel,  maxLevel: $maxLevel, terminatorNodes:[endNode] &lt;br /&gt; })  YIELD path AS p RETURN COUNT (DISTINCT endNode)"/>
    <m/>
    <s v="./assets/inconsistentData_v1.JPG"/>
    <s v="minLevel"/>
    <s v="number"/>
    <n v="2"/>
    <s v="The minimum length of the path for detection."/>
    <x v="12"/>
    <s v=""/>
    <s v=""/>
  </r>
  <r>
    <x v="32"/>
    <s v="antiPatterns"/>
    <x v="32"/>
    <s v=""/>
    <x v="32"/>
    <x v="30"/>
    <s v="A concurrent process may arise in the ArchiMate when a process flow is split by an &quot;AND&quot; Junction, then the process is branched in two or more flows that run simultaneously. If those processes that have driven from the same branch access the same data source, this could mean they have simultaneous access to data, and this may lead to inconsistency of data."/>
    <x v="28"/>
    <x v="0"/>
    <s v="Move existing behaviors into a single component. If there's no component appropriate for this, create a new one. If moving code to the same element leaves the original one almost empty, try to get rid of these now-redundant components."/>
    <s v="The &quot;Start event&quot; element initiates a concurrent process. The &quot;Process order&quot; and &quot;Evaluate customer credit&quot; elements operate simultaneously and access the same data source, &quot;Order data.&quot; Consequently, data consistency cannot be ensured, and any modifications made by one element may remain unnoticed by the other."/>
    <s v="MATCH (startNode:Junction {type: 'and'}) &lt;br /&gt; MATCH (endNode:BusinessObject|DataObject) &lt;br /&gt; CALL apoc.path.expandConfig(startNode,{relationshipFilter:&quot;AccessRelationship&gt;|TriggeringRelationship&gt;|FlowRelationship&gt;|AssociationRelationship&gt;&quot;, &lt;br /&gt; minLevel: $minLevel, &lt;br /&gt; maxLevel: $maxLevel, &lt;br /&gt; terminatorNodes:[endNode] &lt;br /&gt; }) &lt;br /&gt; YIELD path AS p &lt;br /&gt; RETURN p"/>
    <s v="MATCH (startNode:Junction {type: 'and'})  MATCH (endNode:BusinessObject|DataObject)  CALL apoc.path.expandConfig(startNode,{relationshipFilter:&quot;AccessRelationship&gt;|TriggeringRelationship&gt;|FlowRelationship&gt;|AssociationRelationship&gt;&quot;,  minLevel: $minLevel,  maxLevel: $maxLevel, terminatorNodes:[endNode] &lt;br /&gt; })  YIELD path AS p RETURN COUNT (DISTINCT endNode)"/>
    <m/>
    <s v="./assets/inconsistentData_v1.JPG"/>
    <s v="minLevel"/>
    <s v="number"/>
    <n v="2"/>
    <s v="The minimum length of the path for detection."/>
    <x v="22"/>
    <s v=""/>
    <s v=""/>
  </r>
  <r>
    <x v="32"/>
    <s v="antiPatterns"/>
    <x v="32"/>
    <s v=""/>
    <x v="32"/>
    <x v="30"/>
    <s v="A concurrent process may arise in the ArchiMate when a process flow is split by an &quot;AND&quot; Junction, then the process is branched in two or more flows that run simultaneously. If those processes that have driven from the same branch access the same data source, this could mean they have simultaneous access to data, and this may lead to inconsistency of data."/>
    <x v="28"/>
    <x v="0"/>
    <s v="Move existing behaviors into a single component. If there's no component appropriate for this, create a new one. If moving code to the same element leaves the original one almost empty, try to get rid of these now-redundant components."/>
    <s v="The &quot;Start event&quot; element initiates a concurrent process. The &quot;Process order&quot; and &quot;Evaluate customer credit&quot; elements operate simultaneously and access the same data source, &quot;Order data.&quot; Consequently, data consistency cannot be ensured, and any modifications made by one element may remain unnoticed by the other."/>
    <s v="MATCH (startNode:Junction {type: 'and'}) &lt;br /&gt; MATCH (endNode:BusinessObject|DataObject) &lt;br /&gt; CALL apoc.path.expandConfig(startNode,{relationshipFilter:&quot;AccessRelationship&gt;|TriggeringRelationship&gt;|FlowRelationship&gt;|AssociationRelationship&gt;&quot;, &lt;br /&gt; minLevel: $minLevel, &lt;br /&gt; maxLevel: $maxLevel, &lt;br /&gt; terminatorNodes:[endNode] &lt;br /&gt; }) &lt;br /&gt; YIELD path AS p &lt;br /&gt; RETURN p"/>
    <s v="MATCH (startNode:Junction {type: 'and'})  MATCH (endNode:BusinessObject|DataObject)  CALL apoc.path.expandConfig(startNode,{relationshipFilter:&quot;AccessRelationship&gt;|TriggeringRelationship&gt;|FlowRelationship&gt;|AssociationRelationship&gt;&quot;,  minLevel: $minLevel,  maxLevel: $maxLevel, terminatorNodes:[endNode] &lt;br /&gt; })  YIELD path AS p RETURN COUNT (DISTINCT endNode)"/>
    <m/>
    <s v="./assets/inconsistentData_v1.JPG"/>
    <s v="minLevel"/>
    <s v="number"/>
    <n v="2"/>
    <s v="The minimum length of the path for detection."/>
    <x v="22"/>
    <s v=""/>
    <s v=""/>
  </r>
  <r>
    <x v="32"/>
    <s v="antiPatterns"/>
    <x v="32"/>
    <s v=""/>
    <x v="32"/>
    <x v="30"/>
    <s v="A concurrent process may arise in the ArchiMate when a process flow is split by an &quot;AND&quot; Junction, then the process is branched in two or more flows that run simultaneously. If those processes that have driven from the same branch access the same data source, this could mean they have simultaneous access to data, and this may lead to inconsistency of data."/>
    <x v="28"/>
    <x v="0"/>
    <s v="Move existing behaviors into a single component. If there's no component appropriate for this, create a new one. If moving code to the same element leaves the original one almost empty, try to get rid of these now-redundant components."/>
    <s v="The &quot;Start event&quot; element initiates a concurrent process. The &quot;Process order&quot; and &quot;Evaluate customer credit&quot; elements operate simultaneously and access the same data source, &quot;Order data.&quot; Consequently, data consistency cannot be ensured, and any modifications made by one element may remain unnoticed by the other."/>
    <s v="MATCH (startNode:Junction {type: 'and'}) &lt;br /&gt; MATCH (endNode:BusinessObject|DataObject) &lt;br /&gt; CALL apoc.path.expandConfig(startNode,{relationshipFilter:&quot;AccessRelationship&gt;|TriggeringRelationship&gt;|FlowRelationship&gt;|AssociationRelationship&gt;&quot;, &lt;br /&gt; minLevel: $minLevel, &lt;br /&gt; maxLevel: $maxLevel, &lt;br /&gt; terminatorNodes:[endNode] &lt;br /&gt; }) &lt;br /&gt; YIELD path AS p &lt;br /&gt; RETURN p"/>
    <s v="MATCH (startNode:Junction {type: 'and'})  MATCH (endNode:BusinessObject|DataObject)  CALL apoc.path.expandConfig(startNode,{relationshipFilter:&quot;AccessRelationship&gt;|TriggeringRelationship&gt;|FlowRelationship&gt;|AssociationRelationship&gt;&quot;,  minLevel: $minLevel,  maxLevel: $maxLevel, terminatorNodes:[endNode] &lt;br /&gt; })  YIELD path AS p RETURN COUNT (DISTINCT endNode)"/>
    <m/>
    <s v="./assets/inconsistentData_v1.JPG"/>
    <s v="maxLevel"/>
    <s v="number"/>
    <n v="5"/>
    <s v="The maximum length of the path for detection."/>
    <x v="12"/>
    <s v=""/>
    <s v=""/>
  </r>
  <r>
    <x v="32"/>
    <s v="antiPatterns"/>
    <x v="32"/>
    <s v=""/>
    <x v="32"/>
    <x v="30"/>
    <s v="A concurrent process may arise in the ArchiMate when a process flow is split by an &quot;AND&quot; Junction, then the process is branched in two or more flows that run simultaneously. If those processes that have driven from the same branch access the same data source, this could mean they have simultaneous access to data, and this may lead to inconsistency of data."/>
    <x v="28"/>
    <x v="0"/>
    <s v="Move existing behaviors into a single component. If there's no component appropriate for this, create a new one. If moving code to the same element leaves the original one almost empty, try to get rid of these now-redundant components."/>
    <s v="The &quot;Start event&quot; element initiates a concurrent process. The &quot;Process order&quot; and &quot;Evaluate customer credit&quot; elements operate simultaneously and access the same data source, &quot;Order data.&quot; Consequently, data consistency cannot be ensured, and any modifications made by one element may remain unnoticed by the other."/>
    <s v="MATCH (startNode:Junction {type: 'and'}) &lt;br /&gt; MATCH (endNode:BusinessObject|DataObject) &lt;br /&gt; CALL apoc.path.expandConfig(startNode,{relationshipFilter:&quot;AccessRelationship&gt;|TriggeringRelationship&gt;|FlowRelationship&gt;|AssociationRelationship&gt;&quot;, &lt;br /&gt; minLevel: $minLevel, &lt;br /&gt; maxLevel: $maxLevel, &lt;br /&gt; terminatorNodes:[endNode] &lt;br /&gt; }) &lt;br /&gt; YIELD path AS p &lt;br /&gt; RETURN p"/>
    <s v="MATCH (startNode:Junction {type: 'and'})  MATCH (endNode:BusinessObject|DataObject)  CALL apoc.path.expandConfig(startNode,{relationshipFilter:&quot;AccessRelationship&gt;|TriggeringRelationship&gt;|FlowRelationship&gt;|AssociationRelationship&gt;&quot;,  minLevel: $minLevel,  maxLevel: $maxLevel, terminatorNodes:[endNode] &lt;br /&gt; })  YIELD path AS p RETURN COUNT (DISTINCT endNode)"/>
    <m/>
    <s v="./assets/inconsistentData_v1.JPG"/>
    <s v="maxLevel"/>
    <s v="number"/>
    <n v="5"/>
    <s v="The maximum length of the path for detection."/>
    <x v="12"/>
    <s v=""/>
    <s v=""/>
  </r>
  <r>
    <x v="32"/>
    <s v="antiPatterns"/>
    <x v="32"/>
    <s v=""/>
    <x v="32"/>
    <x v="30"/>
    <s v="A concurrent process may arise in the ArchiMate when a process flow is split by an &quot;AND&quot; Junction, then the process is branched in two or more flows that run simultaneously. If those processes that have driven from the same branch access the same data source, this could mean they have simultaneous access to data, and this may lead to inconsistency of data."/>
    <x v="28"/>
    <x v="0"/>
    <s v="Move existing behaviors into a single component. If there's no component appropriate for this, create a new one. If moving code to the same element leaves the original one almost empty, try to get rid of these now-redundant components."/>
    <s v="The &quot;Start event&quot; element initiates a concurrent process. The &quot;Process order&quot; and &quot;Evaluate customer credit&quot; elements operate simultaneously and access the same data source, &quot;Order data.&quot; Consequently, data consistency cannot be ensured, and any modifications made by one element may remain unnoticed by the other."/>
    <s v="MATCH (startNode:Junction {type: 'and'}) &lt;br /&gt; MATCH (endNode:BusinessObject|DataObject) &lt;br /&gt; CALL apoc.path.expandConfig(startNode,{relationshipFilter:&quot;AccessRelationship&gt;|TriggeringRelationship&gt;|FlowRelationship&gt;|AssociationRelationship&gt;&quot;, &lt;br /&gt; minLevel: $minLevel, &lt;br /&gt; maxLevel: $maxLevel, &lt;br /&gt; terminatorNodes:[endNode] &lt;br /&gt; }) &lt;br /&gt; YIELD path AS p &lt;br /&gt; RETURN p"/>
    <s v="MATCH (startNode:Junction {type: 'and'})  MATCH (endNode:BusinessObject|DataObject)  CALL apoc.path.expandConfig(startNode,{relationshipFilter:&quot;AccessRelationship&gt;|TriggeringRelationship&gt;|FlowRelationship&gt;|AssociationRelationship&gt;&quot;,  minLevel: $minLevel,  maxLevel: $maxLevel, terminatorNodes:[endNode] &lt;br /&gt; })  YIELD path AS p RETURN COUNT (DISTINCT endNode)"/>
    <m/>
    <s v="./assets/inconsistentData_v1.JPG"/>
    <s v="maxLevel"/>
    <s v="number"/>
    <n v="5"/>
    <s v="The maximum length of the path for detection."/>
    <x v="22"/>
    <s v=""/>
    <s v=""/>
  </r>
  <r>
    <x v="32"/>
    <s v="antiPatterns"/>
    <x v="32"/>
    <s v=""/>
    <x v="32"/>
    <x v="30"/>
    <s v="A concurrent process may arise in the ArchiMate when a process flow is split by an &quot;AND&quot; Junction, then the process is branched in two or more flows that run simultaneously. If those processes that have driven from the same branch access the same data source, this could mean they have simultaneous access to data, and this may lead to inconsistency of data."/>
    <x v="28"/>
    <x v="0"/>
    <s v="Move existing behaviors into a single component. If there's no component appropriate for this, create a new one. If moving code to the same element leaves the original one almost empty, try to get rid of these now-redundant components."/>
    <s v="The &quot;Start event&quot; element initiates a concurrent process. The &quot;Process order&quot; and &quot;Evaluate customer credit&quot; elements operate simultaneously and access the same data source, &quot;Order data.&quot; Consequently, data consistency cannot be ensured, and any modifications made by one element may remain unnoticed by the other."/>
    <s v="MATCH (startNode:Junction {type: 'and'}) &lt;br /&gt; MATCH (endNode:BusinessObject|DataObject) &lt;br /&gt; CALL apoc.path.expandConfig(startNode,{relationshipFilter:&quot;AccessRelationship&gt;|TriggeringRelationship&gt;|FlowRelationship&gt;|AssociationRelationship&gt;&quot;, &lt;br /&gt; minLevel: $minLevel, &lt;br /&gt; maxLevel: $maxLevel, &lt;br /&gt; terminatorNodes:[endNode] &lt;br /&gt; }) &lt;br /&gt; YIELD path AS p &lt;br /&gt; RETURN p"/>
    <s v="MATCH (startNode:Junction {type: 'and'})  MATCH (endNode:BusinessObject|DataObject)  CALL apoc.path.expandConfig(startNode,{relationshipFilter:&quot;AccessRelationship&gt;|TriggeringRelationship&gt;|FlowRelationship&gt;|AssociationRelationship&gt;&quot;,  minLevel: $minLevel,  maxLevel: $maxLevel, terminatorNodes:[endNode] &lt;br /&gt; })  YIELD path AS p RETURN COUNT (DISTINCT endNode)"/>
    <m/>
    <s v="./assets/inconsistentData_v1.JPG"/>
    <s v="maxLevel"/>
    <s v="number"/>
    <n v="5"/>
    <s v="The maximum length of the path for detection."/>
    <x v="22"/>
    <s v=""/>
    <s v=""/>
  </r>
  <r>
    <x v="33"/>
    <s v="antiPatterns"/>
    <x v="33"/>
    <s v=""/>
    <x v="33"/>
    <x v="31"/>
    <s v="The &quot;Lack of Synchronization&quot; occurs when the process has been split by an &quot;And Junction&quot;, later joined by an &quot;OR Junction&quot;. The &quot;OR Junction&quot; violates the synchronized manner of the process."/>
    <x v="29"/>
    <x v="3"/>
    <s v="Consider the semantics of junctions and remodel the process to prevent synchronization problems."/>
    <s v="After &quot;Start Event&quot;, the process is split by an AND Junction into two separate processes, &quot;Evaluate Customer credit&quot; and &quot;Process order&quot; are running simultaneously. These two processes are dependent on each other. For example, the order should be canceled if the customer does not have enough credit. Therefore the actions &quot;Evaluate Customer credit&quot; and &quot;Process order&quot; should be considered as a synchronized process, but by having an OR Junction, the synchronization can not be guaranteed anymore, and &quot;End Event&quot; can be triggered by one of both processes, which leads to an undesired result."/>
    <s v="MATCH (a)-[r]-&gt;(endNode:Junction {type: 'or'}) &lt;br /&gt; WITH COUNT(r) as rCnt, endNode &lt;br /&gt; WHERE rCnt&gt;1 &lt;br /&gt; WITH endNode &lt;br /&gt; MATCH (startNode:Junction{type: 'and'}) &lt;br /&gt; CALL apoc.path.expandConfig(startNode,{relationshipFilter:&quot;TriggeringRelationship&gt;|FlowRelationship&gt;|AssociationRelationship&gt;&quot;, &lt;br /&gt; minLevel: $minLevel, &lt;br /&gt; maxLevel: $maxLevel, &lt;br /&gt; endNode:[endNode] &lt;br /&gt; }) &lt;br /&gt; YIELD path AS p &lt;br /&gt; RETURN p"/>
    <s v="MATCH (a)-[r]-&gt;(endNode:Junction {type: 'or'}) with count(r) as rCnt, endNode where rCnt&gt;1 with endNode MATCH (startNode:Junction{type: 'and'}) CALL apoc.path.expandConfig(startNode,{relationshipFilter:&quot;TriggeringRelationship&gt;|FlowRelationship&gt;|AssociationRelationship&gt;&quot;, minLevel: 3, maxLevel: 10, endNode:[endNode] }) YIELD path AS p RETURN COUNT (DISTINCT endNode)"/>
    <m/>
    <s v="./assets/lackof_sync.JPG"/>
    <s v="minLevel"/>
    <s v="number"/>
    <n v="2"/>
    <s v="The minimum length of the path for detection."/>
    <x v="12"/>
    <s v="relates"/>
    <s v="Multifaceted Abstraction"/>
  </r>
  <r>
    <x v="33"/>
    <s v="antiPatterns"/>
    <x v="33"/>
    <s v=""/>
    <x v="33"/>
    <x v="31"/>
    <s v="The &quot;Lack of Synchronization&quot; occurs when the process has been split by an &quot;And Junction&quot;, later joined by an &quot;OR Junction&quot;. The &quot;OR Junction&quot; violates the synchronized manner of the process."/>
    <x v="29"/>
    <x v="3"/>
    <s v="Consider the semantics of junctions and remodel the process to prevent synchronization problems."/>
    <s v="After &quot;Start Event&quot;, the process is split by an AND Junction into two separate processes, &quot;Evaluate Customer credit&quot; and &quot;Process order&quot; are running simultaneously. These two processes are dependent on each other. For example, the order should be canceled if the customer does not have enough credit. Therefore the actions &quot;Evaluate Customer credit&quot; and &quot;Process order&quot; should be considered as a synchronized process, but by having an OR Junction, the synchronization can not be guaranteed anymore, and &quot;End Event&quot; can be triggered by one of both processes, which leads to an undesired result."/>
    <s v="MATCH (a)-[r]-&gt;(endNode:Junction {type: 'or'}) &lt;br /&gt; WITH COUNT(r) as rCnt, endNode &lt;br /&gt; WHERE rCnt&gt;1 &lt;br /&gt; WITH endNode &lt;br /&gt; MATCH (startNode:Junction{type: 'and'}) &lt;br /&gt; CALL apoc.path.expandConfig(startNode,{relationshipFilter:&quot;TriggeringRelationship&gt;|FlowRelationship&gt;|AssociationRelationship&gt;&quot;, &lt;br /&gt; minLevel: $minLevel, &lt;br /&gt; maxLevel: $maxLevel, &lt;br /&gt; endNode:[endNode] &lt;br /&gt; }) &lt;br /&gt; YIELD path AS p &lt;br /&gt; RETURN p"/>
    <s v="MATCH (a)-[r]-&gt;(endNode:Junction {type: 'or'}) with count(r) as rCnt, endNode where rCnt&gt;1 with endNode MATCH (startNode:Junction{type: 'and'}) CALL apoc.path.expandConfig(startNode,{relationshipFilter:&quot;TriggeringRelationship&gt;|FlowRelationship&gt;|AssociationRelationship&gt;&quot;, minLevel: 3, maxLevel: 10, endNode:[endNode] }) YIELD path AS p RETURN COUNT (DISTINCT endNode)"/>
    <m/>
    <s v="./assets/lackof_sync.JPG"/>
    <s v="minLevel"/>
    <s v="number"/>
    <n v="2"/>
    <s v="The minimum length of the path for detection."/>
    <x v="12"/>
    <s v="follows"/>
    <s v="Nanoservices"/>
  </r>
  <r>
    <x v="33"/>
    <s v="antiPatterns"/>
    <x v="33"/>
    <s v=""/>
    <x v="33"/>
    <x v="31"/>
    <s v="The &quot;Lack of Synchronization&quot; occurs when the process has been split by an &quot;And Junction&quot;, later joined by an &quot;OR Junction&quot;. The &quot;OR Junction&quot; violates the synchronized manner of the process."/>
    <x v="29"/>
    <x v="3"/>
    <s v="Consider the semantics of junctions and remodel the process to prevent synchronization problems."/>
    <s v="After &quot;Start Event&quot;, the process is split by an AND Junction into two separate processes, &quot;Evaluate Customer credit&quot; and &quot;Process order&quot; are running simultaneously. These two processes are dependent on each other. For example, the order should be canceled if the customer does not have enough credit. Therefore the actions &quot;Evaluate Customer credit&quot; and &quot;Process order&quot; should be considered as a synchronized process, but by having an OR Junction, the synchronization can not be guaranteed anymore, and &quot;End Event&quot; can be triggered by one of both processes, which leads to an undesired result."/>
    <s v="MATCH (a)-[r]-&gt;(endNode:Junction {type: 'or'}) &lt;br /&gt; WITH COUNT(r) as rCnt, endNode &lt;br /&gt; WHERE rCnt&gt;1 &lt;br /&gt; WITH endNode &lt;br /&gt; MATCH (startNode:Junction{type: 'and'}) &lt;br /&gt; CALL apoc.path.expandConfig(startNode,{relationshipFilter:&quot;TriggeringRelationship&gt;|FlowRelationship&gt;|AssociationRelationship&gt;&quot;, &lt;br /&gt; minLevel: $minLevel, &lt;br /&gt; maxLevel: $maxLevel, &lt;br /&gt; endNode:[endNode] &lt;br /&gt; }) &lt;br /&gt; YIELD path AS p &lt;br /&gt; RETURN p"/>
    <s v="MATCH (a)-[r]-&gt;(endNode:Junction {type: 'or'}) with count(r) as rCnt, endNode where rCnt&gt;1 with endNode MATCH (startNode:Junction{type: 'and'}) CALL apoc.path.expandConfig(startNode,{relationshipFilter:&quot;TriggeringRelationship&gt;|FlowRelationship&gt;|AssociationRelationship&gt;&quot;, minLevel: 3, maxLevel: 10, endNode:[endNode] }) YIELD path AS p RETURN COUNT (DISTINCT endNode)"/>
    <m/>
    <s v="./assets/lackof_sync.JPG"/>
    <s v="minLevel"/>
    <s v="number"/>
    <n v="2"/>
    <s v="The minimum length of the path for detection."/>
    <x v="18"/>
    <s v="relates"/>
    <s v="Multifaceted Abstraction"/>
  </r>
  <r>
    <x v="33"/>
    <s v="antiPatterns"/>
    <x v="33"/>
    <s v=""/>
    <x v="33"/>
    <x v="31"/>
    <s v="The &quot;Lack of Synchronization&quot; occurs when the process has been split by an &quot;And Junction&quot;, later joined by an &quot;OR Junction&quot;. The &quot;OR Junction&quot; violates the synchronized manner of the process."/>
    <x v="29"/>
    <x v="3"/>
    <s v="Consider the semantics of junctions and remodel the process to prevent synchronization problems."/>
    <s v="After &quot;Start Event&quot;, the process is split by an AND Junction into two separate processes, &quot;Evaluate Customer credit&quot; and &quot;Process order&quot; are running simultaneously. These two processes are dependent on each other. For example, the order should be canceled if the customer does not have enough credit. Therefore the actions &quot;Evaluate Customer credit&quot; and &quot;Process order&quot; should be considered as a synchronized process, but by having an OR Junction, the synchronization can not be guaranteed anymore, and &quot;End Event&quot; can be triggered by one of both processes, which leads to an undesired result."/>
    <s v="MATCH (a)-[r]-&gt;(endNode:Junction {type: 'or'}) &lt;br /&gt; WITH COUNT(r) as rCnt, endNode &lt;br /&gt; WHERE rCnt&gt;1 &lt;br /&gt; WITH endNode &lt;br /&gt; MATCH (startNode:Junction{type: 'and'}) &lt;br /&gt; CALL apoc.path.expandConfig(startNode,{relationshipFilter:&quot;TriggeringRelationship&gt;|FlowRelationship&gt;|AssociationRelationship&gt;&quot;, &lt;br /&gt; minLevel: $minLevel, &lt;br /&gt; maxLevel: $maxLevel, &lt;br /&gt; endNode:[endNode] &lt;br /&gt; }) &lt;br /&gt; YIELD path AS p &lt;br /&gt; RETURN p"/>
    <s v="MATCH (a)-[r]-&gt;(endNode:Junction {type: 'or'}) with count(r) as rCnt, endNode where rCnt&gt;1 with endNode MATCH (startNode:Junction{type: 'and'}) CALL apoc.path.expandConfig(startNode,{relationshipFilter:&quot;TriggeringRelationship&gt;|FlowRelationship&gt;|AssociationRelationship&gt;&quot;, minLevel: 3, maxLevel: 10, endNode:[endNode] }) YIELD path AS p RETURN COUNT (DISTINCT endNode)"/>
    <m/>
    <s v="./assets/lackof_sync.JPG"/>
    <s v="minLevel"/>
    <s v="number"/>
    <n v="2"/>
    <s v="The minimum length of the path for detection."/>
    <x v="18"/>
    <s v="follows"/>
    <s v="Nanoservices"/>
  </r>
  <r>
    <x v="33"/>
    <s v="antiPatterns"/>
    <x v="33"/>
    <s v=""/>
    <x v="33"/>
    <x v="31"/>
    <s v="The &quot;Lack of Synchronization&quot; occurs when the process has been split by an &quot;And Junction&quot;, later joined by an &quot;OR Junction&quot;. The &quot;OR Junction&quot; violates the synchronized manner of the process."/>
    <x v="29"/>
    <x v="3"/>
    <s v="Consider the semantics of junctions and remodel the process to prevent synchronization problems."/>
    <s v="After &quot;Start Event&quot;, the process is split by an AND Junction into two separate processes, &quot;Evaluate Customer credit&quot; and &quot;Process order&quot; are running simultaneously. These two processes are dependent on each other. For example, the order should be canceled if the customer does not have enough credit. Therefore the actions &quot;Evaluate Customer credit&quot; and &quot;Process order&quot; should be considered as a synchronized process, but by having an OR Junction, the synchronization can not be guaranteed anymore, and &quot;End Event&quot; can be triggered by one of both processes, which leads to an undesired result."/>
    <s v="MATCH (a)-[r]-&gt;(endNode:Junction {type: 'or'}) &lt;br /&gt; WITH COUNT(r) as rCnt, endNode &lt;br /&gt; WHERE rCnt&gt;1 &lt;br /&gt; WITH endNode &lt;br /&gt; MATCH (startNode:Junction{type: 'and'}) &lt;br /&gt; CALL apoc.path.expandConfig(startNode,{relationshipFilter:&quot;TriggeringRelationship&gt;|FlowRelationship&gt;|AssociationRelationship&gt;&quot;, &lt;br /&gt; minLevel: $minLevel, &lt;br /&gt; maxLevel: $maxLevel, &lt;br /&gt; endNode:[endNode] &lt;br /&gt; }) &lt;br /&gt; YIELD path AS p &lt;br /&gt; RETURN p"/>
    <s v="MATCH (a)-[r]-&gt;(endNode:Junction {type: 'or'}) with count(r) as rCnt, endNode where rCnt&gt;1 with endNode MATCH (startNode:Junction{type: 'and'}) CALL apoc.path.expandConfig(startNode,{relationshipFilter:&quot;TriggeringRelationship&gt;|FlowRelationship&gt;|AssociationRelationship&gt;&quot;, minLevel: 3, maxLevel: 10, endNode:[endNode] }) YIELD path AS p RETURN COUNT (DISTINCT endNode)"/>
    <m/>
    <s v="./assets/lackof_sync.JPG"/>
    <s v="maxLevel"/>
    <s v="number"/>
    <n v="5"/>
    <s v="The maximum length of the path for detection."/>
    <x v="12"/>
    <s v="relates"/>
    <s v="Multifaceted Abstraction"/>
  </r>
  <r>
    <x v="33"/>
    <s v="antiPatterns"/>
    <x v="33"/>
    <s v=""/>
    <x v="33"/>
    <x v="31"/>
    <s v="The &quot;Lack of Synchronization&quot; occurs when the process has been split by an &quot;And Junction&quot;, later joined by an &quot;OR Junction&quot;. The &quot;OR Junction&quot; violates the synchronized manner of the process."/>
    <x v="29"/>
    <x v="3"/>
    <s v="Consider the semantics of junctions and remodel the process to prevent synchronization problems."/>
    <s v="After &quot;Start Event&quot;, the process is split by an AND Junction into two separate processes, &quot;Evaluate Customer credit&quot; and &quot;Process order&quot; are running simultaneously. These two processes are dependent on each other. For example, the order should be canceled if the customer does not have enough credit. Therefore the actions &quot;Evaluate Customer credit&quot; and &quot;Process order&quot; should be considered as a synchronized process, but by having an OR Junction, the synchronization can not be guaranteed anymore, and &quot;End Event&quot; can be triggered by one of both processes, which leads to an undesired result."/>
    <s v="MATCH (a)-[r]-&gt;(endNode:Junction {type: 'or'}) &lt;br /&gt; WITH COUNT(r) as rCnt, endNode &lt;br /&gt; WHERE rCnt&gt;1 &lt;br /&gt; WITH endNode &lt;br /&gt; MATCH (startNode:Junction{type: 'and'}) &lt;br /&gt; CALL apoc.path.expandConfig(startNode,{relationshipFilter:&quot;TriggeringRelationship&gt;|FlowRelationship&gt;|AssociationRelationship&gt;&quot;, &lt;br /&gt; minLevel: $minLevel, &lt;br /&gt; maxLevel: $maxLevel, &lt;br /&gt; endNode:[endNode] &lt;br /&gt; }) &lt;br /&gt; YIELD path AS p &lt;br /&gt; RETURN p"/>
    <s v="MATCH (a)-[r]-&gt;(endNode:Junction {type: 'or'}) with count(r) as rCnt, endNode where rCnt&gt;1 with endNode MATCH (startNode:Junction{type: 'and'}) CALL apoc.path.expandConfig(startNode,{relationshipFilter:&quot;TriggeringRelationship&gt;|FlowRelationship&gt;|AssociationRelationship&gt;&quot;, minLevel: 3, maxLevel: 10, endNode:[endNode] }) YIELD path AS p RETURN COUNT (DISTINCT endNode)"/>
    <m/>
    <s v="./assets/lackof_sync.JPG"/>
    <s v="maxLevel"/>
    <s v="number"/>
    <n v="5"/>
    <s v="The maximum length of the path for detection."/>
    <x v="12"/>
    <s v="follows"/>
    <s v="Nanoservices"/>
  </r>
  <r>
    <x v="33"/>
    <s v="antiPatterns"/>
    <x v="33"/>
    <s v=""/>
    <x v="33"/>
    <x v="31"/>
    <s v="The &quot;Lack of Synchronization&quot; occurs when the process has been split by an &quot;And Junction&quot;, later joined by an &quot;OR Junction&quot;. The &quot;OR Junction&quot; violates the synchronized manner of the process."/>
    <x v="29"/>
    <x v="3"/>
    <s v="Consider the semantics of junctions and remodel the process to prevent synchronization problems."/>
    <s v="After &quot;Start Event&quot;, the process is split by an AND Junction into two separate processes, &quot;Evaluate Customer credit&quot; and &quot;Process order&quot; are running simultaneously. These two processes are dependent on each other. For example, the order should be canceled if the customer does not have enough credit. Therefore the actions &quot;Evaluate Customer credit&quot; and &quot;Process order&quot; should be considered as a synchronized process, but by having an OR Junction, the synchronization can not be guaranteed anymore, and &quot;End Event&quot; can be triggered by one of both processes, which leads to an undesired result."/>
    <s v="MATCH (a)-[r]-&gt;(endNode:Junction {type: 'or'}) &lt;br /&gt; WITH COUNT(r) as rCnt, endNode &lt;br /&gt; WHERE rCnt&gt;1 &lt;br /&gt; WITH endNode &lt;br /&gt; MATCH (startNode:Junction{type: 'and'}) &lt;br /&gt; CALL apoc.path.expandConfig(startNode,{relationshipFilter:&quot;TriggeringRelationship&gt;|FlowRelationship&gt;|AssociationRelationship&gt;&quot;, &lt;br /&gt; minLevel: $minLevel, &lt;br /&gt; maxLevel: $maxLevel, &lt;br /&gt; endNode:[endNode] &lt;br /&gt; }) &lt;br /&gt; YIELD path AS p &lt;br /&gt; RETURN p"/>
    <s v="MATCH (a)-[r]-&gt;(endNode:Junction {type: 'or'}) with count(r) as rCnt, endNode where rCnt&gt;1 with endNode MATCH (startNode:Junction{type: 'and'}) CALL apoc.path.expandConfig(startNode,{relationshipFilter:&quot;TriggeringRelationship&gt;|FlowRelationship&gt;|AssociationRelationship&gt;&quot;, minLevel: 3, maxLevel: 10, endNode:[endNode] }) YIELD path AS p RETURN COUNT (DISTINCT endNode)"/>
    <m/>
    <s v="./assets/lackof_sync.JPG"/>
    <s v="maxLevel"/>
    <s v="number"/>
    <n v="5"/>
    <s v="The maximum length of the path for detection."/>
    <x v="18"/>
    <s v="relates"/>
    <s v="Multifaceted Abstraction"/>
  </r>
  <r>
    <x v="33"/>
    <s v="antiPatterns"/>
    <x v="33"/>
    <s v=""/>
    <x v="33"/>
    <x v="31"/>
    <s v="The &quot;Lack of Synchronization&quot; occurs when the process has been split by an &quot;And Junction&quot;, later joined by an &quot;OR Junction&quot;. The &quot;OR Junction&quot; violates the synchronized manner of the process."/>
    <x v="29"/>
    <x v="3"/>
    <s v="Consider the semantics of junctions and remodel the process to prevent synchronization problems."/>
    <s v="After &quot;Start Event&quot;, the process is split by an AND Junction into two separate processes, &quot;Evaluate Customer credit&quot; and &quot;Process order&quot; are running simultaneously. These two processes are dependent on each other. For example, the order should be canceled if the customer does not have enough credit. Therefore the actions &quot;Evaluate Customer credit&quot; and &quot;Process order&quot; should be considered as a synchronized process, but by having an OR Junction, the synchronization can not be guaranteed anymore, and &quot;End Event&quot; can be triggered by one of both processes, which leads to an undesired result."/>
    <s v="MATCH (a)-[r]-&gt;(endNode:Junction {type: 'or'}) &lt;br /&gt; WITH COUNT(r) as rCnt, endNode &lt;br /&gt; WHERE rCnt&gt;1 &lt;br /&gt; WITH endNode &lt;br /&gt; MATCH (startNode:Junction{type: 'and'}) &lt;br /&gt; CALL apoc.path.expandConfig(startNode,{relationshipFilter:&quot;TriggeringRelationship&gt;|FlowRelationship&gt;|AssociationRelationship&gt;&quot;, &lt;br /&gt; minLevel: $minLevel, &lt;br /&gt; maxLevel: $maxLevel, &lt;br /&gt; endNode:[endNode] &lt;br /&gt; }) &lt;br /&gt; YIELD path AS p &lt;br /&gt; RETURN p"/>
    <s v="MATCH (a)-[r]-&gt;(endNode:Junction {type: 'or'}) with count(r) as rCnt, endNode where rCnt&gt;1 with endNode MATCH (startNode:Junction{type: 'and'}) CALL apoc.path.expandConfig(startNode,{relationshipFilter:&quot;TriggeringRelationship&gt;|FlowRelationship&gt;|AssociationRelationship&gt;&quot;, minLevel: 3, maxLevel: 10, endNode:[endNode] }) YIELD path AS p RETURN COUNT (DISTINCT endNode)"/>
    <m/>
    <s v="./assets/lackof_sync.JPG"/>
    <s v="maxLevel"/>
    <s v="number"/>
    <n v="5"/>
    <s v="The maximum length of the path for detection."/>
    <x v="18"/>
    <s v="follows"/>
    <s v="Nanoservices"/>
  </r>
  <r>
    <x v="34"/>
    <s v="antiPatterns"/>
    <x v="34"/>
    <s v="Missing Encapsulation"/>
    <x v="34"/>
    <x v="32"/>
    <s v="Services implement identical behavior but rely on different data sources. According to the ArchiMate specification, if two abstractions realize the same behavior, each can fully implement the behavior. However, both services provide identical functionality in this scenario while accessing separate data sources, leading to duplication."/>
    <x v="1"/>
    <x v="25"/>
    <s v="Factor out strategies, such that the common functionality is provided once."/>
    <s v="The existence of &quot;Combinatorial Explosion&quot; in the EA domain may have different reasons. According to the graphical example, two services provide the same functionality but get the data from two different sources because the data can not be shared."/>
    <s v="MATCH (a)-[r:RealizationRelationship]-&gt;(b) &lt;br /&gt; WITH b, COUNT (a) AS implCount &lt;br /&gt; MATCH p = (d)-[r1:AccessRelationship|AssociationRelationship]-(a)-[r:RealizationRelationship]-&gt;(b) &lt;br /&gt; WHERE implCount&gt;1 &lt;br /&gt; RETURN p"/>
    <s v="MATCH (a)-[r:RealizationRelationship]-&gt;(b) WITH b, COUNT (a) AS implCount MATCH p = (d)-[r1:AccessRelationship]-(a)-[r:RealizationRelationship]-&gt;(b) WHERE implCount&gt;1 RETURN count (distinct a)"/>
    <m/>
    <s v="./assets/combinatorial_explosion_v1.JPG"/>
    <m/>
    <m/>
    <m/>
    <m/>
    <x v="2"/>
    <s v="relates"/>
    <s v="Duplication"/>
  </r>
  <r>
    <x v="34"/>
    <s v="antiPatterns"/>
    <x v="34"/>
    <s v="Missing Encapsulation"/>
    <x v="34"/>
    <x v="32"/>
    <s v="Services implement identical behavior but rely on different data sources. According to the ArchiMate specification, if two abstractions realize the same behavior, each can fully implement the behavior. However, both services provide identical functionality in this scenario while accessing separate data sources, leading to duplication."/>
    <x v="1"/>
    <x v="25"/>
    <s v="Factor out strategies, such that the common functionality is provided once."/>
    <s v="The existence of &quot;Combinatorial Explosion&quot; in the EA domain may have different reasons. According to the graphical example, two services provide the same functionality but get the data from two different sources because the data can not be shared."/>
    <s v="MATCH (a)-[r:RealizationRelationship]-&gt;(b) &lt;br /&gt; WITH b, COUNT (a) AS implCount &lt;br /&gt; MATCH p = (d)-[r1:AccessRelationship|AssociationRelationship]-(a)-[r:RealizationRelationship]-&gt;(b) &lt;br /&gt; WHERE implCount&gt;1 &lt;br /&gt; RETURN p"/>
    <s v="MATCH (a)-[r:RealizationRelationship]-&gt;(b) WITH b, COUNT (a) AS implCount MATCH p = (d)-[r1:AccessRelationship]-(a)-[r:RealizationRelationship]-&gt;(b) WHERE implCount&gt;1 RETURN count (distinct a)"/>
    <m/>
    <s v="./assets/combinatorial_explosion_v1.JPG"/>
    <m/>
    <m/>
    <m/>
    <m/>
    <x v="3"/>
    <s v="relates"/>
    <s v="Duplication"/>
  </r>
  <r>
    <x v="34"/>
    <s v="antiPatterns"/>
    <x v="34"/>
    <s v="Missing Encapsulation"/>
    <x v="34"/>
    <x v="32"/>
    <s v="Services implement identical behavior but rely on different data sources. According to the ArchiMate specification, if two abstractions realize the same behavior, each can fully implement the behavior. However, both services provide identical functionality in this scenario while accessing separate data sources, leading to duplication."/>
    <x v="1"/>
    <x v="25"/>
    <s v="Factor out strategies, such that the common functionality is provided once."/>
    <s v="The existence of &quot;Combinatorial Explosion&quot; in the EA domain may have different reasons. According to the graphical example, two services provide the same functionality but get the data from two different sources because the data can not be shared."/>
    <s v="MATCH (a)-[r:RealizationRelationship]-&gt;(b) &lt;br /&gt; WITH b, COUNT (a) AS implCount &lt;br /&gt; MATCH p = (d)-[r1:AccessRelationship|AssociationRelationship]-(a)-[r:RealizationRelationship]-&gt;(b) &lt;br /&gt; WHERE implCount&gt;1 &lt;br /&gt; RETURN p"/>
    <s v="MATCH (a)-[r:RealizationRelationship]-&gt;(b) WITH b, COUNT (a) AS implCount MATCH p = (d)-[r1:AccessRelationship]-(a)-[r:RealizationRelationship]-&gt;(b) WHERE implCount&gt;1 RETURN count (distinct a)"/>
    <m/>
    <s v="./assets/combinatorial_explosion_v1.JPG"/>
    <m/>
    <m/>
    <m/>
    <m/>
    <x v="4"/>
    <s v="relates"/>
    <s v="Duplication"/>
  </r>
  <r>
    <x v="34"/>
    <s v="antiPatterns"/>
    <x v="34"/>
    <s v="Missing Encapsulation"/>
    <x v="34"/>
    <x v="32"/>
    <s v="Services implement identical behavior but rely on different data sources. According to the ArchiMate specification, if two abstractions realize the same behavior, each can fully implement the behavior. However, both services provide identical functionality in this scenario while accessing separate data sources, leading to duplication."/>
    <x v="1"/>
    <x v="25"/>
    <s v="Factor out strategies, such that the common functionality is provided once."/>
    <s v="The existence of &quot;Combinatorial Explosion&quot; in the EA domain may have different reasons. According to the graphical example, two services provide the same functionality but get the data from two different sources because the data can not be shared."/>
    <s v="MATCH (a)-[r:RealizationRelationship]-&gt;(b) &lt;br /&gt; WITH b, COUNT (a) AS implCount &lt;br /&gt; MATCH p = (d)-[r1:AccessRelationship|AssociationRelationship]-(a)-[r:RealizationRelationship]-&gt;(b) &lt;br /&gt; WHERE implCount&gt;1 &lt;br /&gt; RETURN p"/>
    <s v="MATCH (a)-[r:RealizationRelationship]-&gt;(b) WITH b, COUNT (a) AS implCount MATCH p = (d)-[r1:AccessRelationship]-(a)-[r:RealizationRelationship]-&gt;(b) WHERE implCount&gt;1 RETURN count (distinct a)"/>
    <m/>
    <s v="./assets/combinatorial_explosion_v1.JPG"/>
    <m/>
    <m/>
    <m/>
    <m/>
    <x v="17"/>
    <s v="relates"/>
    <s v="Duplication"/>
  </r>
  <r>
    <x v="34"/>
    <s v="antiPatterns"/>
    <x v="34"/>
    <s v="Missing Encapsulation"/>
    <x v="34"/>
    <x v="32"/>
    <s v="Services implement identical behavior but rely on different data sources. According to the ArchiMate specification, if two abstractions realize the same behavior, each can fully implement the behavior. However, both services provide identical functionality in this scenario while accessing separate data sources, leading to duplication."/>
    <x v="1"/>
    <x v="25"/>
    <s v="Factor out strategies, such that the common functionality is provided once."/>
    <s v="The existence of &quot;Combinatorial Explosion&quot; in the EA domain may have different reasons. According to the graphical example, two services provide the same functionality but get the data from two different sources because the data can not be shared."/>
    <s v="MATCH (a)-[r:RealizationRelationship]-&gt;(b) &lt;br /&gt; WITH b, COUNT (a) AS implCount &lt;br /&gt; MATCH p = (d)-[r1:AccessRelationship|AssociationRelationship]-(a)-[r:RealizationRelationship]-&gt;(b) &lt;br /&gt; WHERE implCount&gt;1 &lt;br /&gt; RETURN p"/>
    <s v="MATCH (a)-[r:RealizationRelationship]-&gt;(b) WITH b, COUNT (a) AS implCount MATCH p = (d)-[r1:AccessRelationship]-(a)-[r:RealizationRelationship]-&gt;(b) WHERE implCount&gt;1 RETURN count (distinct a)"/>
    <m/>
    <s v="./assets/combinatorial_explosion_v1.JPG"/>
    <m/>
    <m/>
    <m/>
    <m/>
    <x v="6"/>
    <s v="relates"/>
    <s v="Duplication"/>
  </r>
  <r>
    <x v="34"/>
    <s v="antiPatterns"/>
    <x v="34"/>
    <s v="Missing Encapsulation"/>
    <x v="34"/>
    <x v="32"/>
    <s v="Services implement identical behavior but rely on different data sources. According to the ArchiMate specification, if two abstractions realize the same behavior, each can fully implement the behavior. However, both services provide identical functionality in this scenario while accessing separate data sources, leading to duplication."/>
    <x v="1"/>
    <x v="25"/>
    <s v="Factor out strategies, such that the common functionality is provided once."/>
    <s v="The existence of &quot;Combinatorial Explosion&quot; in the EA domain may have different reasons. According to the graphical example, two services provide the same functionality but get the data from two different sources because the data can not be shared."/>
    <s v="MATCH (a)-[r:RealizationRelationship]-&gt;(b) &lt;br /&gt; WITH b, COUNT (a) AS implCount &lt;br /&gt; MATCH p = (d)-[r1:AccessRelationship|AssociationRelationship]-(a)-[r:RealizationRelationship]-&gt;(b) &lt;br /&gt; WHERE implCount&gt;1 &lt;br /&gt; RETURN p"/>
    <s v="MATCH (a)-[r:RealizationRelationship]-&gt;(b) WITH b, COUNT (a) AS implCount MATCH p = (d)-[r1:AccessRelationship]-(a)-[r:RealizationRelationship]-&gt;(b) WHERE implCount&gt;1 RETURN count (distinct a)"/>
    <m/>
    <s v="./assets/combinatorial_explosion_v1.JPG"/>
    <m/>
    <m/>
    <m/>
    <m/>
    <x v="14"/>
    <s v="relates"/>
    <s v="Duplication"/>
  </r>
  <r>
    <x v="35"/>
    <s v="antiPatterns"/>
    <x v="35"/>
    <s v=""/>
    <x v="35"/>
    <x v="33"/>
    <s v=""/>
    <x v="30"/>
    <x v="3"/>
    <s v="The first step is to identify the horizontal design elements and delegate them to a separate architecture layer. Then use the horizontal elements to capture the common interoperability functionality in the architecture."/>
    <s v=""/>
    <m/>
    <m/>
    <m/>
    <m/>
    <m/>
    <m/>
    <m/>
    <m/>
    <x v="0"/>
    <s v=""/>
    <s v=""/>
  </r>
  <r>
    <x v="35"/>
    <s v="antiPatterns"/>
    <x v="35"/>
    <s v=""/>
    <x v="35"/>
    <x v="33"/>
    <s v=""/>
    <x v="30"/>
    <x v="3"/>
    <s v="The first step is to identify the horizontal design elements and delegate them to a separate architecture layer. Then use the horizontal elements to capture the common interoperability functionality in the architecture."/>
    <s v=""/>
    <m/>
    <m/>
    <m/>
    <m/>
    <m/>
    <m/>
    <m/>
    <m/>
    <x v="1"/>
    <s v=""/>
    <s v=""/>
  </r>
  <r>
    <x v="35"/>
    <s v="antiPatterns"/>
    <x v="35"/>
    <s v=""/>
    <x v="35"/>
    <x v="33"/>
    <s v=""/>
    <x v="30"/>
    <x v="3"/>
    <s v="The first step is to identify the horizontal design elements and delegate them to a separate architecture layer. Then use the horizontal elements to capture the common interoperability functionality in the architecture."/>
    <s v=""/>
    <m/>
    <m/>
    <m/>
    <m/>
    <m/>
    <m/>
    <m/>
    <m/>
    <x v="2"/>
    <s v=""/>
    <s v=""/>
  </r>
  <r>
    <x v="35"/>
    <s v="antiPatterns"/>
    <x v="35"/>
    <s v=""/>
    <x v="35"/>
    <x v="33"/>
    <s v=""/>
    <x v="30"/>
    <x v="3"/>
    <s v="The first step is to identify the horizontal design elements and delegate them to a separate architecture layer. Then use the horizontal elements to capture the common interoperability functionality in the architecture."/>
    <s v=""/>
    <m/>
    <m/>
    <m/>
    <m/>
    <m/>
    <m/>
    <m/>
    <m/>
    <x v="3"/>
    <s v=""/>
    <s v=""/>
  </r>
  <r>
    <x v="35"/>
    <s v="antiPatterns"/>
    <x v="35"/>
    <s v=""/>
    <x v="35"/>
    <x v="33"/>
    <s v=""/>
    <x v="30"/>
    <x v="3"/>
    <s v="The first step is to identify the horizontal design elements and delegate them to a separate architecture layer. Then use the horizontal elements to capture the common interoperability functionality in the architecture."/>
    <s v=""/>
    <m/>
    <m/>
    <m/>
    <m/>
    <m/>
    <m/>
    <m/>
    <m/>
    <x v="4"/>
    <s v=""/>
    <s v=""/>
  </r>
  <r>
    <x v="35"/>
    <s v="antiPatterns"/>
    <x v="35"/>
    <s v=""/>
    <x v="35"/>
    <x v="33"/>
    <s v=""/>
    <x v="30"/>
    <x v="3"/>
    <s v="The first step is to identify the horizontal design elements and delegate them to a separate architecture layer. Then use the horizontal elements to capture the common interoperability functionality in the architecture."/>
    <s v=""/>
    <m/>
    <m/>
    <m/>
    <m/>
    <m/>
    <m/>
    <m/>
    <m/>
    <x v="5"/>
    <s v=""/>
    <s v=""/>
  </r>
  <r>
    <x v="36"/>
    <s v="antiPatterns"/>
    <x v="36"/>
    <s v="No Businessmen Involvement"/>
    <x v="36"/>
    <x v="34"/>
    <s v=""/>
    <x v="31"/>
    <x v="26"/>
    <s v="End-users have to be involved in the business processes and therefore, user-oriented interfaces have to be created. In Microservices, cross-functional teams ensure a holistic view on services and their functionality."/>
    <s v=""/>
    <m/>
    <s v="MATCH (a)-[r]-(b) WHERE toLower(a.ClassName) contains 'service' and toLower(b.ClassName) contains 'service' with a , count (r) as cnt where cnt&gt; 3 MATCH p = (a)-[r1]-(b) WHERE toLower(a.ClassName) contains 'service' and toLower(b.ClassName) contains 'service' RETURN count(distinct a)"/>
    <m/>
    <m/>
    <m/>
    <m/>
    <m/>
    <m/>
    <x v="1"/>
    <m/>
    <m/>
  </r>
  <r>
    <x v="36"/>
    <s v="antiPatterns"/>
    <x v="36"/>
    <s v="No Businessmen Involvement"/>
    <x v="36"/>
    <x v="34"/>
    <s v=""/>
    <x v="31"/>
    <x v="26"/>
    <s v="End-users have to be involved in the business processes and therefore, user-oriented interfaces have to be created. In Microservices, cross-functional teams ensure a holistic view on services and their functionality."/>
    <s v=""/>
    <m/>
    <s v="MATCH (a)-[r]-(b) WHERE toLower(a.ClassName) contains 'service' and toLower(b.ClassName) contains 'service' with a , count (r) as cnt where cnt&gt; 3 MATCH p = (a)-[r1]-(b) WHERE toLower(a.ClassName) contains 'service' and toLower(b.ClassName) contains 'service' RETURN count(distinct a)"/>
    <m/>
    <m/>
    <m/>
    <m/>
    <m/>
    <m/>
    <x v="0"/>
    <m/>
    <m/>
  </r>
  <r>
    <x v="36"/>
    <s v="antiPatterns"/>
    <x v="36"/>
    <s v="No Businessmen Involvement"/>
    <x v="36"/>
    <x v="34"/>
    <s v=""/>
    <x v="31"/>
    <x v="26"/>
    <s v="End-users have to be involved in the business processes and therefore, user-oriented interfaces have to be created. In Microservices, cross-functional teams ensure a holistic view on services and their functionality."/>
    <s v=""/>
    <m/>
    <s v="MATCH (a)-[r]-(b) WHERE toLower(a.ClassName) contains 'service' and toLower(b.ClassName) contains 'service' with a , count (r) as cnt where cnt&gt; 3 MATCH p = (a)-[r1]-(b) WHERE toLower(a.ClassName) contains 'service' and toLower(b.ClassName) contains 'service' RETURN count(distinct a)"/>
    <m/>
    <m/>
    <m/>
    <m/>
    <m/>
    <m/>
    <x v="2"/>
    <m/>
    <m/>
  </r>
  <r>
    <x v="36"/>
    <s v="antiPatterns"/>
    <x v="36"/>
    <s v="No Businessmen Involvement"/>
    <x v="36"/>
    <x v="34"/>
    <s v=""/>
    <x v="31"/>
    <x v="26"/>
    <s v="End-users have to be involved in the business processes and therefore, user-oriented interfaces have to be created. In Microservices, cross-functional teams ensure a holistic view on services and their functionality."/>
    <s v=""/>
    <m/>
    <s v="MATCH (a)-[r]-(b) WHERE toLower(a.ClassName) contains 'service' and toLower(b.ClassName) contains 'service' with a , count (r) as cnt where cnt&gt; 3 MATCH p = (a)-[r1]-(b) WHERE toLower(a.ClassName) contains 'service' and toLower(b.ClassName) contains 'service' RETURN count(distinct a)"/>
    <m/>
    <m/>
    <m/>
    <m/>
    <m/>
    <m/>
    <x v="19"/>
    <m/>
    <m/>
  </r>
  <r>
    <x v="36"/>
    <s v="antiPatterns"/>
    <x v="36"/>
    <s v="No Businessmen Involvement"/>
    <x v="36"/>
    <x v="34"/>
    <s v=""/>
    <x v="31"/>
    <x v="26"/>
    <s v="End-users have to be involved in the business processes and therefore, user-oriented interfaces have to be created. In Microservices, cross-functional teams ensure a holistic view on services and their functionality."/>
    <s v=""/>
    <m/>
    <s v="MATCH (a)-[r]-(b) WHERE toLower(a.ClassName) contains 'service' and toLower(b.ClassName) contains 'service' with a , count (r) as cnt where cnt&gt; 3 MATCH p = (a)-[r1]-(b) WHERE toLower(a.ClassName) contains 'service' and toLower(b.ClassName) contains 'service' RETURN count(distinct a)"/>
    <m/>
    <m/>
    <m/>
    <m/>
    <m/>
    <m/>
    <x v="5"/>
    <m/>
    <m/>
  </r>
  <r>
    <x v="37"/>
    <s v="antiPatterns"/>
    <x v="37"/>
    <s v=""/>
    <x v="37"/>
    <x v="35"/>
    <s v="No explicit description and designation of the viewpoint."/>
    <x v="32"/>
    <x v="27"/>
    <s v="There are five fundamental layers for EA models: business, application, technology &amp; physical, strategy and implementation &amp; migration. Thus, those viewpoints can be differentiated and considered explicitly. Additionally, multiple stakeholders may have different point of views, which should be taken into consideration. Of course the chosen point of view has to be specified."/>
    <s v="Defining a model for a telephone exchange system will vary significantly depending upon the focus provided by the following perspectives: Telephone user, who cares about the ease of making calls and receiving itemized bills. Telephone operator, who cares about connecting users to required numbers. Telephone accounting department, which cares about the formulae for billing and records of all calls made by users."/>
    <m/>
    <m/>
    <m/>
    <m/>
    <m/>
    <m/>
    <m/>
    <m/>
    <x v="2"/>
    <s v="relates"/>
    <s v="Architecture by Implication"/>
  </r>
  <r>
    <x v="37"/>
    <s v="antiPatterns"/>
    <x v="37"/>
    <s v=""/>
    <x v="37"/>
    <x v="35"/>
    <s v="No explicit description and designation of the viewpoint."/>
    <x v="32"/>
    <x v="27"/>
    <s v="There are five fundamental layers for EA models: business, application, technology &amp; physical, strategy and implementation &amp; migration. Thus, those viewpoints can be differentiated and considered explicitly. Additionally, multiple stakeholders may have different point of views, which should be taken into consideration. Of course the chosen point of view has to be specified."/>
    <s v="Defining a model for a telephone exchange system will vary significantly depending upon the focus provided by the following perspectives: Telephone user, who cares about the ease of making calls and receiving itemized bills. Telephone operator, who cares about connecting users to required numbers. Telephone accounting department, which cares about the formulae for billing and records of all calls made by users."/>
    <m/>
    <m/>
    <m/>
    <m/>
    <m/>
    <m/>
    <m/>
    <m/>
    <x v="3"/>
    <s v="relates"/>
    <s v="Architecture by Implication"/>
  </r>
  <r>
    <x v="37"/>
    <s v="antiPatterns"/>
    <x v="37"/>
    <s v=""/>
    <x v="37"/>
    <x v="35"/>
    <s v="No explicit description and designation of the viewpoint."/>
    <x v="32"/>
    <x v="27"/>
    <s v="There are five fundamental layers for EA models: business, application, technology &amp; physical, strategy and implementation &amp; migration. Thus, those viewpoints can be differentiated and considered explicitly. Additionally, multiple stakeholders may have different point of views, which should be taken into consideration. Of course the chosen point of view has to be specified."/>
    <s v="Defining a model for a telephone exchange system will vary significantly depending upon the focus provided by the following perspectives: Telephone user, who cares about the ease of making calls and receiving itemized bills. Telephone operator, who cares about connecting users to required numbers. Telephone accounting department, which cares about the formulae for billing and records of all calls made by users."/>
    <m/>
    <m/>
    <m/>
    <m/>
    <m/>
    <m/>
    <m/>
    <m/>
    <x v="4"/>
    <s v="relates"/>
    <s v="Architecture by Implication"/>
  </r>
  <r>
    <x v="37"/>
    <s v="antiPatterns"/>
    <x v="37"/>
    <s v=""/>
    <x v="37"/>
    <x v="35"/>
    <s v="No explicit description and designation of the viewpoint."/>
    <x v="32"/>
    <x v="27"/>
    <s v="There are five fundamental layers for EA models: business, application, technology &amp; physical, strategy and implementation &amp; migration. Thus, those viewpoints can be differentiated and considered explicitly. Additionally, multiple stakeholders may have different point of views, which should be taken into consideration. Of course the chosen point of view has to be specified."/>
    <s v="Defining a model for a telephone exchange system will vary significantly depending upon the focus provided by the following perspectives: Telephone user, who cares about the ease of making calls and receiving itemized bills. Telephone operator, who cares about connecting users to required numbers. Telephone accounting department, which cares about the formulae for billing and records of all calls made by users."/>
    <m/>
    <m/>
    <m/>
    <m/>
    <m/>
    <m/>
    <m/>
    <m/>
    <x v="20"/>
    <s v="relates"/>
    <s v="Architecture by Implication"/>
  </r>
  <r>
    <x v="37"/>
    <s v="antiPatterns"/>
    <x v="37"/>
    <s v=""/>
    <x v="37"/>
    <x v="35"/>
    <s v="No explicit description and designation of the viewpoint."/>
    <x v="32"/>
    <x v="27"/>
    <s v="There are five fundamental layers for EA models: business, application, technology &amp; physical, strategy and implementation &amp; migration. Thus, those viewpoints can be differentiated and considered explicitly. Additionally, multiple stakeholders may have different point of views, which should be taken into consideration. Of course the chosen point of view has to be specified."/>
    <s v="Defining a model for a telephone exchange system will vary significantly depending upon the focus provided by the following perspectives: Telephone user, who cares about the ease of making calls and receiving itemized bills. Telephone operator, who cares about connecting users to required numbers. Telephone accounting department, which cares about the formulae for billing and records of all calls made by users."/>
    <m/>
    <m/>
    <m/>
    <m/>
    <m/>
    <m/>
    <m/>
    <m/>
    <x v="0"/>
    <s v="relates"/>
    <s v="Architecture by Implication"/>
  </r>
  <r>
    <x v="37"/>
    <s v="antiPatterns"/>
    <x v="37"/>
    <s v=""/>
    <x v="37"/>
    <x v="35"/>
    <s v="No explicit description and designation of the viewpoint."/>
    <x v="32"/>
    <x v="27"/>
    <s v="There are five fundamental layers for EA models: business, application, technology &amp; physical, strategy and implementation &amp; migration. Thus, those viewpoints can be differentiated and considered explicitly. Additionally, multiple stakeholders may have different point of views, which should be taken into consideration. Of course the chosen point of view has to be specified."/>
    <s v="Defining a model for a telephone exchange system will vary significantly depending upon the focus provided by the following perspectives: Telephone user, who cares about the ease of making calls and receiving itemized bills. Telephone operator, who cares about connecting users to required numbers. Telephone accounting department, which cares about the formulae for billing and records of all calls made by users."/>
    <m/>
    <m/>
    <m/>
    <m/>
    <m/>
    <m/>
    <m/>
    <m/>
    <x v="1"/>
    <s v="relates"/>
    <s v="Architecture by Implication"/>
  </r>
  <r>
    <x v="37"/>
    <s v="antiPatterns"/>
    <x v="37"/>
    <s v=""/>
    <x v="37"/>
    <x v="35"/>
    <s v="No explicit description and designation of the viewpoint."/>
    <x v="32"/>
    <x v="27"/>
    <s v="There are five fundamental layers for EA models: business, application, technology &amp; physical, strategy and implementation &amp; migration. Thus, those viewpoints can be differentiated and considered explicitly. Additionally, multiple stakeholders may have different point of views, which should be taken into consideration. Of course the chosen point of view has to be specified."/>
    <s v="Defining a model for a telephone exchange system will vary significantly depending upon the focus provided by the following perspectives: Telephone user, who cares about the ease of making calls and receiving itemized bills. Telephone operator, who cares about connecting users to required numbers. Telephone accounting department, which cares about the formulae for billing and records of all calls made by users."/>
    <m/>
    <m/>
    <m/>
    <m/>
    <m/>
    <m/>
    <m/>
    <m/>
    <x v="8"/>
    <s v="relates"/>
    <s v="Architecture by Implication"/>
  </r>
  <r>
    <x v="38"/>
    <s v="antiPatterns"/>
    <x v="38"/>
    <s v=""/>
    <x v="38"/>
    <x v="4"/>
    <s v=""/>
    <x v="33"/>
    <x v="3"/>
    <s v=""/>
    <s v=""/>
    <m/>
    <m/>
    <s v=""/>
    <m/>
    <m/>
    <m/>
    <m/>
    <m/>
    <x v="23"/>
    <s v=""/>
    <s v=""/>
  </r>
  <r>
    <x v="38"/>
    <s v="antiPatterns"/>
    <x v="38"/>
    <s v=""/>
    <x v="38"/>
    <x v="4"/>
    <s v=""/>
    <x v="33"/>
    <x v="3"/>
    <s v=""/>
    <s v=""/>
    <m/>
    <m/>
    <s v=""/>
    <m/>
    <m/>
    <m/>
    <m/>
    <m/>
    <x v="12"/>
    <s v=""/>
    <s v=""/>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0"/>
    <s v="relates"/>
    <s v="Connector Envy"/>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0"/>
    <s v="relates"/>
    <s v="Data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0"/>
    <s v="relates"/>
    <s v="Incomplete Abstraction"/>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0"/>
    <s v="follows"/>
    <s v="Chatty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1"/>
    <s v="relates"/>
    <s v="Connector Envy"/>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1"/>
    <s v="relates"/>
    <s v="Data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1"/>
    <s v="relates"/>
    <s v="Incomplete Abstraction"/>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1"/>
    <s v="follows"/>
    <s v="Chatty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2"/>
    <s v="relates"/>
    <s v="Connector Envy"/>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2"/>
    <s v="relates"/>
    <s v="Data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2"/>
    <s v="relates"/>
    <s v="Incomplete Abstraction"/>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2"/>
    <s v="follows"/>
    <s v="Chatty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3"/>
    <s v="relates"/>
    <s v="Connector Envy"/>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3"/>
    <s v="relates"/>
    <s v="Data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3"/>
    <s v="relates"/>
    <s v="Incomplete Abstraction"/>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3"/>
    <s v="follows"/>
    <s v="Chatty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4"/>
    <s v="relates"/>
    <s v="Connector Envy"/>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4"/>
    <s v="relates"/>
    <s v="Data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4"/>
    <s v="relates"/>
    <s v="Incomplete Abstraction"/>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4"/>
    <s v="follows"/>
    <s v="Chatty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7"/>
    <s v="relates"/>
    <s v="Connector Envy"/>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7"/>
    <s v="relates"/>
    <s v="Data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7"/>
    <s v="relates"/>
    <s v="Incomplete Abstraction"/>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7"/>
    <s v="follows"/>
    <s v="Chatty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6"/>
    <s v="relates"/>
    <s v="Connector Envy"/>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6"/>
    <s v="relates"/>
    <s v="Data Service"/>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6"/>
    <s v="relates"/>
    <s v="Incomplete Abstraction"/>
  </r>
  <r>
    <x v="39"/>
    <s v="antiPatterns"/>
    <x v="39"/>
    <s v=""/>
    <x v="39"/>
    <x v="36"/>
    <s v="Searching for a service that utilizes the capabilities of a data service. Specifically, there exists a serving relationship between the data service and feature envy."/>
    <x v="1"/>
    <x v="28"/>
    <s v="As a basic rule, if things change at the same time, you should keep them in the same place. Usually data and functions that use this data are changed together (although exceptions are possible)."/>
    <s v=""/>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RETURN p"/>
    <s v="MATCH p=(f)&lt;-[:ServingRelationship|AssociationRelationship]-(a)-[r:AccessRelationship]-&gt;(d) &lt;br /&gt; WITH p, a &lt;br /&gt; WHERE NOT EXISTS{&lt;br /&gt;(a)-[r1:AssignmentRelationship|CompositionRelationship|AssociationRelationship|AggregationRelationship|RealizationRelationship]-(s) &lt;br /&gt;WHERE NOT s:ApplicationService or s:BusinessService or s:TechnologyService &lt;br /&gt;} &lt;br /&gt; MATCH (f)&lt;-[:ServingRelationship|AssociationRelationship]-(a)-[r:AccessRelationship]-&gt;(d) return count (distinct f)"/>
    <m/>
    <s v="./assets/feature_envy.JPG"/>
    <m/>
    <m/>
    <m/>
    <m/>
    <x v="6"/>
    <s v="follows"/>
    <s v="Chatty Service"/>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0"/>
    <s v="relates"/>
    <s v="Scattered Parasitic Functionality"/>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0"/>
    <s v="relates"/>
    <s v="Architecture by Im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0"/>
    <s v="relates"/>
    <s v="Du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
    <s v="relates"/>
    <s v="Scattered Parasitic Functionality"/>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
    <s v="relates"/>
    <s v="Architecture by Im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
    <s v="relates"/>
    <s v="Du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3"/>
    <s v="relates"/>
    <s v="Scattered Parasitic Functionality"/>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3"/>
    <s v="relates"/>
    <s v="Architecture by Im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3"/>
    <s v="relates"/>
    <s v="Du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4"/>
    <s v="relates"/>
    <s v="Scattered Parasitic Functionality"/>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4"/>
    <s v="relates"/>
    <s v="Architecture by Im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4"/>
    <s v="relates"/>
    <s v="Du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0"/>
    <s v="relates"/>
    <s v="Scattered Parasitic Functionality"/>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0"/>
    <s v="relates"/>
    <s v="Architecture by Im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0"/>
    <s v="relates"/>
    <s v="Du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4"/>
    <s v="relates"/>
    <s v="Scattered Parasitic Functionality"/>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4"/>
    <s v="relates"/>
    <s v="Architecture by Im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24"/>
    <s v="relates"/>
    <s v="Du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6"/>
    <s v="relates"/>
    <s v="Scattered Parasitic Functionality"/>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6"/>
    <s v="relates"/>
    <s v="Architecture by Implication"/>
  </r>
  <r>
    <x v="40"/>
    <s v="antiPatterns"/>
    <x v="40"/>
    <s v="Alternative Components with Different Interfaces"/>
    <x v="40"/>
    <x v="37"/>
    <s v="Identical name or identical implementation. Stovepipe services typically have a large number of private implementations. Monolithic and undocumented architectures. In ArchiMate, we can detect this Smell by looking for services that provide similar functionality but have different names or interfaces. In order to detect a duplicate abstraction, one can be checked for identical implementations and terms in the model. We can not evaluate identical implementations within a graph because it requires much more low-level details. Therefore, a process manager is required to check for identical implementation between components. However, we can evaluate identical names by checking if two components have the same or similar names."/>
    <x v="34"/>
    <x v="29"/>
    <s v="Refactor the common private features of all services into new technical services or utility components with a common interface. Coordination of technologies at several levels is essential to avoid a Stovepipe Enterprise. Initially, the selection of standards can be coordinated through the definition of a standards reference model."/>
    <s v="The components 'Legal Expense CRM System' and 'General CRM System' look similar, although having different interfaces."/>
    <s v="MATCH p1=(a)--(b:ApplicationInterface|BusinessInterface|TechnologyInterface), p2=(c)--(d:ApplicationInterface|BusinessInterface|TechnologyInterface) &lt;br /&gt; WHERE a&lt;&gt;c and b&lt;&gt;d and  apoc.text.jaroWinklerDistance (a.name, c.name) &lt; $score &lt;br /&gt; UNWIND [p1,p2] as p &lt;br /&gt; RETURN p"/>
    <s v="MATCH p1=(a)--(b:ApplicationInterface|BusinessInterface|TechnologyInterface), p2=(c)--(d:ApplicationInterface|BusinessInterface|TechnologyInterface) WHERE a&lt;&gt;c and b&lt;&gt;d and  apoc.text.jaroWinklerDistance (a.name, c.name) &lt; $score return COUNT (DISTINCT a)"/>
    <m/>
    <s v="./assets/stovepipe_systems.JPG"/>
    <s v="score"/>
    <s v="range"/>
    <n v="0.4"/>
    <s v="The similarity score ranges from zero to one, where zero indicates an exact match and one signifies no similarity between the strings."/>
    <x v="6"/>
    <s v="relates"/>
    <s v="Duplication"/>
  </r>
  <r>
    <x v="41"/>
    <s v="antiPatterns"/>
    <x v="41"/>
    <s v="Forgotten Edge Case"/>
    <x v="41"/>
    <x v="4"/>
    <s v=""/>
    <x v="35"/>
    <x v="3"/>
    <s v="Define the junction with a note or use the documentation option of ArchiMate."/>
    <s v="The cases x is less than y and vice versa are covered, but the case x equals y is missing."/>
    <m/>
    <m/>
    <s v=""/>
    <s v="./assets/undefined_junction.JPG"/>
    <m/>
    <m/>
    <m/>
    <m/>
    <x v="18"/>
    <s v=""/>
    <s v=""/>
  </r>
  <r>
    <x v="41"/>
    <s v="antiPatterns"/>
    <x v="41"/>
    <s v="Forgotten Edge Case"/>
    <x v="41"/>
    <x v="4"/>
    <s v=""/>
    <x v="35"/>
    <x v="3"/>
    <s v="Define the junction with a note or use the documentation option of ArchiMate."/>
    <s v="The cases x is less than y and vice versa are covered, but the case x equals y is missing."/>
    <m/>
    <m/>
    <s v=""/>
    <s v="./assets/undefined_junction.JPG"/>
    <m/>
    <m/>
    <m/>
    <m/>
    <x v="12"/>
    <s v=""/>
    <s v=""/>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0"/>
    <s v="relates"/>
    <s v="Chatty Service"/>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0"/>
    <s v="relates"/>
    <s v="Nanoservices"/>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0"/>
    <s v="relates"/>
    <s v="Message Chain"/>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1"/>
    <s v="relates"/>
    <s v="Chatty Service"/>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1"/>
    <s v="relates"/>
    <s v="Nanoservices"/>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1"/>
    <s v="relates"/>
    <s v="Message Chain"/>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2"/>
    <s v="relates"/>
    <s v="Chatty Service"/>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2"/>
    <s v="relates"/>
    <s v="Nanoservices"/>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2"/>
    <s v="relates"/>
    <s v="Message Chain"/>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3"/>
    <s v="relates"/>
    <s v="Chatty Service"/>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3"/>
    <s v="relates"/>
    <s v="Nanoservices"/>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3"/>
    <s v="relates"/>
    <s v="Message Chain"/>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4"/>
    <s v="relates"/>
    <s v="Chatty Service"/>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4"/>
    <s v="relates"/>
    <s v="Nanoservices"/>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4"/>
    <s v="relates"/>
    <s v="Message Chain"/>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7"/>
    <s v="relates"/>
    <s v="Chatty Service"/>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7"/>
    <s v="relates"/>
    <s v="Nanoservices"/>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7"/>
    <s v="relates"/>
    <s v="Message Chain"/>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6"/>
    <s v="relates"/>
    <s v="Chatty Service"/>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6"/>
    <s v="relates"/>
    <s v="Nanoservices"/>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6"/>
    <s v="relates"/>
    <s v="Message Chain"/>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8"/>
    <s v="relates"/>
    <s v="Chatty Service"/>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8"/>
    <s v="relates"/>
    <s v="Nanoservices"/>
  </r>
  <r>
    <x v="42"/>
    <s v="antiPatterns"/>
    <x v="42"/>
    <s v="Circular Dependency"/>
    <x v="42"/>
    <x v="38"/>
    <s v="Abstractions depend on each other in a cyclic interaction pattern, e.g. A depends on B, B depends on C, and C depends back on A. So check all reachable elements for the original element to detect cycles. We set ten as the default maximum value for filtering cyclic paths. That is, the query looks for a cyclic path with at most ten edges between nodes. The relation length is set as a query parameter and enterprise architects can modify the default value based on their model size. However, setting a very large value as hop degree may impact the query performance."/>
    <x v="36"/>
    <x v="30"/>
    <s v="Resolve the cycles by e.g. relocating functionality (merging) or use an intermediary element."/>
    <s v="A depends on B, B on C and C on A"/>
    <s v="MATCH (m) WITH collect(m) as nodes CALL apoc.nodes.cycles(nodes, {maxDepth: $maxDepth}) YIELD path RETURN path as p"/>
    <m/>
    <m/>
    <s v="./assets/cyclic_dependency.JPG"/>
    <s v="maxDepth"/>
    <s v="number"/>
    <n v="10"/>
    <s v="The max length of cyclic path between elements."/>
    <x v="8"/>
    <s v="relates"/>
    <s v="Message Chain"/>
  </r>
  <r>
    <x v="43"/>
    <s v="antiPatterns"/>
    <x v="43"/>
    <s v=""/>
    <x v="43"/>
    <x v="39"/>
    <s v="For detection in ArchiMate, we looking at elements with an &quot;OR&quot; between two or more verbs."/>
    <x v="37"/>
    <x v="0"/>
    <s v="Use junctions to model the decision making."/>
    <s v="Consider an element with name &quot;execute x or y&quot;, which is not followed by an OR Junction. This behavior may lead to misunderstanding or misinterpretation because the decision information about when which function should be executed is missing."/>
    <s v="MATCH p = (a)--&gt;(b) &lt;br /&gt; WHERE toLower(a.name) contains toLower(&quot; or &quot;) and b.ClassName &lt;&gt;'Junction'&lt;br /&gt; RETURN p"/>
    <s v="MATCH p = (a)--&gt;(b) &lt;br /&gt; WHERE toLower(a.name) contains toLower(&quot; or &quot;) and b.ClassName &lt;&gt;'Junction'&lt;br /&gt; RETURN count(DISTINCT a)"/>
    <m/>
    <s v="./assets/word_or_in_element.JPG"/>
    <m/>
    <m/>
    <m/>
    <m/>
    <x v="11"/>
    <m/>
    <m/>
  </r>
  <r>
    <x v="43"/>
    <s v="antiPatterns"/>
    <x v="43"/>
    <s v=""/>
    <x v="43"/>
    <x v="39"/>
    <s v="For detection in ArchiMate, we looking at elements with an &quot;OR&quot; between two or more verbs."/>
    <x v="37"/>
    <x v="0"/>
    <s v="Use junctions to model the decision making."/>
    <s v="Consider an element with name &quot;execute x or y&quot;, which is not followed by an OR Junction. This behavior may lead to misunderstanding or misinterpretation because the decision information about when which function should be executed is missing."/>
    <s v="MATCH p = (a)--&gt;(b) &lt;br /&gt; WHERE toLower(a.name) contains toLower(&quot; or &quot;) and b.ClassName &lt;&gt;'Junction'&lt;br /&gt; RETURN p"/>
    <s v="MATCH p = (a)--&gt;(b) &lt;br /&gt; WHERE toLower(a.name) contains toLower(&quot; or &quot;) and b.ClassName &lt;&gt;'Junction'&lt;br /&gt; RETURN count(DISTINCT a)"/>
    <m/>
    <s v="./assets/word_or_in_element.JPG"/>
    <m/>
    <m/>
    <m/>
    <m/>
    <x v="12"/>
    <m/>
    <m/>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Nanoservice"/>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precedes"/>
    <s v="Dead Component"/>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Connector Envy"/>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Message Chai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Hub-like Modularizatio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Nanoservice"/>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precedes"/>
    <s v="Dead Component"/>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Connector Envy"/>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Message Chai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Hub-like Modularizatio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Nanoservice"/>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precedes"/>
    <s v="Dead Component"/>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Connector Envy"/>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Message Chai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Hub-like Modularizatio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Nanoservice"/>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precedes"/>
    <s v="Dead Component"/>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Connector Envy"/>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Message Chai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Hub-like Modularizatio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Nanoservice"/>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precedes"/>
    <s v="Dead Component"/>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Connector Envy"/>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Message Chai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Hub-like Modularizatio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Nanoservice"/>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precedes"/>
    <s v="Dead Component"/>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Connector Envy"/>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Message Chai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Hub-like Modularizatio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Nanoservice"/>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precedes"/>
    <s v="Dead Component"/>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Connector Envy"/>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Message Chai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Hub-like Modularizatio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Nanoservice"/>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precedes"/>
    <s v="Dead Component"/>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Connector Envy"/>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Message Chain"/>
  </r>
  <r>
    <x v="44"/>
    <s v="antiPatterns"/>
    <x v="44"/>
    <s v="Poltergeist"/>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Hub-like Modularizatio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Nanoservice"/>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precedes"/>
    <s v="Dead Component"/>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Connector Envy"/>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Message Chai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Hub-like Modularizatio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Nanoservice"/>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precedes"/>
    <s v="Dead Component"/>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Connector Envy"/>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Message Chai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Hub-like Modularizatio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Nanoservice"/>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precedes"/>
    <s v="Dead Component"/>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Connector Envy"/>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Message Chai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Hub-like Modularizatio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Nanoservice"/>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precedes"/>
    <s v="Dead Component"/>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Connector Envy"/>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Message Chai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Hub-like Modularizatio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Nanoservice"/>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precedes"/>
    <s v="Dead Component"/>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Connector Envy"/>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Message Chai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Hub-like Modularizatio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Nanoservice"/>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precedes"/>
    <s v="Dead Component"/>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Connector Envy"/>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Message Chai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Hub-like Modularizatio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Nanoservice"/>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precedes"/>
    <s v="Dead Component"/>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Connector Envy"/>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Message Chai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Hub-like Modularizatio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Nanoservice"/>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precedes"/>
    <s v="Dead Component"/>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Connector Envy"/>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Message Chain"/>
  </r>
  <r>
    <x v="44"/>
    <s v="antiPatterns"/>
    <x v="44"/>
    <s v="Freeloader"/>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Hub-like Modularizatio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Nanoservice"/>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precedes"/>
    <s v="Dead Component"/>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Connector Envy"/>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Message Chai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Hub-like Modularizatio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Nanoservice"/>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precedes"/>
    <s v="Dead Component"/>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Connector Envy"/>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Message Chai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Hub-like Modularizatio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Nanoservice"/>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precedes"/>
    <s v="Dead Component"/>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Connector Envy"/>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Message Chai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Hub-like Modularizatio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Nanoservice"/>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precedes"/>
    <s v="Dead Component"/>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Connector Envy"/>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Message Chai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Hub-like Modularizatio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Nanoservice"/>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precedes"/>
    <s v="Dead Component"/>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Connector Envy"/>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Message Chai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Hub-like Modularizatio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Nanoservice"/>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precedes"/>
    <s v="Dead Component"/>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Connector Envy"/>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Message Chai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Hub-like Modularizatio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Nanoservice"/>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precedes"/>
    <s v="Dead Component"/>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Connector Envy"/>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Message Chai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Hub-like Modularizatio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Nanoservice"/>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precedes"/>
    <s v="Dead Component"/>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Connector Envy"/>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Message Chain"/>
  </r>
  <r>
    <x v="44"/>
    <s v="antiPatterns"/>
    <x v="44"/>
    <s v="Unnecessary Abstraction"/>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Hub-like Modularizatio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Nanoservice"/>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precedes"/>
    <s v="Dead Component"/>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Connector Envy"/>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Message Chai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0"/>
    <s v="relates"/>
    <s v="Hub-like Modularizatio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Nanoservice"/>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precedes"/>
    <s v="Dead Component"/>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Connector Envy"/>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Message Chai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
    <s v="relates"/>
    <s v="Hub-like Modularizatio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Nanoservice"/>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precedes"/>
    <s v="Dead Component"/>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Connector Envy"/>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Message Chai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2"/>
    <s v="relates"/>
    <s v="Hub-like Modularizatio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Nanoservice"/>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precedes"/>
    <s v="Dead Component"/>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Connector Envy"/>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Message Chai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3"/>
    <s v="relates"/>
    <s v="Hub-like Modularizatio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Nanoservice"/>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precedes"/>
    <s v="Dead Component"/>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Connector Envy"/>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Message Chai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4"/>
    <s v="relates"/>
    <s v="Hub-like Modularizatio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Nanoservice"/>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precedes"/>
    <s v="Dead Component"/>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Connector Envy"/>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Message Chai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17"/>
    <s v="relates"/>
    <s v="Hub-like Modularizatio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Nanoservice"/>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precedes"/>
    <s v="Dead Component"/>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Connector Envy"/>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Message Chai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7"/>
    <s v="relates"/>
    <s v="Hub-like Modularizatio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Nanoservice"/>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precedes"/>
    <s v="Dead Component"/>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Connector Envy"/>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Message Chain"/>
  </r>
  <r>
    <x v="44"/>
    <s v="antiPatterns"/>
    <x v="44"/>
    <s v="Gypsy"/>
    <x v="44"/>
    <x v="40"/>
    <s v="Transient associations. Temporary, short-duration objects. Single-operation elements that exist only to &quot;seed&quot; or &quot;invoke&quot; other components through temporary associations. Often can be identified through the name containing &quot;controller&quot; or &quot;manager&quot;."/>
    <x v="1"/>
    <x v="31"/>
    <s v="Collapse Hierarchy and redistribute functionality: After their removal, however, the functionality that was &quot;provided&quot; must be replaced. This is easy with a simple adjustment to correct the architecture."/>
    <s v="Consider the case of an e-commerce application that has two classes: namely, Best-SellerBook and Book. Whenever the client wants to create a best-seller book, it creates an instance of a BestSellerBook. Internally, BestSellerBook delegates all the method calls to the Book class and does nothing else. Clearly, the BestSeller-Book abstraction is unnecessary since its behavior is exactly the same as the Book abstraction."/>
    <s v="MATCH p=(n) &lt;br /&gt;  WHERE n.Label contains 'controller' or n.Label contains 'manager' &lt;br /&gt; RETURN p"/>
    <m/>
    <m/>
    <m/>
    <m/>
    <m/>
    <m/>
    <m/>
    <x v="8"/>
    <s v="relates"/>
    <s v="Hub-like Modularization"/>
  </r>
  <r>
    <x v="45"/>
    <s v="antiPatterns"/>
    <x v="45"/>
    <s v=""/>
    <x v="45"/>
    <x v="41"/>
    <s v=""/>
    <x v="38"/>
    <x v="3"/>
    <s v="EA models need to be semantically versioned to allow easier communication and to decide whether the communication needs to be adapted to a new contract."/>
    <s v="release v1 of a model, and work on v3 afterwards"/>
    <m/>
    <m/>
    <m/>
    <m/>
    <m/>
    <m/>
    <m/>
    <m/>
    <x v="1"/>
    <s v="relates"/>
    <s v="Deficient Names"/>
  </r>
  <r>
    <x v="45"/>
    <s v="antiPatterns"/>
    <x v="45"/>
    <s v=""/>
    <x v="45"/>
    <x v="41"/>
    <s v=""/>
    <x v="38"/>
    <x v="3"/>
    <s v="EA models need to be semantically versioned to allow easier communication and to decide whether the communication needs to be adapted to a new contract."/>
    <s v="release v1 of a model, and work on v3 afterwards"/>
    <m/>
    <m/>
    <m/>
    <m/>
    <m/>
    <m/>
    <m/>
    <m/>
    <x v="0"/>
    <s v="relates"/>
    <s v="Deficient Names"/>
  </r>
  <r>
    <x v="45"/>
    <s v="antiPatterns"/>
    <x v="45"/>
    <s v=""/>
    <x v="45"/>
    <x v="41"/>
    <s v=""/>
    <x v="38"/>
    <x v="3"/>
    <s v="EA models need to be semantically versioned to allow easier communication and to decide whether the communication needs to be adapted to a new contract."/>
    <s v="release v1 of a model, and work on v3 afterwards"/>
    <m/>
    <m/>
    <m/>
    <m/>
    <m/>
    <m/>
    <m/>
    <m/>
    <x v="2"/>
    <s v="relates"/>
    <s v="Deficient Names"/>
  </r>
  <r>
    <x v="45"/>
    <s v="antiPatterns"/>
    <x v="45"/>
    <s v=""/>
    <x v="45"/>
    <x v="41"/>
    <s v=""/>
    <x v="38"/>
    <x v="3"/>
    <s v="EA models need to be semantically versioned to allow easier communication and to decide whether the communication needs to be adapted to a new contract."/>
    <s v="release v1 of a model, and work on v3 afterwards"/>
    <m/>
    <m/>
    <m/>
    <m/>
    <m/>
    <m/>
    <m/>
    <m/>
    <x v="3"/>
    <s v="relates"/>
    <s v="Deficient Names"/>
  </r>
  <r>
    <x v="45"/>
    <s v="antiPatterns"/>
    <x v="45"/>
    <s v=""/>
    <x v="45"/>
    <x v="41"/>
    <s v=""/>
    <x v="38"/>
    <x v="3"/>
    <s v="EA models need to be semantically versioned to allow easier communication and to decide whether the communication needs to be adapted to a new contract."/>
    <s v="release v1 of a model, and work on v3 afterwards"/>
    <m/>
    <m/>
    <m/>
    <m/>
    <m/>
    <m/>
    <m/>
    <m/>
    <x v="4"/>
    <s v="relates"/>
    <s v="Deficient Names"/>
  </r>
  <r>
    <x v="45"/>
    <s v="antiPatterns"/>
    <x v="45"/>
    <s v=""/>
    <x v="45"/>
    <x v="41"/>
    <s v=""/>
    <x v="38"/>
    <x v="3"/>
    <s v="EA models need to be semantically versioned to allow easier communication and to decide whether the communication needs to be adapted to a new contract."/>
    <s v="release v1 of a model, and work on v3 afterwards"/>
    <m/>
    <m/>
    <m/>
    <m/>
    <m/>
    <m/>
    <m/>
    <m/>
    <x v="20"/>
    <s v="relates"/>
    <s v="Deficient Nam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
    <s v="precedes"/>
    <s v="Nanoservic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
    <s v="relates"/>
    <s v="Message Chain"/>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
    <s v="precedes"/>
    <s v="Data Service"/>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
    <s v="relates"/>
    <s v="Cyclic Dependenc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
    <s v="precedes"/>
    <s v="Feature Env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0"/>
    <s v="precedes"/>
    <s v="Nanoservic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0"/>
    <s v="relates"/>
    <s v="Message Chain"/>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0"/>
    <s v="precedes"/>
    <s v="Data Service"/>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0"/>
    <s v="relates"/>
    <s v="Cyclic Dependenc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0"/>
    <s v="precedes"/>
    <s v="Feature Env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2"/>
    <s v="precedes"/>
    <s v="Nanoservic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2"/>
    <s v="relates"/>
    <s v="Message Chain"/>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2"/>
    <s v="precedes"/>
    <s v="Data Service"/>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2"/>
    <s v="relates"/>
    <s v="Cyclic Dependenc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2"/>
    <s v="precedes"/>
    <s v="Feature Env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3"/>
    <s v="precedes"/>
    <s v="Nanoservic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3"/>
    <s v="relates"/>
    <s v="Message Chain"/>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3"/>
    <s v="precedes"/>
    <s v="Data Service"/>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3"/>
    <s v="relates"/>
    <s v="Cyclic Dependenc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3"/>
    <s v="precedes"/>
    <s v="Feature Env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4"/>
    <s v="precedes"/>
    <s v="Nanoservic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4"/>
    <s v="relates"/>
    <s v="Message Chain"/>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4"/>
    <s v="precedes"/>
    <s v="Data Service"/>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4"/>
    <s v="relates"/>
    <s v="Cyclic Dependenc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4"/>
    <s v="precedes"/>
    <s v="Feature Env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4"/>
    <s v="precedes"/>
    <s v="Nanoservic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4"/>
    <s v="relates"/>
    <s v="Message Chain"/>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4"/>
    <s v="precedes"/>
    <s v="Data Service"/>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4"/>
    <s v="relates"/>
    <s v="Cyclic Dependenc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4"/>
    <s v="precedes"/>
    <s v="Feature Env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5"/>
    <s v="precedes"/>
    <s v="Nanoservic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5"/>
    <s v="relates"/>
    <s v="Message Chain"/>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5"/>
    <s v="precedes"/>
    <s v="Data Service"/>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5"/>
    <s v="relates"/>
    <s v="Cyclic Dependenc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15"/>
    <s v="precedes"/>
    <s v="Feature Env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8"/>
    <s v="precedes"/>
    <s v="Nanoservices"/>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8"/>
    <s v="relates"/>
    <s v="Message Chain"/>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8"/>
    <s v="precedes"/>
    <s v="Data Service"/>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8"/>
    <s v="relates"/>
    <s v="Cyclic Dependency"/>
  </r>
  <r>
    <x v="46"/>
    <s v="antiPatterns"/>
    <x v="46"/>
    <s v=""/>
    <x v="46"/>
    <x v="42"/>
    <s v="A chatty service may have many fine-grained operations/responsibilities. It is suspicious when a service relates to many other services and makes use of them, especially when the provided functionality is rather simple. We count the number of edges between services and set a threshold as an acceptable number for interactions. If the number of edges exceeds the given threshold, it couod be a sign of &quot;Chatty Service&quot;. The threshold is set to three, though enterprise architects can adjust this based on their specific criteria."/>
    <x v="39"/>
    <x v="3"/>
    <s v="Simple operations should not be made available to other elements. Instead, a more coarse-grained operation should be created to fulfill an abstraction."/>
    <s v=""/>
    <s v="MATCH (a)-[r]-(b) &lt;br /&gt; WHERE toLower(a.ClassName) contains 'service' and toLower(b.ClassName) contains 'service' &lt;br /&gt; WITH b, count(r) as cnt &lt;br /&gt;WHERE cnt&gt; $interactionCnt &lt;br /&gt;MATCH p =(a)-[r1]-(b) &lt;br /&gt;WHERE  toLower(a.ClassName) contains 'service' and toLower(b.ClassName) contains 'service'  &lt;br /&gt;RETURN p"/>
    <s v="MATCH (a)-[r]-(b) &lt;br /&gt; WHERE toLower(a.ClassName) contains 'service' and toLower(b.ClassName) contains 'service' &lt;br /&gt; WITH b, count(r) as cnt &lt;br /&gt;WHERE cnt&gt; $interactionCnt &lt;br /&gt;MATCH p =(a)-[r1]-(b) &lt;br /&gt;WHERE  toLower(a.ClassName) contains 'service' and toLower(b.ClassName) contains 'service'  &lt;br /&gt; RETURN COUNT (DISTINCT a)"/>
    <m/>
    <s v="./assets/chatty_service.JPG"/>
    <s v="interactionCnt"/>
    <s v="number"/>
    <n v="3"/>
    <s v="The permissible count of related operation for a service that the chatty service communicate with."/>
    <x v="8"/>
    <s v="precedes"/>
    <s v="Feature Env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0"/>
    <s v="relates"/>
    <s v="No Legac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0"/>
    <s v="follows"/>
    <s v="Nanoservices"/>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0"/>
    <s v="precedes"/>
    <s v="Dead Component"/>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3"/>
    <s v="relates"/>
    <s v="No Legac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3"/>
    <s v="follows"/>
    <s v="Nanoservices"/>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3"/>
    <s v="precedes"/>
    <s v="Dead Component"/>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4"/>
    <s v="relates"/>
    <s v="No Legac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4"/>
    <s v="follows"/>
    <s v="Nanoservices"/>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4"/>
    <s v="precedes"/>
    <s v="Dead Component"/>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5"/>
    <s v="relates"/>
    <s v="No Legac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5"/>
    <s v="follows"/>
    <s v="Nanoservices"/>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5"/>
    <s v="precedes"/>
    <s v="Dead Component"/>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0"/>
    <s v="relates"/>
    <s v="No Legac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0"/>
    <s v="follows"/>
    <s v="Nanoservices"/>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0"/>
    <s v="precedes"/>
    <s v="Dead Component"/>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3"/>
    <s v="relates"/>
    <s v="No Legac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3"/>
    <s v="follows"/>
    <s v="Nanoservices"/>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3"/>
    <s v="precedes"/>
    <s v="Dead Component"/>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4"/>
    <s v="relates"/>
    <s v="No Legac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4"/>
    <s v="follows"/>
    <s v="Nanoservices"/>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4"/>
    <s v="precedes"/>
    <s v="Dead Component"/>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5"/>
    <s v="relates"/>
    <s v="No Legacy"/>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5"/>
    <s v="follows"/>
    <s v="Nanoservices"/>
  </r>
  <r>
    <x v="47"/>
    <s v="antiPatterns"/>
    <x v="47"/>
    <s v="Standardization Paralysis"/>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5"/>
    <s v="precedes"/>
    <s v="Dead Component"/>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0"/>
    <s v="relates"/>
    <s v="No Legacy"/>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0"/>
    <s v="follows"/>
    <s v="Nanoservices"/>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0"/>
    <s v="precedes"/>
    <s v="Dead Component"/>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3"/>
    <s v="relates"/>
    <s v="No Legacy"/>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3"/>
    <s v="follows"/>
    <s v="Nanoservices"/>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3"/>
    <s v="precedes"/>
    <s v="Dead Component"/>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4"/>
    <s v="relates"/>
    <s v="No Legacy"/>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4"/>
    <s v="follows"/>
    <s v="Nanoservices"/>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4"/>
    <s v="precedes"/>
    <s v="Dead Component"/>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5"/>
    <s v="relates"/>
    <s v="No Legacy"/>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5"/>
    <s v="follows"/>
    <s v="Nanoservices"/>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external"/>
    <s v="list"/>
    <s v="[List]"/>
    <s v="The property of the element that marks it as external."/>
    <x v="5"/>
    <s v="precedes"/>
    <s v="Dead Component"/>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0"/>
    <s v="relates"/>
    <s v="No Legacy"/>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0"/>
    <s v="follows"/>
    <s v="Nanoservices"/>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0"/>
    <s v="precedes"/>
    <s v="Dead Component"/>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3"/>
    <s v="relates"/>
    <s v="No Legacy"/>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3"/>
    <s v="follows"/>
    <s v="Nanoservices"/>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3"/>
    <s v="precedes"/>
    <s v="Dead Component"/>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4"/>
    <s v="relates"/>
    <s v="No Legacy"/>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4"/>
    <s v="follows"/>
    <s v="Nanoservices"/>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4"/>
    <s v="precedes"/>
    <s v="Dead Component"/>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5"/>
    <s v="relates"/>
    <s v="No Legacy"/>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5"/>
    <s v="follows"/>
    <s v="Nanoservices"/>
  </r>
  <r>
    <x v="47"/>
    <s v="antiPatterns"/>
    <x v="47"/>
    <s v="Product-Dependent Architecture"/>
    <x v="47"/>
    <x v="43"/>
    <s v="ArchiMate has no clear distinction between external and internal services. Hence, it is reasonable to presume that a property or element's designation should indicate the service as an external offering from a vendor. Therefore, we can assume a property or element's name specifying the service as an external service or a product some vendor offers. If such an external service does not have an interface as an isolation layer, then the model could suffer from Vendor Lock-In EA Smell."/>
    <x v="40"/>
    <x v="32"/>
    <s v="An Isolation layer is a solution to avoid such a strong coupling between the product and vendor's implementation."/>
    <s v=""/>
    <s v="MATCH p = (n) &lt;br /&gt; WHERE n.name in $external &lt;br /&gt; AND NOT EXISTS{ &lt;br /&gt;  (n)--(i) where toLower(i.ClassName) contains toLower('interface') &lt;br /&gt; } &lt;br /&gt; RETURN p &lt;br /&gt; UNION &lt;br /&gt;MATCH p = (n) &lt;br /&gt; WHERE ANY (x in keys(n) WHERE n[x] IN $vendors OR toLower(x) IN $external) &lt;br /&gt; AND NOT EXISTS{ &lt;br /&gt;  (n)--(i) where toLower(i.ClassName) contains toLower('interface') &lt;br /&gt; } &lt;br /&gt; RETURN p"/>
    <s v="MATCH (n) &lt;br /&gt; WHERE ANY (x in keys(n) WHERE n[x] IN $vendors OR toLower(x) IN $external) &lt;br /&gt; AND NOT EXISTS{ &lt;br /&gt;  (n)--(i) where toLower(i.ClassName) contains toLower('interface') &lt;br /&gt; } &lt;br /&gt; RETURN count(DISTINCT n)"/>
    <m/>
    <s v="./assets/vendor_lockin.JPG"/>
    <s v="vendors"/>
    <s v="list"/>
    <s v="[List]"/>
    <s v="Vendors' name(s)."/>
    <x v="5"/>
    <s v="precedes"/>
    <s v="Dead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1"/>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1"/>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1"/>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1"/>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0"/>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0"/>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0"/>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0"/>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3"/>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3"/>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3"/>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3"/>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4"/>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4"/>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4"/>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4"/>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7"/>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7"/>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7"/>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7"/>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6"/>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6"/>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6"/>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6"/>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8"/>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8"/>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8"/>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inLevel"/>
    <s v="number"/>
    <n v="4"/>
    <s v="The minimum length that the query considers for detecting a message chain."/>
    <x v="8"/>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1"/>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1"/>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1"/>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1"/>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0"/>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0"/>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0"/>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0"/>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3"/>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3"/>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3"/>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3"/>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4"/>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4"/>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4"/>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4"/>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7"/>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7"/>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7"/>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7"/>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6"/>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6"/>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6"/>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6"/>
    <s v="relates"/>
    <s v="Cyclic Dependency"/>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8"/>
    <s v="relates"/>
    <s v="Chatty Service"/>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8"/>
    <s v="precedes"/>
    <s v="Wrong Cuts"/>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8"/>
    <s v="relates"/>
    <s v="Lazy Component"/>
  </r>
  <r>
    <x v="48"/>
    <s v="antiPatterns"/>
    <x v="48"/>
    <s v="Service Chain"/>
    <x v="48"/>
    <x v="44"/>
    <s v="Restricted to Service Chains: a transitive Service Chain with at least four relations exists."/>
    <x v="41"/>
    <x v="33"/>
    <s v="The first resolution is to create the services architecture independently of the process map. This will provide a structure for breaking down processes and creating a clear hierarchy of use. Next, this service architecture should be compared with the process map to understand where the cuts should be made. The current system can then be incrementally refactored to create a more service-oriented solution by attacking major inflexibilities in the system."/>
    <s v="Services are called one after the other in a chain."/>
    <s v="MATCH (m) where toLower(m.ClassName) CONTAINS 'service' &lt;br /&gt; CALL apoc.path.expand(m, 'TriggeringRelationship&gt;|FlowRelationship&gt;|AssociationRelationship&gt;|AssignmentRelationship&gt;', '+BusinessService|+ApplicationService|+TechnlogyService', $minLevel, $maxLevel)  &lt;br /&gt; Yield path as p&lt;br /&gt; return p"/>
    <s v="MATCH (m) where toLower(m.ClassName) CONTAINS 'service' &lt;br /&gt; CALL apoc.path.expand(m, 'TriggeringRelationship&gt;|FlowRelationship&gt;|AssociationRelationship&gt;|AssignmentRelationship&gt;', '+BusinessService|+ApplicationService|+TechnlogyService', $minLevel, $maxLevel)  &lt;br /&gt; Yield path as p &lt;br /&gt; return count (DISTINCT m)"/>
    <m/>
    <s v="./assets/message_chain.JPG"/>
    <s v="maxLevel"/>
    <s v="number"/>
    <n v="10"/>
    <s v="The maximum length that the query considers for detecting a message chain."/>
    <x v="8"/>
    <s v="relates"/>
    <s v="Cyclic Dependency"/>
  </r>
  <r>
    <x v="49"/>
    <s v="antiPatterns"/>
    <x v="49"/>
    <m/>
    <x v="49"/>
    <x v="45"/>
    <s v=" We can detect the &quot;Missing Negative Case&quot; EA Smell in the ArchiMate analogous to BPM by looking for elements with positive phrases without having the corresponding negative case in the model."/>
    <x v="42"/>
    <x v="3"/>
    <s v="The EA process should be enhanced with more process paths that lead to different outcomes."/>
    <s v=" There is an element &quot;Product ordered successfully,&quot; but no corresponding element, that addresses the opposing case."/>
    <s v="MATCH p=(m)&lt;-[r:TriggeringRelationship|FlowRelationship]-(j) &lt;br /&gt; WHERE any (name in $positivePhrases &lt;br /&gt; where toLower(m.name) CONTAINS toLower(name)) &lt;br /&gt; AND not EXISTS ((m)&lt;--(:Junction {type: &quot;or&quot;})) &lt;br /&gt; RETURN p &lt;br /&gt; UNION &lt;br /&gt; MATCH p= (m)&lt;-[r:TriggeringRelationship|FlowRelationship]-(j:Junction {type: &quot;or&quot;}) &lt;br /&gt; WHERE any (name in $positivePhrases where toLower(m.name) CONTAINS toLower(name)) &lt;br /&gt; WITH p, m,j &lt;br /&gt; WHERE not exists { &lt;br /&gt; MATCH (j)--&gt;(t) &lt;br /&gt; WHERE m&lt;&gt;t &lt;br /&gt; } &lt;br /&gt; RETURN p"/>
    <s v="MATCH p=(m)&lt;-[r:TriggeringRelationship|FlowRelationship]-(j) WHERE any (name in [ &quot;successfully&quot;, &quot;without errors&quot;, &quot;in Time&quot;, &quot;Develop&quot;] where toLower(m.name) CONTAINS toLower(name)) AND not EXISTS ((m)&lt;--(:Junction {type: &quot;or&quot;})) RETURN count (distinct m)"/>
    <m/>
    <s v="./assets/missing_negative_case.JPG"/>
    <s v="positivePhrases"/>
    <s v="list"/>
    <s v="[List]"/>
    <s v="positive phrase(s) for specifying the positive cases."/>
    <x v="11"/>
    <s v=""/>
    <s v=""/>
  </r>
  <r>
    <x v="49"/>
    <s v="antiPatterns"/>
    <x v="49"/>
    <m/>
    <x v="49"/>
    <x v="45"/>
    <s v=" We can detect the &quot;Missing Negative Case&quot; EA Smell in the ArchiMate analogous to BPM by looking for elements with positive phrases without having the corresponding negative case in the model."/>
    <x v="42"/>
    <x v="3"/>
    <s v="The EA process should be enhanced with more process paths that lead to different outcomes."/>
    <s v=" There is an element &quot;Product ordered successfully,&quot; but no corresponding element, that addresses the opposing case."/>
    <s v="MATCH p=(m)&lt;-[r:TriggeringRelationship|FlowRelationship]-(j) &lt;br /&gt; WHERE any (name in $positivePhrases &lt;br /&gt; where toLower(m.name) CONTAINS toLower(name)) &lt;br /&gt; AND not EXISTS ((m)&lt;--(:Junction {type: &quot;or&quot;})) &lt;br /&gt; RETURN p &lt;br /&gt; UNION &lt;br /&gt; MATCH p= (m)&lt;-[r:TriggeringRelationship|FlowRelationship]-(j:Junction {type: &quot;or&quot;}) &lt;br /&gt; WHERE any (name in $positivePhrases where toLower(m.name) CONTAINS toLower(name)) &lt;br /&gt; WITH p, m,j &lt;br /&gt; WHERE not exists { &lt;br /&gt; MATCH (j)--&gt;(t) &lt;br /&gt; WHERE m&lt;&gt;t &lt;br /&gt; } &lt;br /&gt; RETURN p"/>
    <s v="MATCH p=(m)&lt;-[r:TriggeringRelationship|FlowRelationship]-(j) WHERE any (name in [ &quot;successfully&quot;, &quot;without errors&quot;, &quot;in Time&quot;, &quot;Develop&quot;] where toLower(m.name) CONTAINS toLower(name)) AND not EXISTS ((m)&lt;--(:Junction {type: &quot;or&quot;})) RETURN count (distinct m)"/>
    <m/>
    <s v="./assets/missing_negative_case.JPG"/>
    <s v="positivePhrases"/>
    <s v="list"/>
    <s v="[List]"/>
    <s v="positive phrase(s) for specifying the positive cases."/>
    <x v="12"/>
    <s v=""/>
    <s v=""/>
  </r>
  <r>
    <x v="50"/>
    <s v="antiPatterns"/>
    <x v="50"/>
    <s v=""/>
    <x v="50"/>
    <x v="33"/>
    <s v="A junction's name must contain &quot;junction&quot; or should not have a name. Otherwise, it is a Smell candidate.. Otherwise, it is a Smell candidate."/>
    <x v="43"/>
    <x v="3"/>
    <s v="The junction should not be named, except for referencing."/>
    <s v=""/>
    <s v="MATCH p=(n:Junction) &lt;br /&gt; WHERE NOT isEmpty(n.name) AND NOT tolower(n.name) CONTAINS &quot;junction&quot; &lt;br /&gt; RETURN p"/>
    <s v="MATCH (n:Junction) WHERE NOT isEmpty(n.name) AND NOT tolower(n.name) CONTAINS 'junction' RETURN count (distinct n)"/>
    <m/>
    <s v="./assets/junction_as_name.JPG"/>
    <m/>
    <m/>
    <m/>
    <m/>
    <x v="11"/>
    <s v=""/>
    <s v=""/>
  </r>
  <r>
    <x v="50"/>
    <s v="antiPatterns"/>
    <x v="50"/>
    <s v=""/>
    <x v="50"/>
    <x v="33"/>
    <s v="A junction's name must contain &quot;junction&quot; or should not have a name. Otherwise, it is a Smell candidate.. Otherwise, it is a Smell candidate."/>
    <x v="43"/>
    <x v="3"/>
    <s v="The junction should not be named, except for referencing."/>
    <s v=""/>
    <s v="MATCH p=(n:Junction) &lt;br /&gt; WHERE NOT isEmpty(n.name) AND NOT tolower(n.name) CONTAINS &quot;junction&quot; &lt;br /&gt; RETURN p"/>
    <s v="MATCH (n:Junction) WHERE NOT isEmpty(n.name) AND NOT tolower(n.name) CONTAINS 'junction' RETURN count (distinct n)"/>
    <m/>
    <s v="./assets/junction_as_name.JPG"/>
    <m/>
    <m/>
    <m/>
    <m/>
    <x v="12"/>
    <s v=""/>
    <s v=""/>
  </r>
  <r>
    <x v="51"/>
    <s v="antiPatterns"/>
    <x v="51"/>
    <s v=""/>
    <x v="51"/>
    <x v="46"/>
    <s v="We consider process chains that have no event element at the beginning of the chain."/>
    <x v="44"/>
    <x v="3"/>
    <s v="A starting event should be added. In a simple EA process model, it is not required."/>
    <s v="The Business Process &quot;Receive Order&quot; is not triggered by an event"/>
    <s v="MATCH (startNode:BusinessProcess|ApplicationProcess|TechnologyProcess) &lt;br /&gt; WHERE NOT EXISTS((startNode)&lt;--()) &lt;br /&gt; MATCH (endNode:BusinessProcess|ApplicationProcess|TechnologyProcess) &lt;br /&gt; CALL apoc.path.expandConfig(startNode,{relationshipFilter:&quot;TriggeringRelationship&gt;|FlowRelationship&gt;|AssociationRelationship&gt;&quot;, &lt;br /&gt; minLevel: $minLevel, &lt;br /&gt; maxLevel: $maxLevel, &lt;br /&gt; endNode: endNode &lt;br /&gt; })  &lt;br /&gt; YIELD path AS p &lt;br /&gt; RETURN p"/>
    <s v="MATCH (startNode:BusinessProcess|ApplicationProcess|TechnologyProcess) &lt;br /&gt; WHERE NOT EXISTS((startNode)&lt;--()) &lt;br /&gt; MATCH (endNode:BusinessProcess|ApplicationProcess|TechnologyProcess) &lt;br /&gt; CALL apoc.path.expandConfig(startNode,{relationshipFilter:&quot;TriggeringRelationship&gt;|FlowRelationship&gt;|AssociationRelationship&gt;&quot;, &lt;br /&gt; minLevel: $minLevel, &lt;br /&gt; maxLevel: $maxLevel, &lt;br /&gt; endNode: endNode &lt;br /&gt; })  &lt;br /&gt; YIELD path AS p &lt;br /&gt; RETURN count (DISTINCT startNode)"/>
    <m/>
    <s v="./assets/no_end_event.JPG"/>
    <s v="minLevel"/>
    <s v="number"/>
    <n v="5"/>
    <s v="The minimum length of the path for detection."/>
    <x v="11"/>
    <m/>
    <m/>
  </r>
  <r>
    <x v="51"/>
    <s v="antiPatterns"/>
    <x v="51"/>
    <s v=""/>
    <x v="51"/>
    <x v="46"/>
    <s v="We consider process chains that have no event element at the beginning of the chain."/>
    <x v="44"/>
    <x v="3"/>
    <s v="A starting event should be added. In a simple EA process model, it is not required."/>
    <s v="The Business Process &quot;Receive Order&quot; is not triggered by an event"/>
    <s v="MATCH (startNode:BusinessProcess|ApplicationProcess|TechnologyProcess) &lt;br /&gt; WHERE NOT EXISTS((startNode)&lt;--()) &lt;br /&gt; MATCH (endNode:BusinessProcess|ApplicationProcess|TechnologyProcess) &lt;br /&gt; CALL apoc.path.expandConfig(startNode,{relationshipFilter:&quot;TriggeringRelationship&gt;|FlowRelationship&gt;|AssociationRelationship&gt;&quot;, &lt;br /&gt; minLevel: $minLevel, &lt;br /&gt; maxLevel: $maxLevel, &lt;br /&gt; endNode: endNode &lt;br /&gt; })  &lt;br /&gt; YIELD path AS p &lt;br /&gt; RETURN p"/>
    <s v="MATCH (startNode:BusinessProcess|ApplicationProcess|TechnologyProcess) &lt;br /&gt; WHERE NOT EXISTS((startNode)&lt;--()) &lt;br /&gt; MATCH (endNode:BusinessProcess|ApplicationProcess|TechnologyProcess) &lt;br /&gt; CALL apoc.path.expandConfig(startNode,{relationshipFilter:&quot;TriggeringRelationship&gt;|FlowRelationship&gt;|AssociationRelationship&gt;&quot;, &lt;br /&gt; minLevel: $minLevel, &lt;br /&gt; maxLevel: $maxLevel, &lt;br /&gt; endNode: endNode &lt;br /&gt; })  &lt;br /&gt; YIELD path AS p &lt;br /&gt; RETURN count (DISTINCT startNode)"/>
    <m/>
    <s v="./assets/no_end_event.JPG"/>
    <s v="minLevel"/>
    <s v="number"/>
    <n v="5"/>
    <s v="The minimum length of the path for detection."/>
    <x v="12"/>
    <m/>
    <m/>
  </r>
  <r>
    <x v="51"/>
    <s v="antiPatterns"/>
    <x v="51"/>
    <s v=""/>
    <x v="51"/>
    <x v="46"/>
    <s v="We consider process chains that have no event element at the beginning of the chain."/>
    <x v="44"/>
    <x v="3"/>
    <s v="A starting event should be added. In a simple EA process model, it is not required."/>
    <s v="The Business Process &quot;Receive Order&quot; is not triggered by an event"/>
    <s v="MATCH (startNode:BusinessProcess|ApplicationProcess|TechnologyProcess) &lt;br /&gt; WHERE NOT EXISTS((startNode)&lt;--()) &lt;br /&gt; MATCH (endNode:BusinessProcess|ApplicationProcess|TechnologyProcess) &lt;br /&gt; CALL apoc.path.expandConfig(startNode,{relationshipFilter:&quot;TriggeringRelationship&gt;|FlowRelationship&gt;|AssociationRelationship&gt;&quot;, &lt;br /&gt; minLevel: $minLevel, &lt;br /&gt; maxLevel: $maxLevel, &lt;br /&gt; endNode: endNode &lt;br /&gt; })  &lt;br /&gt; YIELD path AS p &lt;br /&gt; RETURN p"/>
    <s v="MATCH (startNode:BusinessProcess|ApplicationProcess|TechnologyProcess) &lt;br /&gt; WHERE NOT EXISTS((startNode)&lt;--()) &lt;br /&gt; MATCH (endNode:BusinessProcess|ApplicationProcess|TechnologyProcess) &lt;br /&gt; CALL apoc.path.expandConfig(startNode,{relationshipFilter:&quot;TriggeringRelationship&gt;|FlowRelationship&gt;|AssociationRelationship&gt;&quot;, &lt;br /&gt; minLevel: $minLevel, &lt;br /&gt; maxLevel: $maxLevel, &lt;br /&gt; endNode: endNode &lt;br /&gt; })  &lt;br /&gt; YIELD path AS p &lt;br /&gt; RETURN count (DISTINCT startNode)"/>
    <m/>
    <s v="./assets/no_end_event.JPG"/>
    <s v="maxLevel"/>
    <s v="number"/>
    <n v="20"/>
    <s v="The maximum length of the path for detection."/>
    <x v="11"/>
    <m/>
    <m/>
  </r>
  <r>
    <x v="51"/>
    <s v="antiPatterns"/>
    <x v="51"/>
    <s v=""/>
    <x v="51"/>
    <x v="46"/>
    <s v="We consider process chains that have no event element at the beginning of the chain."/>
    <x v="44"/>
    <x v="3"/>
    <s v="A starting event should be added. In a simple EA process model, it is not required."/>
    <s v="The Business Process &quot;Receive Order&quot; is not triggered by an event"/>
    <s v="MATCH (startNode:BusinessProcess|ApplicationProcess|TechnologyProcess) &lt;br /&gt; WHERE NOT EXISTS((startNode)&lt;--()) &lt;br /&gt; MATCH (endNode:BusinessProcess|ApplicationProcess|TechnologyProcess) &lt;br /&gt; CALL apoc.path.expandConfig(startNode,{relationshipFilter:&quot;TriggeringRelationship&gt;|FlowRelationship&gt;|AssociationRelationship&gt;&quot;, &lt;br /&gt; minLevel: $minLevel, &lt;br /&gt; maxLevel: $maxLevel, &lt;br /&gt; endNode: endNode &lt;br /&gt; })  &lt;br /&gt; YIELD path AS p &lt;br /&gt; RETURN p"/>
    <s v="MATCH (startNode:BusinessProcess|ApplicationProcess|TechnologyProcess) &lt;br /&gt; WHERE NOT EXISTS((startNode)&lt;--()) &lt;br /&gt; MATCH (endNode:BusinessProcess|ApplicationProcess|TechnologyProcess) &lt;br /&gt; CALL apoc.path.expandConfig(startNode,{relationshipFilter:&quot;TriggeringRelationship&gt;|FlowRelationship&gt;|AssociationRelationship&gt;&quot;, &lt;br /&gt; minLevel: $minLevel, &lt;br /&gt; maxLevel: $maxLevel, &lt;br /&gt; endNode: endNode &lt;br /&gt; })  &lt;br /&gt; YIELD path AS p &lt;br /&gt; RETURN count (DISTINCT startNode)"/>
    <m/>
    <s v="./assets/no_end_event.JPG"/>
    <s v="maxLevel"/>
    <s v="number"/>
    <n v="20"/>
    <s v="The maximum length of the path for detection."/>
    <x v="12"/>
    <m/>
    <m/>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1"/>
    <s v="relates"/>
    <s v="Multifaceted Abstraction"/>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1"/>
    <s v="relates"/>
    <s v="Feature Envy"/>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1"/>
    <s v="relates"/>
    <s v="Lazy Component"/>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0"/>
    <s v="relates"/>
    <s v="Multifaceted Abstraction"/>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0"/>
    <s v="relates"/>
    <s v="Feature Envy"/>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0"/>
    <s v="relates"/>
    <s v="Lazy Component"/>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2"/>
    <s v="relates"/>
    <s v="Multifaceted Abstraction"/>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2"/>
    <s v="relates"/>
    <s v="Feature Envy"/>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2"/>
    <s v="relates"/>
    <s v="Lazy Component"/>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3"/>
    <s v="relates"/>
    <s v="Multifaceted Abstraction"/>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3"/>
    <s v="relates"/>
    <s v="Feature Envy"/>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3"/>
    <s v="relates"/>
    <s v="Lazy Component"/>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4"/>
    <s v="relates"/>
    <s v="Multifaceted Abstraction"/>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4"/>
    <s v="relates"/>
    <s v="Feature Envy"/>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4"/>
    <s v="relates"/>
    <s v="Lazy Component"/>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14"/>
    <s v="relates"/>
    <s v="Multifaceted Abstraction"/>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14"/>
    <s v="relates"/>
    <s v="Feature Envy"/>
  </r>
  <r>
    <x v="52"/>
    <s v="antiPatterns"/>
    <x v="52"/>
    <s v=""/>
    <x v="52"/>
    <x v="47"/>
    <s v=""/>
    <x v="45"/>
    <x v="34"/>
    <s v="Extract the interaction-related functionality into a separate connector service."/>
    <s v="Service A implements communication and facilitation services. It also makes use of a communication component, which means that it manages networking facilities for remote communication. But the delivery and routing services handled by the remote communication are a type of facilitation service "/>
    <m/>
    <m/>
    <m/>
    <m/>
    <m/>
    <m/>
    <m/>
    <m/>
    <x v="14"/>
    <s v="relates"/>
    <s v="Lazy Component"/>
  </r>
  <r>
    <x v="53"/>
    <s v="antiPatterns"/>
    <x v="53"/>
    <s v=""/>
    <x v="53"/>
    <x v="48"/>
    <s v="For detection in ArchiMate, we looking at elements with an &quot;AND&quot; between two or more verbs."/>
    <x v="46"/>
    <x v="3"/>
    <s v="The element should be split up."/>
    <s v="Consider an element with name &quot;Update account and pay for the services&quot;. It is unclear if the updating account happens before paying for the services or if both should be executed in parallel."/>
    <s v="MATCH p = (a)--&gt;(b) &lt;br /&gt; WHERE toLower(a.name) contains toLower(&quot; and &quot;) &lt;br /&gt; RETURN p"/>
    <s v="MATCH p = (a)--&gt;(b) WHERE toLower(a.name) contains toLower(&quot; and &quot;) RETURN count (distinct a)"/>
    <m/>
    <s v="./assets/and_between_elems.JPG"/>
    <m/>
    <m/>
    <m/>
    <m/>
    <x v="11"/>
    <m/>
    <m/>
  </r>
  <r>
    <x v="53"/>
    <s v="antiPatterns"/>
    <x v="53"/>
    <s v=""/>
    <x v="53"/>
    <x v="48"/>
    <s v="For detection in ArchiMate, we looking at elements with an &quot;AND&quot; between two or more verbs."/>
    <x v="46"/>
    <x v="3"/>
    <s v="The element should be split up."/>
    <s v="Consider an element with name &quot;Update account and pay for the services&quot;. It is unclear if the updating account happens before paying for the services or if both should be executed in parallel."/>
    <s v="MATCH p = (a)--&gt;(b) &lt;br /&gt; WHERE toLower(a.name) contains toLower(&quot; and &quot;) &lt;br /&gt; RETURN p"/>
    <s v="MATCH p = (a)--&gt;(b) WHERE toLower(a.name) contains toLower(&quot; and &quot;) RETURN count (distinct a)"/>
    <m/>
    <s v="./assets/and_between_elems.JPG"/>
    <m/>
    <m/>
    <m/>
    <m/>
    <x v="12"/>
    <m/>
    <m/>
  </r>
  <r>
    <x v="54"/>
    <s v="antiPatterns"/>
    <x v="54"/>
    <s v=""/>
    <x v="54"/>
    <x v="4"/>
    <s v=""/>
    <x v="47"/>
    <x v="3"/>
    <s v=""/>
    <s v=""/>
    <m/>
    <m/>
    <s v=""/>
    <m/>
    <m/>
    <m/>
    <m/>
    <m/>
    <x v="18"/>
    <s v=""/>
    <s v=""/>
  </r>
  <r>
    <x v="54"/>
    <s v="antiPatterns"/>
    <x v="54"/>
    <s v=""/>
    <x v="54"/>
    <x v="4"/>
    <s v=""/>
    <x v="47"/>
    <x v="3"/>
    <s v=""/>
    <s v=""/>
    <m/>
    <m/>
    <s v=""/>
    <m/>
    <m/>
    <m/>
    <m/>
    <m/>
    <x v="12"/>
    <s v=""/>
    <s v=""/>
  </r>
  <r>
    <x v="55"/>
    <s v="antiPatterns"/>
    <x v="55"/>
    <s v=""/>
    <x v="55"/>
    <x v="49"/>
    <s v="In the ArchiMate modeling language, we can detect this Smell by searching for components that perform many functions and communicate with various services but publish only one service exposed by an interface."/>
    <x v="48"/>
    <x v="35"/>
    <s v="This problem can be tackled by moving the always identical user modifications into the component. Otherwise, split the single generic operation into multiple more specialized operations to allow for more suitable applications."/>
    <s v="Interface with a single operation that needs further information as input in order to yield the desired result. Overgeneralization (Ambiguous Interface) appears specifically in publish-subscribe patterns. In ArchiMate, detecting this Smell involves identifying components that perform numerous functions and interact with various services but expose only one service through an interface."/>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p"/>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count (distinct c)"/>
    <m/>
    <s v="./assets/overgeneralization.JPG"/>
    <s v="functionOrServiceCnt"/>
    <s v="number"/>
    <n v="3"/>
    <s v="Permitted number of functions that performed by the overgeneralized componennt."/>
    <x v="1"/>
    <s v="relates"/>
    <s v="Bloated Service"/>
  </r>
  <r>
    <x v="55"/>
    <s v="antiPatterns"/>
    <x v="55"/>
    <s v=""/>
    <x v="55"/>
    <x v="49"/>
    <s v="In the ArchiMate modeling language, we can detect this Smell by searching for components that perform many functions and communicate with various services but publish only one service exposed by an interface."/>
    <x v="48"/>
    <x v="35"/>
    <s v="This problem can be tackled by moving the always identical user modifications into the component. Otherwise, split the single generic operation into multiple more specialized operations to allow for more suitable applications."/>
    <s v="Interface with a single operation that needs further information as input in order to yield the desired result. Overgeneralization (Ambiguous Interface) appears specifically in publish-subscribe patterns. In ArchiMate, detecting this Smell involves identifying components that perform numerous functions and interact with various services but expose only one service through an interface."/>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p"/>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count (distinct c)"/>
    <m/>
    <s v="./assets/overgeneralization.JPG"/>
    <s v="functionOrServiceCnt"/>
    <s v="number"/>
    <n v="3"/>
    <s v="Permitted number of functions that performed by the overgeneralized componennt."/>
    <x v="0"/>
    <s v="relates"/>
    <s v="Bloated Service"/>
  </r>
  <r>
    <x v="55"/>
    <s v="antiPatterns"/>
    <x v="55"/>
    <s v=""/>
    <x v="55"/>
    <x v="49"/>
    <s v="In the ArchiMate modeling language, we can detect this Smell by searching for components that perform many functions and communicate with various services but publish only one service exposed by an interface."/>
    <x v="48"/>
    <x v="35"/>
    <s v="This problem can be tackled by moving the always identical user modifications into the component. Otherwise, split the single generic operation into multiple more specialized operations to allow for more suitable applications."/>
    <s v="Interface with a single operation that needs further information as input in order to yield the desired result. Overgeneralization (Ambiguous Interface) appears specifically in publish-subscribe patterns. In ArchiMate, detecting this Smell involves identifying components that perform numerous functions and interact with various services but expose only one service through an interface."/>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p"/>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count (distinct c)"/>
    <m/>
    <s v="./assets/overgeneralization.JPG"/>
    <s v="functionOrServiceCnt"/>
    <s v="number"/>
    <n v="3"/>
    <s v="Permitted number of functions that performed by the overgeneralized componennt."/>
    <x v="2"/>
    <s v="relates"/>
    <s v="Bloated Service"/>
  </r>
  <r>
    <x v="55"/>
    <s v="antiPatterns"/>
    <x v="55"/>
    <s v=""/>
    <x v="55"/>
    <x v="49"/>
    <s v="In the ArchiMate modeling language, we can detect this Smell by searching for components that perform many functions and communicate with various services but publish only one service exposed by an interface."/>
    <x v="48"/>
    <x v="35"/>
    <s v="This problem can be tackled by moving the always identical user modifications into the component. Otherwise, split the single generic operation into multiple more specialized operations to allow for more suitable applications."/>
    <s v="Interface with a single operation that needs further information as input in order to yield the desired result. Overgeneralization (Ambiguous Interface) appears specifically in publish-subscribe patterns. In ArchiMate, detecting this Smell involves identifying components that perform numerous functions and interact with various services but expose only one service through an interface."/>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p"/>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count (distinct c)"/>
    <m/>
    <s v="./assets/overgeneralization.JPG"/>
    <s v="functionOrServiceCnt"/>
    <s v="number"/>
    <n v="3"/>
    <s v="Permitted number of functions that performed by the overgeneralized componennt."/>
    <x v="3"/>
    <s v="relates"/>
    <s v="Bloated Service"/>
  </r>
  <r>
    <x v="55"/>
    <s v="antiPatterns"/>
    <x v="55"/>
    <s v=""/>
    <x v="55"/>
    <x v="49"/>
    <s v="In the ArchiMate modeling language, we can detect this Smell by searching for components that perform many functions and communicate with various services but publish only one service exposed by an interface."/>
    <x v="48"/>
    <x v="35"/>
    <s v="This problem can be tackled by moving the always identical user modifications into the component. Otherwise, split the single generic operation into multiple more specialized operations to allow for more suitable applications."/>
    <s v="Interface with a single operation that needs further information as input in order to yield the desired result. Overgeneralization (Ambiguous Interface) appears specifically in publish-subscribe patterns. In ArchiMate, detecting this Smell involves identifying components that perform numerous functions and interact with various services but expose only one service through an interface."/>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p"/>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count (distinct c)"/>
    <m/>
    <s v="./assets/overgeneralization.JPG"/>
    <s v="functionOrServiceCnt"/>
    <s v="number"/>
    <n v="3"/>
    <s v="Permitted number of functions that performed by the overgeneralized componennt."/>
    <x v="4"/>
    <s v="relates"/>
    <s v="Bloated Service"/>
  </r>
  <r>
    <x v="55"/>
    <s v="antiPatterns"/>
    <x v="55"/>
    <s v=""/>
    <x v="55"/>
    <x v="49"/>
    <s v="In the ArchiMate modeling language, we can detect this Smell by searching for components that perform many functions and communicate with various services but publish only one service exposed by an interface."/>
    <x v="48"/>
    <x v="35"/>
    <s v="This problem can be tackled by moving the always identical user modifications into the component. Otherwise, split the single generic operation into multiple more specialized operations to allow for more suitable applications."/>
    <s v="Interface with a single operation that needs further information as input in order to yield the desired result. Overgeneralization (Ambiguous Interface) appears specifically in publish-subscribe patterns. In ArchiMate, detecting this Smell involves identifying components that perform numerous functions and interact with various services but expose only one service through an interface."/>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p"/>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count (distinct c)"/>
    <m/>
    <s v="./assets/overgeneralization.JPG"/>
    <s v="functionOrServiceCnt"/>
    <s v="number"/>
    <n v="3"/>
    <s v="Permitted number of functions that performed by the overgeneralized componennt."/>
    <x v="20"/>
    <s v="relates"/>
    <s v="Bloated Service"/>
  </r>
  <r>
    <x v="55"/>
    <s v="antiPatterns"/>
    <x v="55"/>
    <s v=""/>
    <x v="55"/>
    <x v="49"/>
    <s v="In the ArchiMate modeling language, we can detect this Smell by searching for components that perform many functions and communicate with various services but publish only one service exposed by an interface."/>
    <x v="48"/>
    <x v="35"/>
    <s v="This problem can be tackled by moving the always identical user modifications into the component. Otherwise, split the single generic operation into multiple more specialized operations to allow for more suitable applications."/>
    <s v="Interface with a single operation that needs further information as input in order to yield the desired result. Overgeneralization (Ambiguous Interface) appears specifically in publish-subscribe patterns. In ArchiMate, detecting this Smell involves identifying components that perform numerous functions and interact with various services but expose only one service through an interface."/>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p"/>
    <s v="MATCH (i)-[r1:CompositionRelationship]-(c) &lt;br /&gt; MATCH (c)-[r2:RealizationRelationship]-(s) &lt;br /&gt; WITH c, COUNT(s) AS exposedServiceCnt, COUNT(i) AS interfaceCnt &lt;br /&gt; WHERE exposedServiceCnt=1 AND interfaceCnt=1 &lt;br /&gt; MATCH (c)-[r:AssociationRelationship|AssignmentRelationship]-(f) &lt;br /&gt; WITH c, COUNT (f) AS functionOrServiceCnt &lt;br /&gt; where functionOrServiceCnt &gt; $functionOrServiceCnt &lt;br /&gt; MATCH p = (c)-[r:AssociationRelationship|AssignmentRelationship|RealizationRelationship|CompositionRelationship]-(f) &lt;br /&gt; RETURN count (distinct c)"/>
    <m/>
    <s v="./assets/overgeneralization.JPG"/>
    <s v="functionOrServiceCnt"/>
    <s v="number"/>
    <n v="3"/>
    <s v="Permitted number of functions that performed by the overgeneralized componennt."/>
    <x v="21"/>
    <s v="relates"/>
    <s v="Bloated Service"/>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0"/>
    <s v="relates"/>
    <s v="Hub-like Modularization"/>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0"/>
    <s v="relates"/>
    <s v="Weakened Modularity"/>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1"/>
    <s v="relates"/>
    <s v="Hub-like Modularization"/>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1"/>
    <s v="relates"/>
    <s v="Weakened Modularity"/>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2"/>
    <s v="relates"/>
    <s v="Hub-like Modularization"/>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2"/>
    <s v="relates"/>
    <s v="Weakened Modularity"/>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3"/>
    <s v="relates"/>
    <s v="Hub-like Modularization"/>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3"/>
    <s v="relates"/>
    <s v="Weakened Modularity"/>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4"/>
    <s v="relates"/>
    <s v="Hub-like Modularization"/>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4"/>
    <s v="relates"/>
    <s v="Weakened Modularity"/>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6"/>
    <s v="relates"/>
    <s v="Hub-like Modularization"/>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6"/>
    <s v="relates"/>
    <s v="Weakened Modularity"/>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7"/>
    <s v="relates"/>
    <s v="Hub-like Modularization"/>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7"/>
    <s v="relates"/>
    <s v="Weakened Modularity"/>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8"/>
    <s v="relates"/>
    <s v="Hub-like Modularization"/>
  </r>
  <r>
    <x v="56"/>
    <s v="antiPatterns"/>
    <x v="56"/>
    <s v=""/>
    <x v="56"/>
    <x v="50"/>
    <s v="We prepare a graph for each repository to detect the smell. Each component is treated as a node and any reference from the component to another component is treated as an edge. We then compute the average degree of the graph (|E|/|V|). By default a graph with more than 1.75 average degree suffers from this smell but the user can also set a higher/lower average degree. (One could also test the clustering coefficient)"/>
    <x v="49"/>
    <x v="36"/>
    <s v="Extensive restructuring and rethinking of the architecture is needed, if the problems get noticeable."/>
    <s v=""/>
    <s v="MATCH (p) &lt;br /&gt; WITH  avg(apoc.node.degree(p)) as degree &lt;br /&gt; WHERE degree &gt; $degree &lt;br /&gt; MATCH p = (a)--(b) &lt;br /&gt; RETURN p"/>
    <m/>
    <m/>
    <m/>
    <s v="degree"/>
    <s v="number"/>
    <n v="1.8"/>
    <s v="Degree of density."/>
    <x v="8"/>
    <s v="relates"/>
    <s v="Weakened Modularity"/>
  </r>
  <r>
    <x v="57"/>
    <s v="antiPatterns"/>
    <x v="57"/>
    <s v="Decomposition"/>
    <x v="57"/>
    <x v="51"/>
    <m/>
    <x v="50"/>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The &quot;Business Process k&quot; accesses the data source to retrieve the data x, but the data is deleted several steps earlier by &quot;Business Process i.&quot;"/>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startNode)"/>
    <m/>
    <s v="./assets/missing_data.JPG"/>
    <s v="delete"/>
    <s v="string"/>
    <s v="delete"/>
    <s v="Property that specifies the deletion of certain data."/>
    <x v="22"/>
    <m/>
    <m/>
  </r>
  <r>
    <x v="57"/>
    <s v="antiPatterns"/>
    <x v="57"/>
    <s v="Decomposition"/>
    <x v="57"/>
    <x v="51"/>
    <m/>
    <x v="50"/>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The &quot;Business Process k&quot; accesses the data source to retrieve the data x, but the data is deleted several steps earlier by &quot;Business Process i.&quot;"/>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startNode)"/>
    <m/>
    <s v="./assets/missing_data.JPG"/>
    <s v="delete"/>
    <s v="string"/>
    <s v="delete"/>
    <s v="Property that specifies the deletion of certain data."/>
    <x v="12"/>
    <m/>
    <m/>
  </r>
  <r>
    <x v="57"/>
    <s v="antiPatterns"/>
    <x v="57"/>
    <s v="Decomposition"/>
    <x v="57"/>
    <x v="51"/>
    <m/>
    <x v="50"/>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The &quot;Business Process k&quot; accesses the data source to retrieve the data x, but the data is deleted several steps earlier by &quot;Business Process i.&quot;"/>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startNode)"/>
    <m/>
    <s v="./assets/missing_data.JPG"/>
    <s v="read"/>
    <s v="string"/>
    <s v="read"/>
    <s v="Property that specifies the retrieval of certain data."/>
    <x v="22"/>
    <m/>
    <m/>
  </r>
  <r>
    <x v="57"/>
    <s v="antiPatterns"/>
    <x v="57"/>
    <s v="Decomposition"/>
    <x v="57"/>
    <x v="51"/>
    <m/>
    <x v="50"/>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The &quot;Business Process k&quot; accesses the data source to retrieve the data x, but the data is deleted several steps earlier by &quot;Business Process i.&quot;"/>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startNode)"/>
    <m/>
    <s v="./assets/missing_data.JPG"/>
    <s v="read"/>
    <s v="string"/>
    <s v="read"/>
    <s v="Property that specifies the retrieval of certain data."/>
    <x v="12"/>
    <m/>
    <m/>
  </r>
  <r>
    <x v="57"/>
    <s v="antiPatterns"/>
    <x v="57"/>
    <s v="Decomposition"/>
    <x v="57"/>
    <x v="51"/>
    <m/>
    <x v="50"/>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The &quot;Business Process k&quot; accesses the data source to retrieve the data x, but the data is deleted several steps earlier by &quot;Business Process i.&quot;"/>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startNode)"/>
    <m/>
    <s v="./assets/missing_data.JPG"/>
    <s v="minLevel"/>
    <s v="number"/>
    <n v="2"/>
    <s v="The minimum length of the path for detection."/>
    <x v="22"/>
    <m/>
    <m/>
  </r>
  <r>
    <x v="57"/>
    <s v="antiPatterns"/>
    <x v="57"/>
    <s v="Decomposition"/>
    <x v="57"/>
    <x v="51"/>
    <m/>
    <x v="50"/>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The &quot;Business Process k&quot; accesses the data source to retrieve the data x, but the data is deleted several steps earlier by &quot;Business Process i.&quot;"/>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startNode)"/>
    <m/>
    <s v="./assets/missing_data.JPG"/>
    <s v="minLevel"/>
    <s v="number"/>
    <n v="2"/>
    <s v="The minimum length of the path for detection."/>
    <x v="12"/>
    <m/>
    <m/>
  </r>
  <r>
    <x v="57"/>
    <s v="antiPatterns"/>
    <x v="57"/>
    <s v="Decomposition"/>
    <x v="57"/>
    <x v="51"/>
    <m/>
    <x v="50"/>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The &quot;Business Process k&quot; accesses the data source to retrieve the data x, but the data is deleted several steps earlier by &quot;Business Process i.&quot;"/>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startNode)"/>
    <m/>
    <s v="./assets/missing_data.JPG"/>
    <s v="maxLevel"/>
    <s v="number"/>
    <n v="5"/>
    <s v="The maximum length of the path for detection."/>
    <x v="22"/>
    <m/>
    <m/>
  </r>
  <r>
    <x v="57"/>
    <s v="antiPatterns"/>
    <x v="57"/>
    <s v="Decomposition"/>
    <x v="57"/>
    <x v="51"/>
    <m/>
    <x v="50"/>
    <x v="6"/>
    <s v="If the component has a single responsibility, try to better model it as part of an existing component. Frequently, components designed as helper elements to another components are better off being combined into the base component they assist. Attempt to logically combine several elements into a new component that satisfies a design objective with a broader domain concept than the previous fine-grained ones."/>
    <s v="The &quot;Business Process k&quot; accesses the data source to retrieve the data x, but the data is deleted several steps earlier by &quot;Business Process i.&quot;"/>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 where any (x in keys(startNode) where x in [$delete]) &lt;br /&gt; WITH  startNode &lt;br /&gt; MATCH (endNode:BusinessProcess) &lt;br /&gt; WHERE ANY ( x in keys(endNode) where x in [$read]) and startNode[$delete] = endNode[$read] WITH startNode, endNode&lt;br /&gt; WITH startNode, endNode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startNode)"/>
    <m/>
    <s v="./assets/missing_data.JPG"/>
    <s v="maxLevel"/>
    <s v="number"/>
    <n v="5"/>
    <s v="The maximum length of the path for detection."/>
    <x v="12"/>
    <m/>
    <m/>
  </r>
  <r>
    <x v="58"/>
    <s v="antiPatterns"/>
    <x v="58"/>
    <s v="Comments"/>
    <x v="58"/>
    <x v="52"/>
    <s v="Search for quite long (default length 256) documentation belonging to one complex element or comments explaining obvious things."/>
    <x v="1"/>
    <x v="37"/>
    <s v="Refactor elements to make them self-explanatory."/>
    <s v=""/>
    <s v="MATCH p = (n)&lt;br /&gt; WHERE size(n.documentation) &gt; $docLength &lt;br /&gt; RETURN p"/>
    <s v="MATCH p = (n) WHERE size(n.documentation) &gt; $docLength  RETURN COUNT (DISTINCT n)"/>
    <m/>
    <m/>
    <s v="docLength"/>
    <s v="number"/>
    <n v="256"/>
    <s v="The character length of the documentation."/>
    <x v="2"/>
    <s v="relates"/>
    <s v="Architecture by Implication"/>
  </r>
  <r>
    <x v="58"/>
    <s v="antiPatterns"/>
    <x v="58"/>
    <s v="Comments"/>
    <x v="58"/>
    <x v="52"/>
    <s v="Search for quite long (default length 256) documentation belonging to one complex element or comments explaining obvious things."/>
    <x v="1"/>
    <x v="37"/>
    <s v="Refactor elements to make them self-explanatory."/>
    <s v=""/>
    <s v="MATCH p = (n)&lt;br /&gt; WHERE size(n.documentation) &gt; $docLength &lt;br /&gt; RETURN p"/>
    <s v="MATCH p = (n) WHERE size(n.documentation) &gt; $docLength  RETURN COUNT (DISTINCT n)"/>
    <m/>
    <m/>
    <s v="docLength"/>
    <s v="number"/>
    <n v="256"/>
    <s v="The character length of the documentation."/>
    <x v="3"/>
    <s v="relates"/>
    <s v="Architecture by Implication"/>
  </r>
  <r>
    <x v="58"/>
    <s v="antiPatterns"/>
    <x v="58"/>
    <s v="Comments"/>
    <x v="58"/>
    <x v="52"/>
    <s v="Search for quite long (default length 256) documentation belonging to one complex element or comments explaining obvious things."/>
    <x v="1"/>
    <x v="37"/>
    <s v="Refactor elements to make them self-explanatory."/>
    <s v=""/>
    <s v="MATCH p = (n)&lt;br /&gt; WHERE size(n.documentation) &gt; $docLength &lt;br /&gt; RETURN p"/>
    <s v="MATCH p = (n) WHERE size(n.documentation) &gt; $docLength  RETURN COUNT (DISTINCT n)"/>
    <m/>
    <m/>
    <s v="docLength"/>
    <s v="number"/>
    <n v="256"/>
    <s v="The character length of the documentation."/>
    <x v="4"/>
    <s v="relates"/>
    <s v="Architecture by Implication"/>
  </r>
  <r>
    <x v="58"/>
    <s v="antiPatterns"/>
    <x v="58"/>
    <s v="Comments"/>
    <x v="58"/>
    <x v="52"/>
    <s v="Search for quite long (default length 256) documentation belonging to one complex element or comments explaining obvious things."/>
    <x v="1"/>
    <x v="37"/>
    <s v="Refactor elements to make them self-explanatory."/>
    <s v=""/>
    <s v="MATCH p = (n)&lt;br /&gt; WHERE size(n.documentation) &gt; $docLength &lt;br /&gt; RETURN p"/>
    <s v="MATCH p = (n) WHERE size(n.documentation) &gt; $docLength  RETURN COUNT (DISTINCT n)"/>
    <m/>
    <m/>
    <s v="docLength"/>
    <s v="number"/>
    <n v="256"/>
    <s v="The character length of the documentation."/>
    <x v="21"/>
    <s v="relates"/>
    <s v="Architecture by Implication"/>
  </r>
  <r>
    <x v="58"/>
    <s v="antiPatterns"/>
    <x v="58"/>
    <s v="Comments"/>
    <x v="58"/>
    <x v="52"/>
    <s v="Search for quite long (default length 256) documentation belonging to one complex element or comments explaining obvious things."/>
    <x v="1"/>
    <x v="37"/>
    <s v="Refactor elements to make them self-explanatory."/>
    <s v=""/>
    <s v="MATCH p = (n)&lt;br /&gt; WHERE size(n.documentation) &gt; $docLength &lt;br /&gt; RETURN p"/>
    <s v="MATCH p = (n) WHERE size(n.documentation) &gt; $docLength  RETURN COUNT (DISTINCT n)"/>
    <m/>
    <m/>
    <s v="docLength"/>
    <s v="number"/>
    <n v="256"/>
    <s v="The character length of the documentation."/>
    <x v="17"/>
    <s v="relates"/>
    <s v="Architecture by Implication"/>
  </r>
  <r>
    <x v="58"/>
    <s v="antiPatterns"/>
    <x v="58"/>
    <s v="Comments"/>
    <x v="58"/>
    <x v="52"/>
    <s v="Search for quite long (default length 256) documentation belonging to one complex element or comments explaining obvious things."/>
    <x v="1"/>
    <x v="37"/>
    <s v="Refactor elements to make them self-explanatory."/>
    <s v=""/>
    <s v="MATCH p = (n)&lt;br /&gt; WHERE size(n.documentation) &gt; $docLength &lt;br /&gt; RETURN p"/>
    <s v="MATCH p = (n) WHERE size(n.documentation) &gt; $docLength  RETURN COUNT (DISTINCT n)"/>
    <m/>
    <m/>
    <s v="docLength"/>
    <s v="number"/>
    <n v="256"/>
    <s v="The character length of the documentation."/>
    <x v="8"/>
    <s v="relates"/>
    <s v="Architecture by Implication"/>
  </r>
  <r>
    <x v="59"/>
    <s v="antiPatterns"/>
    <x v="59"/>
    <s v=""/>
    <x v="59"/>
    <x v="53"/>
    <s v="Check whether a relationship except serving and realization exists between core layers in the ArchiMate."/>
    <x v="51"/>
    <x v="38"/>
    <s v=""/>
    <s v=""/>
    <s v="MATCH p = (a)-[r]-(b) &lt;br /&gt; WHERE a.ArchimateLayer &lt;&gt; 'null' and b.ArchimateLayer &lt;&gt; 'null' &lt;br /&gt; and a.ArchimateLayer &lt;&gt; b.ArchimateLayer &lt;br /&gt; AND NOT (r.Label = 'ServingRelationship' or r.Label ='RealizationRelationship') &lt;br /&gt; return p"/>
    <s v="MATCH p = (a)-[r]-(b)  WHERE a.ArchimateLayer &lt;&gt; 'null' and b.ArchimateLayer &lt;&gt; 'null' and a.ArchimateLayer &lt;&gt; b.ArchimateLayer AND NOT (r.Label = 'ServingRelationship' or r.Label ='RealizationRelationship') return count (Distinct a)"/>
    <m/>
    <s v="./assets/strict_layer_1.JPG"/>
    <m/>
    <m/>
    <m/>
    <m/>
    <x v="2"/>
    <s v=""/>
    <s v=""/>
  </r>
  <r>
    <x v="59"/>
    <s v="antiPatterns"/>
    <x v="59"/>
    <s v=""/>
    <x v="59"/>
    <x v="53"/>
    <s v="Check whether a relationship except serving and realization exists between core layers in the ArchiMate."/>
    <x v="51"/>
    <x v="38"/>
    <s v=""/>
    <s v=""/>
    <s v="MATCH p = (a)-[r]-(b) &lt;br /&gt; WHERE a.ArchimateLayer &lt;&gt; 'null' and b.ArchimateLayer &lt;&gt; 'null' &lt;br /&gt; and a.ArchimateLayer &lt;&gt; b.ArchimateLayer &lt;br /&gt; AND NOT (r.Label = 'ServingRelationship' or r.Label ='RealizationRelationship') &lt;br /&gt; return p"/>
    <s v="MATCH p = (a)-[r]-(b)  WHERE a.ArchimateLayer &lt;&gt; 'null' and b.ArchimateLayer &lt;&gt; 'null' and a.ArchimateLayer &lt;&gt; b.ArchimateLayer AND NOT (r.Label = 'ServingRelationship' or r.Label ='RealizationRelationship') return count (Distinct a)"/>
    <m/>
    <s v="./assets/strict_layer_1.JPG"/>
    <m/>
    <m/>
    <m/>
    <m/>
    <x v="3"/>
    <s v=""/>
    <s v=""/>
  </r>
  <r>
    <x v="59"/>
    <s v="antiPatterns"/>
    <x v="59"/>
    <s v=""/>
    <x v="59"/>
    <x v="53"/>
    <s v="Check whether a relationship except serving and realization exists between core layers in the ArchiMate."/>
    <x v="51"/>
    <x v="38"/>
    <s v=""/>
    <s v=""/>
    <s v="MATCH p = (a)-[r]-(b) &lt;br /&gt; WHERE a.ArchimateLayer &lt;&gt; 'null' and b.ArchimateLayer &lt;&gt; 'null' &lt;br /&gt; and a.ArchimateLayer &lt;&gt; b.ArchimateLayer &lt;br /&gt; AND NOT (r.Label = 'ServingRelationship' or r.Label ='RealizationRelationship') &lt;br /&gt; return p"/>
    <s v="MATCH p = (a)-[r]-(b)  WHERE a.ArchimateLayer &lt;&gt; 'null' and b.ArchimateLayer &lt;&gt; 'null' and a.ArchimateLayer &lt;&gt; b.ArchimateLayer AND NOT (r.Label = 'ServingRelationship' or r.Label ='RealizationRelationship') return count (Distinct a)"/>
    <m/>
    <s v="./assets/strict_layer_1.JPG"/>
    <m/>
    <m/>
    <m/>
    <m/>
    <x v="4"/>
    <s v=""/>
    <s v=""/>
  </r>
  <r>
    <x v="59"/>
    <s v="antiPatterns"/>
    <x v="59"/>
    <s v=""/>
    <x v="59"/>
    <x v="53"/>
    <s v="Check whether a relationship except serving and realization exists between core layers in the ArchiMate."/>
    <x v="51"/>
    <x v="38"/>
    <s v=""/>
    <s v=""/>
    <s v="MATCH p = (a)-[r]-(b) &lt;br /&gt; WHERE a.ArchimateLayer &lt;&gt; 'null' and b.ArchimateLayer &lt;&gt; 'null' &lt;br /&gt; and a.ArchimateLayer &lt;&gt; b.ArchimateLayer &lt;br /&gt; AND NOT (r.Label = 'ServingRelationship' or r.Label ='RealizationRelationship') &lt;br /&gt; return p"/>
    <s v="MATCH p = (a)-[r]-(b)  WHERE a.ArchimateLayer &lt;&gt; 'null' and b.ArchimateLayer &lt;&gt; 'null' and a.ArchimateLayer &lt;&gt; b.ArchimateLayer AND NOT (r.Label = 'ServingRelationship' or r.Label ='RealizationRelationship') return count (Distinct a)"/>
    <m/>
    <s v="./assets/strict_layer_1.JPG"/>
    <m/>
    <m/>
    <m/>
    <m/>
    <x v="6"/>
    <s v=""/>
    <s v=""/>
  </r>
  <r>
    <x v="59"/>
    <s v="antiPatterns"/>
    <x v="59"/>
    <s v=""/>
    <x v="59"/>
    <x v="53"/>
    <s v="Check whether a relationship except serving and realization exists between core layers in the ArchiMate."/>
    <x v="51"/>
    <x v="38"/>
    <s v=""/>
    <s v=""/>
    <s v="MATCH p = (a)-[r]-(b) &lt;br /&gt; WHERE a.ArchimateLayer &lt;&gt; 'null' and b.ArchimateLayer &lt;&gt; 'null' &lt;br /&gt; and a.ArchimateLayer &lt;&gt; b.ArchimateLayer &lt;br /&gt; AND NOT (r.Label = 'ServingRelationship' or r.Label ='RealizationRelationship') &lt;br /&gt; return p"/>
    <s v="MATCH p = (a)-[r]-(b)  WHERE a.ArchimateLayer &lt;&gt; 'null' and b.ArchimateLayer &lt;&gt; 'null' and a.ArchimateLayer &lt;&gt; b.ArchimateLayer AND NOT (r.Label = 'ServingRelationship' or r.Label ='RealizationRelationship') return count (Distinct a)"/>
    <m/>
    <s v="./assets/strict_layer_1.JPG"/>
    <m/>
    <m/>
    <m/>
    <m/>
    <x v="8"/>
    <s v=""/>
    <s v=""/>
  </r>
  <r>
    <x v="60"/>
    <s v="antiPatterns"/>
    <x v="60"/>
    <s v=""/>
    <x v="60"/>
    <x v="54"/>
    <s v="We consider process flows that have no event element at the end of the chain."/>
    <x v="52"/>
    <x v="3"/>
    <s v="An end event should be added. In a simple EA process model, it is not required."/>
    <s v="The &quot;Handle Decision&quot; element does not have an end event. Therefore, we can not determine whether the process terminated after this step."/>
    <s v="MATCH (startNode:BusinessProcess|ApplicationProcess|TechnologyProcess) &lt;br /&gt; MATCH (endNode:BusinessProcess|ApplicationProcess|TechnologyProcess) &lt;br /&gt; where not exists ((endNode)--&gt;())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ApplicationProcess|TechnologyProcess) &lt;br /&gt; MATCH (endNode:BusinessProcess|ApplicationProcess|TechnologyProcess) &lt;br /&gt; where not exists ((endNode)--&gt;())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endNode)"/>
    <m/>
    <s v="./assets/no_end_event.JPG"/>
    <s v="minLevel"/>
    <s v="number"/>
    <n v="5"/>
    <s v="The minimum length of the path for detection."/>
    <x v="11"/>
    <m/>
    <m/>
  </r>
  <r>
    <x v="60"/>
    <s v="antiPatterns"/>
    <x v="60"/>
    <s v=""/>
    <x v="60"/>
    <x v="54"/>
    <s v="We consider process flows that have no event element at the end of the chain."/>
    <x v="52"/>
    <x v="3"/>
    <s v="An end event should be added. In a simple EA process model, it is not required."/>
    <s v="The &quot;Handle Decision&quot; element does not have an end event. Therefore, we can not determine whether the process terminated after this step."/>
    <s v="MATCH (startNode:BusinessProcess|ApplicationProcess|TechnologyProcess) &lt;br /&gt; MATCH (endNode:BusinessProcess|ApplicationProcess|TechnologyProcess) &lt;br /&gt; where not exists ((endNode)--&gt;())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ApplicationProcess|TechnologyProcess) &lt;br /&gt; MATCH (endNode:BusinessProcess|ApplicationProcess|TechnologyProcess) &lt;br /&gt; where not exists ((endNode)--&gt;())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endNode)"/>
    <m/>
    <s v="./assets/no_end_event.JPG"/>
    <s v="minLevel"/>
    <s v="number"/>
    <n v="5"/>
    <s v="The minimum length of the path for detection."/>
    <x v="12"/>
    <m/>
    <m/>
  </r>
  <r>
    <x v="60"/>
    <s v="antiPatterns"/>
    <x v="60"/>
    <s v=""/>
    <x v="60"/>
    <x v="54"/>
    <s v="We consider process flows that have no event element at the end of the chain."/>
    <x v="52"/>
    <x v="3"/>
    <s v="An end event should be added. In a simple EA process model, it is not required."/>
    <s v="The &quot;Handle Decision&quot; element does not have an end event. Therefore, we can not determine whether the process terminated after this step."/>
    <s v="MATCH (startNode:BusinessProcess|ApplicationProcess|TechnologyProcess) &lt;br /&gt; MATCH (endNode:BusinessProcess|ApplicationProcess|TechnologyProcess) &lt;br /&gt; where not exists ((endNode)--&gt;())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ApplicationProcess|TechnologyProcess) &lt;br /&gt; MATCH (endNode:BusinessProcess|ApplicationProcess|TechnologyProcess) &lt;br /&gt; where not exists ((endNode)--&gt;())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endNode)"/>
    <m/>
    <s v="./assets/no_end_event.JPG"/>
    <s v="maxLevel"/>
    <s v="number"/>
    <n v="20"/>
    <s v="The maximum length of the path for detection."/>
    <x v="11"/>
    <m/>
    <m/>
  </r>
  <r>
    <x v="60"/>
    <s v="antiPatterns"/>
    <x v="60"/>
    <s v=""/>
    <x v="60"/>
    <x v="54"/>
    <s v="We consider process flows that have no event element at the end of the chain."/>
    <x v="52"/>
    <x v="3"/>
    <s v="An end event should be added. In a simple EA process model, it is not required."/>
    <s v="The &quot;Handle Decision&quot; element does not have an end event. Therefore, we can not determine whether the process terminated after this step."/>
    <s v="MATCH (startNode:BusinessProcess|ApplicationProcess|TechnologyProcess) &lt;br /&gt; MATCH (endNode:BusinessProcess|ApplicationProcess|TechnologyProcess) &lt;br /&gt; where not exists ((endNode)--&gt;()) &lt;br /&gt; CALL apoc.path.expandConfig(startNode,{relationshipFilter:&quot;TriggeringRelationship&gt;|FlowRelationship&gt;|AssociationRelationship&gt;&quot;, &lt;br /&gt; minLevel: $minLevel, &lt;br /&gt; maxLevel: $maxLevel, &lt;br /&gt; terminatorNodes:[endNode] &lt;br /&gt; }) &lt;br /&gt; YIELD path AS p &lt;br /&gt; RETURN p"/>
    <s v="MATCH (startNode:BusinessProcess|ApplicationProcess|TechnologyProcess) &lt;br /&gt; MATCH (endNode:BusinessProcess|ApplicationProcess|TechnologyProcess) &lt;br /&gt; where not exists ((endNode)--&gt;()) &lt;br /&gt; CALL apoc.path.expandConfig(startNode,{relationshipFilter:&quot;TriggeringRelationship&gt;|FlowRelationship&gt;|AssociationRelationship&gt;&quot;, &lt;br /&gt; minLevel: $minLevel, &lt;br /&gt; maxLevel: $maxLevel, &lt;br /&gt; terminatorNodes:[endNode] &lt;br /&gt; }) &lt;br /&gt; YIELD path AS p &lt;br /&gt; RETURN count (distinct endNode)"/>
    <m/>
    <s v="./assets/no_end_event.JPG"/>
    <s v="maxLevel"/>
    <s v="number"/>
    <n v="20"/>
    <s v="The maximum length of the path for detection."/>
    <x v="12"/>
    <m/>
    <m/>
  </r>
  <r>
    <x v="61"/>
    <s v="antiPatterns"/>
    <x v="61"/>
    <s v=""/>
    <x v="61"/>
    <x v="4"/>
    <s v=""/>
    <x v="53"/>
    <x v="3"/>
    <s v=""/>
    <s v=""/>
    <m/>
    <m/>
    <s v=""/>
    <m/>
    <m/>
    <m/>
    <m/>
    <m/>
    <x v="11"/>
    <s v=""/>
    <s v=""/>
  </r>
  <r>
    <x v="61"/>
    <s v="antiPatterns"/>
    <x v="61"/>
    <s v=""/>
    <x v="61"/>
    <x v="4"/>
    <s v=""/>
    <x v="53"/>
    <x v="3"/>
    <s v=""/>
    <s v=""/>
    <m/>
    <m/>
    <s v=""/>
    <m/>
    <m/>
    <m/>
    <m/>
    <m/>
    <x v="12"/>
    <s v=""/>
    <s v=""/>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precedes"/>
    <s v="Nothing New"/>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precedes"/>
    <s v="Vendor Lock-I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follows"/>
    <s v="Big Bang"/>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follows"/>
    <s v="Chatty Servic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follows"/>
    <s v="Missing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relates"/>
    <s v="Lazy Component"/>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relates"/>
    <s v="Incomplete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relates"/>
    <s v="Cyclic Dependenc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precedes"/>
    <s v="Sand Pil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precedes"/>
    <s v="Shotgun Surger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relates"/>
    <s v="Wrong Cuts"/>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precedes"/>
    <s v="Nothing New"/>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precedes"/>
    <s v="Vendor Lock-I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follows"/>
    <s v="Big Bang"/>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follows"/>
    <s v="Chatty Servic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follows"/>
    <s v="Missing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relates"/>
    <s v="Lazy Component"/>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relates"/>
    <s v="Incomplete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relates"/>
    <s v="Cyclic Dependenc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precedes"/>
    <s v="Sand Pil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precedes"/>
    <s v="Shotgun Surger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relates"/>
    <s v="Wrong Cuts"/>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precedes"/>
    <s v="Nothing New"/>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precedes"/>
    <s v="Vendor Lock-I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follows"/>
    <s v="Big Bang"/>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follows"/>
    <s v="Chatty Servic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follows"/>
    <s v="Missing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relates"/>
    <s v="Lazy Component"/>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relates"/>
    <s v="Incomplete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relates"/>
    <s v="Cyclic Dependenc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precedes"/>
    <s v="Sand Pil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precedes"/>
    <s v="Shotgun Surger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relates"/>
    <s v="Wrong Cuts"/>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precedes"/>
    <s v="Nothing New"/>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precedes"/>
    <s v="Vendor Lock-I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follows"/>
    <s v="Big Bang"/>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follows"/>
    <s v="Chatty Servic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follows"/>
    <s v="Missing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relates"/>
    <s v="Lazy Component"/>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relates"/>
    <s v="Incomplete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relates"/>
    <s v="Cyclic Dependenc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precedes"/>
    <s v="Sand Pil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precedes"/>
    <s v="Shotgun Surger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relates"/>
    <s v="Wrong Cuts"/>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precedes"/>
    <s v="Nothing New"/>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precedes"/>
    <s v="Vendor Lock-I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follows"/>
    <s v="Big Bang"/>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follows"/>
    <s v="Chatty Servic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follows"/>
    <s v="Missing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relates"/>
    <s v="Lazy Component"/>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relates"/>
    <s v="Incomplete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relates"/>
    <s v="Cyclic Dependenc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precedes"/>
    <s v="Sand Pil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precedes"/>
    <s v="Shotgun Surger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relates"/>
    <s v="Wrong Cuts"/>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precedes"/>
    <s v="Nothing New"/>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precedes"/>
    <s v="Vendor Lock-I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follows"/>
    <s v="Big Bang"/>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follows"/>
    <s v="Chatty Servic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follows"/>
    <s v="Missing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relates"/>
    <s v="Lazy Component"/>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relates"/>
    <s v="Incomplete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relates"/>
    <s v="Cyclic Dependenc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precedes"/>
    <s v="Sand Pil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precedes"/>
    <s v="Shotgun Surger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relates"/>
    <s v="Wrong Cuts"/>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precedes"/>
    <s v="Nothing New"/>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precedes"/>
    <s v="Vendor Lock-I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follows"/>
    <s v="Big Bang"/>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follows"/>
    <s v="Chatty Servic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follows"/>
    <s v="Missing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relates"/>
    <s v="Lazy Component"/>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relates"/>
    <s v="Incomplete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relates"/>
    <s v="Cyclic Dependenc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precedes"/>
    <s v="Sand Pil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precedes"/>
    <s v="Shotgun Surger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relates"/>
    <s v="Wrong Cuts"/>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precedes"/>
    <s v="Nothing New"/>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precedes"/>
    <s v="Vendor Lock-I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follows"/>
    <s v="Big Bang"/>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follows"/>
    <s v="Chatty Servic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follows"/>
    <s v="Missing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relates"/>
    <s v="Lazy Component"/>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relates"/>
    <s v="Incomplete Abstraction"/>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relates"/>
    <s v="Cyclic Dependenc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precedes"/>
    <s v="Sand Pile"/>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precedes"/>
    <s v="Shotgun Surgery"/>
  </r>
  <r>
    <x v="62"/>
    <s v="antiPatterns"/>
    <x v="62"/>
    <s v="Solution Sprawl"/>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relates"/>
    <s v="Wrong Cuts"/>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precedes"/>
    <s v="Nothing New"/>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precedes"/>
    <s v="Vendor Lock-I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follows"/>
    <s v="Big Bang"/>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follows"/>
    <s v="Chatty Servic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follows"/>
    <s v="Missing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relates"/>
    <s v="Lazy Component"/>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relates"/>
    <s v="Incomplete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relates"/>
    <s v="Cyclic Dependenc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precedes"/>
    <s v="Sand Pil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precedes"/>
    <s v="Shotgun Surger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
    <s v="relates"/>
    <s v="Wrong Cuts"/>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precedes"/>
    <s v="Nothing New"/>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precedes"/>
    <s v="Vendor Lock-I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follows"/>
    <s v="Big Bang"/>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follows"/>
    <s v="Chatty Servic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follows"/>
    <s v="Missing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relates"/>
    <s v="Lazy Component"/>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relates"/>
    <s v="Incomplete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relates"/>
    <s v="Cyclic Dependenc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precedes"/>
    <s v="Sand Pil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precedes"/>
    <s v="Shotgun Surger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0"/>
    <s v="relates"/>
    <s v="Wrong Cuts"/>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precedes"/>
    <s v="Nothing New"/>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precedes"/>
    <s v="Vendor Lock-I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follows"/>
    <s v="Big Bang"/>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follows"/>
    <s v="Chatty Servic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follows"/>
    <s v="Missing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relates"/>
    <s v="Lazy Component"/>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relates"/>
    <s v="Incomplete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relates"/>
    <s v="Cyclic Dependenc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precedes"/>
    <s v="Sand Pil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precedes"/>
    <s v="Shotgun Surger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2"/>
    <s v="relates"/>
    <s v="Wrong Cuts"/>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precedes"/>
    <s v="Nothing New"/>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precedes"/>
    <s v="Vendor Lock-I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follows"/>
    <s v="Big Bang"/>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follows"/>
    <s v="Chatty Servic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follows"/>
    <s v="Missing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relates"/>
    <s v="Lazy Component"/>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relates"/>
    <s v="Incomplete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relates"/>
    <s v="Cyclic Dependenc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precedes"/>
    <s v="Sand Pil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precedes"/>
    <s v="Shotgun Surger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3"/>
    <s v="relates"/>
    <s v="Wrong Cuts"/>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precedes"/>
    <s v="Nothing New"/>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precedes"/>
    <s v="Vendor Lock-I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follows"/>
    <s v="Big Bang"/>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follows"/>
    <s v="Chatty Servic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follows"/>
    <s v="Missing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relates"/>
    <s v="Lazy Component"/>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relates"/>
    <s v="Incomplete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relates"/>
    <s v="Cyclic Dependenc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precedes"/>
    <s v="Sand Pil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precedes"/>
    <s v="Shotgun Surger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4"/>
    <s v="relates"/>
    <s v="Wrong Cuts"/>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precedes"/>
    <s v="Nothing New"/>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precedes"/>
    <s v="Vendor Lock-I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follows"/>
    <s v="Big Bang"/>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follows"/>
    <s v="Chatty Servic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follows"/>
    <s v="Missing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relates"/>
    <s v="Lazy Component"/>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relates"/>
    <s v="Incomplete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relates"/>
    <s v="Cyclic Dependenc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precedes"/>
    <s v="Sand Pil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precedes"/>
    <s v="Shotgun Surger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4"/>
    <s v="relates"/>
    <s v="Wrong Cuts"/>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precedes"/>
    <s v="Nothing New"/>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precedes"/>
    <s v="Vendor Lock-I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follows"/>
    <s v="Big Bang"/>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follows"/>
    <s v="Chatty Servic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follows"/>
    <s v="Missing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relates"/>
    <s v="Lazy Component"/>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relates"/>
    <s v="Incomplete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relates"/>
    <s v="Cyclic Dependenc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precedes"/>
    <s v="Sand Pil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precedes"/>
    <s v="Shotgun Surger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17"/>
    <s v="relates"/>
    <s v="Wrong Cuts"/>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precedes"/>
    <s v="Nothing New"/>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precedes"/>
    <s v="Vendor Lock-I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follows"/>
    <s v="Big Bang"/>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follows"/>
    <s v="Chatty Servic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follows"/>
    <s v="Missing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relates"/>
    <s v="Lazy Component"/>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relates"/>
    <s v="Incomplete Abstraction"/>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relates"/>
    <s v="Cyclic Dependenc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precedes"/>
    <s v="Sand Pile"/>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precedes"/>
    <s v="Shotgun Surgery"/>
  </r>
  <r>
    <x v="62"/>
    <s v="antiPatterns"/>
    <x v="62"/>
    <s v="Fine-Grained Services"/>
    <x v="62"/>
    <x v="55"/>
    <s v="A nanoservice interface provides only one or very few operations. A nanoservice generally implements an incomplete subset of one abstraction."/>
    <x v="54"/>
    <x v="39"/>
    <s v="Consolidate and merge the scattered, but related functionality into a single service."/>
    <s v="Single services for creating an order, delivering an order, updating an order, and approving an order."/>
    <s v="MATCH (a)-[r:CompositionRelationship]-(n) &lt;br /&gt;  WITH a, COUNT(n) AS cnt  WHERE cnt &gt;= $nanoServiceCount &lt;br /&gt; MATCH p=(a)-[r:CompositionRelationship]-(n) &lt;br /&gt; RETURN p &lt;br /&gt; UNION &lt;br /&gt; MATCH (a)-[r:CompositionRelationship]-(n) &lt;br /&gt; WITH a, COUNT(n) AS cnt &lt;br /&gt; WHERE cnt &gt;= $nanoServiceCount &lt;br /&gt; MATCH p1=(a)-[r:CompositionRelationship]-(n) &lt;br /&gt; WITH p1, nodes(p1) AS nodes CALL apoc.nodes.cycles(nodes, {maxDepth: $nanoServiceCount}) YIELD path WITH path AS p2, p1 &lt;br /&gt; UNWIND [p1,p2] AS p &lt;br /&gt; RETURN p"/>
    <s v="MATCH (a)-[r:CompositionRelationship]-&gt;(n) WITH a, COUNT(n) AS cnt WHERE cnt &gt;= $nanoServiceCount MATCH p1=(a)-[r:CompositionRelationship]-&gt;(n) return count (distinct n)"/>
    <m/>
    <s v="./assets/nanoservice.JPG"/>
    <s v="nanoServiceCount"/>
    <s v="number"/>
    <n v="3"/>
    <s v="Number of nanoservices."/>
    <x v="6"/>
    <s v="relates"/>
    <s v="Wrong Cuts"/>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2"/>
    <s v="follows"/>
    <s v="Lazy Component"/>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2"/>
    <s v="follows"/>
    <s v="Vendor Lock-In"/>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3"/>
    <s v="follows"/>
    <s v="Lazy Component"/>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3"/>
    <s v="follows"/>
    <s v="Vendor Lock-In"/>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4"/>
    <s v="follows"/>
    <s v="Lazy Component"/>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4"/>
    <s v="follows"/>
    <s v="Vendor Lock-In"/>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17"/>
    <s v="follows"/>
    <s v="Lazy Component"/>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17"/>
    <s v="follows"/>
    <s v="Vendor Lock-In"/>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21"/>
    <s v="follows"/>
    <s v="Lazy Component"/>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21"/>
    <s v="follows"/>
    <s v="Vendor Lock-In"/>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8"/>
    <s v="follows"/>
    <s v="Lazy Component"/>
  </r>
  <r>
    <x v="63"/>
    <s v="antiPatterns"/>
    <x v="63"/>
    <s v="dead Code"/>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8"/>
    <s v="follows"/>
    <s v="Vendor Lock-In"/>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2"/>
    <s v="follows"/>
    <s v="Lazy Component"/>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2"/>
    <s v="follows"/>
    <s v="Vendor Lock-In"/>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3"/>
    <s v="follows"/>
    <s v="Lazy Component"/>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3"/>
    <s v="follows"/>
    <s v="Vendor Lock-In"/>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4"/>
    <s v="follows"/>
    <s v="Lazy Component"/>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4"/>
    <s v="follows"/>
    <s v="Vendor Lock-In"/>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17"/>
    <s v="follows"/>
    <s v="Lazy Component"/>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17"/>
    <s v="follows"/>
    <s v="Vendor Lock-In"/>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21"/>
    <s v="follows"/>
    <s v="Lazy Component"/>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21"/>
    <s v="follows"/>
    <s v="Vendor Lock-In"/>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8"/>
    <s v="follows"/>
    <s v="Lazy Component"/>
  </r>
  <r>
    <x v="63"/>
    <s v="antiPatterns"/>
    <x v="63"/>
    <s v="Boat Anchor"/>
    <x v="63"/>
    <x v="56"/>
    <s v="In ArchiMate, a dead component is a component that is not integrated into the model. We can detect the Dead Component EA Smell via KG query when a component has neither incoming nor outgoing edges. Search for isolated elements: The element respectively its cluster has no incoming or outgoing relations to other components (structural relations can be neglected)."/>
    <x v="55"/>
    <x v="40"/>
    <s v="Delete unused elements. Redistribute the functionality and aggregate components."/>
    <s v="A policy or programmatic relationship may require the purchase and usage of a particular piece of hardware or software. The consequences for managers and developers are that significant effort may have to be devoted to making the product work. After a significant investment of time and resources, the staff realizes that the product is useless in the current context, and abandons it for another approach. Eventually, the Boat Anchor is set aside and gathers dust in some corner (if it's hardware)."/>
    <s v="MATCH p = (n) &lt;br /&gt; WHERE NOT ()--(n) &lt;br /&gt; RETURN p"/>
    <s v="MATCH (n) WHERE NOT ()--(n) RETURN count (distinct n)"/>
    <m/>
    <s v="./assets/deadComponent.JPG"/>
    <m/>
    <m/>
    <m/>
    <m/>
    <x v="8"/>
    <s v="follows"/>
    <s v="Vendor Lock-In"/>
  </r>
  <r>
    <x v="64"/>
    <m/>
    <x v="64"/>
    <m/>
    <x v="64"/>
    <x v="57"/>
    <m/>
    <x v="56"/>
    <x v="41"/>
    <m/>
    <m/>
    <m/>
    <m/>
    <m/>
    <m/>
    <m/>
    <m/>
    <m/>
    <m/>
    <x v="2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BE28A0-D4AF-5240-8C8A-ADE59C2234F6}" name="EA Smells Filtered" cacheId="36"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3:L70" firstHeaderRow="2" firstDataRow="2" firstDataCol="6"/>
  <pivotFields count="22">
    <pivotField axis="axisRow" compact="0" outline="0" showAll="0" defaultSubtotal="0">
      <items count="65">
        <item x="4"/>
        <item x="37"/>
        <item x="22"/>
        <item x="28"/>
        <item x="26"/>
        <item x="36"/>
        <item x="46"/>
        <item x="34"/>
        <item x="52"/>
        <item x="38"/>
        <item x="42"/>
        <item x="11"/>
        <item x="13"/>
        <item x="63"/>
        <item x="54"/>
        <item x="0"/>
        <item x="10"/>
        <item x="24"/>
        <item x="56"/>
        <item x="58"/>
        <item x="23"/>
        <item x="39"/>
        <item x="16"/>
        <item x="2"/>
        <item x="27"/>
        <item x="15"/>
        <item x="45"/>
        <item x="32"/>
        <item x="12"/>
        <item x="35"/>
        <item x="50"/>
        <item x="33"/>
        <item x="5"/>
        <item x="61"/>
        <item x="44"/>
        <item x="48"/>
        <item x="30"/>
        <item x="9"/>
        <item x="57"/>
        <item x="49"/>
        <item x="29"/>
        <item x="62"/>
        <item x="19"/>
        <item x="6"/>
        <item x="55"/>
        <item x="60"/>
        <item x="51"/>
        <item x="3"/>
        <item x="7"/>
        <item x="8"/>
        <item x="1"/>
        <item x="40"/>
        <item x="59"/>
        <item x="18"/>
        <item x="25"/>
        <item x="21"/>
        <item x="53"/>
        <item x="43"/>
        <item x="41"/>
        <item x="14"/>
        <item x="47"/>
        <item x="20"/>
        <item x="31"/>
        <item x="17"/>
        <item x="64"/>
      </items>
    </pivotField>
    <pivotField compact="0" outline="0" showAll="0"/>
    <pivotField axis="axisRow" compact="0" outline="0" showAll="0" defaultSubtotal="0">
      <items count="65">
        <item x="4"/>
        <item x="37"/>
        <item x="22"/>
        <item x="28"/>
        <item x="26"/>
        <item x="36"/>
        <item x="46"/>
        <item x="34"/>
        <item x="52"/>
        <item x="38"/>
        <item x="42"/>
        <item x="11"/>
        <item x="13"/>
        <item x="63"/>
        <item x="54"/>
        <item x="0"/>
        <item x="10"/>
        <item x="24"/>
        <item x="56"/>
        <item x="58"/>
        <item x="23"/>
        <item x="60"/>
        <item x="39"/>
        <item x="16"/>
        <item x="2"/>
        <item x="15"/>
        <item x="27"/>
        <item x="32"/>
        <item x="45"/>
        <item x="12"/>
        <item x="35"/>
        <item x="50"/>
        <item x="33"/>
        <item x="5"/>
        <item x="61"/>
        <item x="44"/>
        <item x="48"/>
        <item x="30"/>
        <item x="9"/>
        <item x="57"/>
        <item x="49"/>
        <item x="29"/>
        <item x="62"/>
        <item x="19"/>
        <item x="6"/>
        <item x="55"/>
        <item x="3"/>
        <item x="7"/>
        <item x="8"/>
        <item x="1"/>
        <item x="51"/>
        <item x="40"/>
        <item x="59"/>
        <item x="18"/>
        <item x="25"/>
        <item x="21"/>
        <item x="53"/>
        <item x="43"/>
        <item x="41"/>
        <item x="14"/>
        <item x="47"/>
        <item x="20"/>
        <item x="31"/>
        <item x="17"/>
        <item x="64"/>
      </items>
    </pivotField>
    <pivotField compact="0" outline="0" showAll="0"/>
    <pivotField axis="axisRow" compact="0" outline="0" showAll="0" defaultSubtotal="0">
      <items count="65">
        <item x="4"/>
        <item x="53"/>
        <item x="43"/>
        <item x="48"/>
        <item x="63"/>
        <item x="44"/>
        <item x="29"/>
        <item x="45"/>
        <item x="19"/>
        <item x="62"/>
        <item x="11"/>
        <item x="26"/>
        <item x="25"/>
        <item x="28"/>
        <item x="34"/>
        <item x="16"/>
        <item x="3"/>
        <item x="37"/>
        <item x="59"/>
        <item x="9"/>
        <item x="36"/>
        <item x="54"/>
        <item x="8"/>
        <item x="31"/>
        <item x="1"/>
        <item x="51"/>
        <item x="55"/>
        <item x="50"/>
        <item x="0"/>
        <item x="7"/>
        <item x="40"/>
        <item x="15"/>
        <item x="24"/>
        <item x="6"/>
        <item x="20"/>
        <item x="38"/>
        <item x="17"/>
        <item x="52"/>
        <item x="18"/>
        <item x="41"/>
        <item x="12"/>
        <item x="49"/>
        <item x="30"/>
        <item x="57"/>
        <item x="61"/>
        <item x="60"/>
        <item x="21"/>
        <item x="33"/>
        <item x="14"/>
        <item x="47"/>
        <item x="5"/>
        <item x="22"/>
        <item x="27"/>
        <item x="2"/>
        <item x="56"/>
        <item x="42"/>
        <item x="39"/>
        <item x="10"/>
        <item x="32"/>
        <item x="23"/>
        <item x="46"/>
        <item x="35"/>
        <item x="58"/>
        <item x="13"/>
        <item x="64"/>
      </items>
    </pivotField>
    <pivotField axis="axisRow" compact="0" outline="0" showAll="0" defaultSubtotal="0">
      <items count="58">
        <item x="4"/>
        <item x="48"/>
        <item x="39"/>
        <item x="49"/>
        <item x="35"/>
        <item x="41"/>
        <item x="21"/>
        <item x="27"/>
        <item x="34"/>
        <item x="42"/>
        <item x="32"/>
        <item x="52"/>
        <item x="47"/>
        <item x="38"/>
        <item x="10"/>
        <item x="12"/>
        <item x="56"/>
        <item x="0"/>
        <item x="9"/>
        <item x="23"/>
        <item x="50"/>
        <item x="22"/>
        <item x="54"/>
        <item x="36"/>
        <item x="8"/>
        <item x="15"/>
        <item x="2"/>
        <item x="26"/>
        <item x="14"/>
        <item x="30"/>
        <item x="11"/>
        <item x="33"/>
        <item x="31"/>
        <item x="40"/>
        <item x="25"/>
        <item x="44"/>
        <item x="51"/>
        <item x="45"/>
        <item x="28"/>
        <item x="55"/>
        <item x="18"/>
        <item x="5"/>
        <item x="3"/>
        <item x="6"/>
        <item x="7"/>
        <item x="1"/>
        <item x="46"/>
        <item x="37"/>
        <item x="53"/>
        <item x="24"/>
        <item x="20"/>
        <item x="13"/>
        <item x="43"/>
        <item x="19"/>
        <item x="29"/>
        <item x="16"/>
        <item x="17"/>
        <item x="57"/>
      </items>
    </pivotField>
    <pivotField compact="0" outline="0" showAll="0"/>
    <pivotField axis="axisRow" compact="0" outline="0" showAll="0" defaultSubtotal="0">
      <items count="57">
        <item x="1"/>
        <item x="10"/>
        <item x="53"/>
        <item x="43"/>
        <item x="36"/>
        <item x="12"/>
        <item x="51"/>
        <item x="42"/>
        <item x="54"/>
        <item x="22"/>
        <item x="40"/>
        <item x="31"/>
        <item x="46"/>
        <item x="24"/>
        <item x="32"/>
        <item x="19"/>
        <item x="4"/>
        <item x="47"/>
        <item x="50"/>
        <item x="28"/>
        <item x="23"/>
        <item x="21"/>
        <item x="52"/>
        <item x="44"/>
        <item x="38"/>
        <item x="33"/>
        <item x="18"/>
        <item x="39"/>
        <item x="6"/>
        <item x="49"/>
        <item x="0"/>
        <item x="13"/>
        <item x="48"/>
        <item x="9"/>
        <item x="11"/>
        <item x="45"/>
        <item x="41"/>
        <item x="15"/>
        <item x="34"/>
        <item x="17"/>
        <item x="35"/>
        <item x="26"/>
        <item x="37"/>
        <item x="3"/>
        <item x="27"/>
        <item x="8"/>
        <item x="25"/>
        <item x="2"/>
        <item x="5"/>
        <item x="29"/>
        <item x="7"/>
        <item x="20"/>
        <item x="14"/>
        <item x="30"/>
        <item x="55"/>
        <item x="16"/>
        <item x="56"/>
      </items>
    </pivotField>
    <pivotField axis="axisRow" compact="0" outline="0" showAll="0" defaultSubtotal="0">
      <items count="42">
        <item x="3"/>
        <item x="20"/>
        <item x="0"/>
        <item x="26"/>
        <item x="18"/>
        <item x="37"/>
        <item x="8"/>
        <item x="22"/>
        <item x="17"/>
        <item x="4"/>
        <item x="1"/>
        <item x="30"/>
        <item x="39"/>
        <item x="19"/>
        <item x="13"/>
        <item x="36"/>
        <item x="29"/>
        <item x="27"/>
        <item x="5"/>
        <item x="7"/>
        <item x="6"/>
        <item x="25"/>
        <item x="38"/>
        <item x="21"/>
        <item x="35"/>
        <item x="16"/>
        <item x="23"/>
        <item x="24"/>
        <item x="34"/>
        <item x="14"/>
        <item x="12"/>
        <item x="2"/>
        <item x="11"/>
        <item x="10"/>
        <item x="33"/>
        <item x="15"/>
        <item x="32"/>
        <item x="31"/>
        <item x="28"/>
        <item x="9"/>
        <item x="40"/>
        <item x="41"/>
      </items>
    </pivotField>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defaultSubtotal="0">
      <items count="26">
        <item x="10"/>
        <item x="14"/>
        <item x="20"/>
        <item x="3"/>
        <item x="8"/>
        <item x="6"/>
        <item x="2"/>
        <item x="9"/>
        <item x="18"/>
        <item x="15"/>
        <item x="22"/>
        <item x="19"/>
        <item x="1"/>
        <item x="13"/>
        <item x="12"/>
        <item x="23"/>
        <item x="0"/>
        <item x="4"/>
        <item x="16"/>
        <item x="5"/>
        <item x="7"/>
        <item x="17"/>
        <item x="24"/>
        <item x="11"/>
        <item x="21"/>
        <item x="25"/>
      </items>
    </pivotField>
    <pivotField compact="0" outline="0" showAll="0"/>
    <pivotField compact="0" outline="0" showAll="0"/>
  </pivotFields>
  <rowFields count="6">
    <field x="0"/>
    <field x="2"/>
    <field x="4"/>
    <field x="5"/>
    <field x="7"/>
    <field x="8"/>
  </rowFields>
  <rowItems count="66">
    <i>
      <x/>
      <x/>
      <x/>
      <x/>
      <x/>
      <x/>
    </i>
    <i>
      <x v="1"/>
      <x v="1"/>
      <x v="17"/>
      <x v="4"/>
      <x v="14"/>
      <x v="17"/>
    </i>
    <i>
      <x v="2"/>
      <x v="2"/>
      <x v="51"/>
      <x v="6"/>
      <x v="26"/>
      <x v="25"/>
    </i>
    <i>
      <x v="3"/>
      <x v="3"/>
      <x v="13"/>
      <x v="7"/>
      <x v="13"/>
      <x v="7"/>
    </i>
    <i>
      <x v="4"/>
      <x v="4"/>
      <x v="11"/>
      <x v="34"/>
      <x v="9"/>
      <x v="1"/>
    </i>
    <i>
      <x v="5"/>
      <x v="5"/>
      <x v="20"/>
      <x v="8"/>
      <x v="11"/>
      <x v="3"/>
    </i>
    <i>
      <x v="6"/>
      <x v="6"/>
      <x v="60"/>
      <x v="9"/>
      <x v="27"/>
      <x/>
    </i>
    <i>
      <x v="7"/>
      <x v="7"/>
      <x v="14"/>
      <x v="10"/>
      <x/>
      <x v="21"/>
    </i>
    <i>
      <x v="8"/>
      <x v="8"/>
      <x v="37"/>
      <x v="12"/>
      <x v="35"/>
      <x v="28"/>
    </i>
    <i>
      <x v="9"/>
      <x v="9"/>
      <x v="35"/>
      <x/>
      <x v="25"/>
      <x/>
    </i>
    <i>
      <x v="10"/>
      <x v="10"/>
      <x v="55"/>
      <x v="13"/>
      <x v="4"/>
      <x v="11"/>
    </i>
    <i>
      <x v="11"/>
      <x v="11"/>
      <x v="10"/>
      <x v="14"/>
      <x v="1"/>
      <x v="6"/>
    </i>
    <i>
      <x v="12"/>
      <x v="12"/>
      <x v="63"/>
      <x v="15"/>
      <x v="5"/>
      <x v="39"/>
    </i>
    <i>
      <x v="13"/>
      <x v="13"/>
      <x v="4"/>
      <x v="16"/>
      <x v="54"/>
      <x v="40"/>
    </i>
    <i>
      <x v="14"/>
      <x v="14"/>
      <x v="21"/>
      <x/>
      <x v="17"/>
      <x/>
    </i>
    <i>
      <x v="15"/>
      <x v="15"/>
      <x v="28"/>
      <x v="17"/>
      <x v="30"/>
      <x v="2"/>
    </i>
    <i>
      <x v="16"/>
      <x v="16"/>
      <x v="57"/>
      <x v="18"/>
      <x v="33"/>
      <x v="19"/>
    </i>
    <i>
      <x v="17"/>
      <x v="17"/>
      <x v="32"/>
      <x v="19"/>
      <x v="51"/>
      <x v="4"/>
    </i>
    <i>
      <x v="18"/>
      <x v="18"/>
      <x v="54"/>
      <x v="20"/>
      <x v="29"/>
      <x v="15"/>
    </i>
    <i>
      <x v="19"/>
      <x v="19"/>
      <x v="62"/>
      <x v="11"/>
      <x/>
      <x v="5"/>
    </i>
    <i>
      <x v="20"/>
      <x v="20"/>
      <x v="59"/>
      <x v="21"/>
      <x v="15"/>
      <x v="8"/>
    </i>
    <i>
      <x v="21"/>
      <x v="22"/>
      <x v="56"/>
      <x v="23"/>
      <x/>
      <x v="38"/>
    </i>
    <i>
      <x v="22"/>
      <x v="23"/>
      <x v="15"/>
      <x v="25"/>
      <x v="52"/>
      <x v="32"/>
    </i>
    <i>
      <x v="23"/>
      <x v="24"/>
      <x v="53"/>
      <x v="26"/>
      <x v="47"/>
      <x v="10"/>
    </i>
    <i>
      <x v="24"/>
      <x v="26"/>
      <x v="52"/>
      <x v="27"/>
      <x v="20"/>
      <x v="23"/>
    </i>
    <i>
      <x v="25"/>
      <x v="25"/>
      <x v="31"/>
      <x v="28"/>
      <x/>
      <x v="33"/>
    </i>
    <i>
      <x v="26"/>
      <x v="28"/>
      <x v="7"/>
      <x v="5"/>
      <x v="24"/>
      <x/>
    </i>
    <i>
      <x v="27"/>
      <x v="27"/>
      <x v="58"/>
      <x v="29"/>
      <x v="19"/>
      <x v="2"/>
    </i>
    <i>
      <x v="28"/>
      <x v="29"/>
      <x v="40"/>
      <x v="30"/>
      <x v="34"/>
      <x/>
    </i>
    <i>
      <x v="29"/>
      <x v="30"/>
      <x v="61"/>
      <x v="31"/>
      <x v="53"/>
      <x/>
    </i>
    <i>
      <x v="30"/>
      <x v="31"/>
      <x v="27"/>
      <x v="31"/>
      <x v="3"/>
      <x/>
    </i>
    <i>
      <x v="31"/>
      <x v="32"/>
      <x v="47"/>
      <x v="32"/>
      <x v="49"/>
      <x/>
    </i>
    <i>
      <x v="32"/>
      <x v="33"/>
      <x v="50"/>
      <x/>
      <x v="16"/>
      <x/>
    </i>
    <i>
      <x v="33"/>
      <x v="34"/>
      <x v="44"/>
      <x/>
      <x v="2"/>
      <x/>
    </i>
    <i>
      <x v="34"/>
      <x v="35"/>
      <x v="5"/>
      <x v="33"/>
      <x/>
      <x v="37"/>
    </i>
    <i>
      <x v="35"/>
      <x v="36"/>
      <x v="3"/>
      <x v="35"/>
      <x v="36"/>
      <x v="34"/>
    </i>
    <i>
      <x v="36"/>
      <x v="37"/>
      <x v="42"/>
      <x/>
      <x v="41"/>
      <x/>
    </i>
    <i>
      <x v="37"/>
      <x v="38"/>
      <x v="19"/>
      <x v="24"/>
      <x v="45"/>
      <x v="20"/>
    </i>
    <i>
      <x v="38"/>
      <x v="39"/>
      <x v="43"/>
      <x v="36"/>
      <x v="18"/>
      <x v="20"/>
    </i>
    <i>
      <x v="39"/>
      <x v="40"/>
      <x v="41"/>
      <x v="37"/>
      <x v="7"/>
      <x/>
    </i>
    <i>
      <x v="40"/>
      <x v="41"/>
      <x v="6"/>
      <x v="38"/>
      <x v="46"/>
      <x v="26"/>
    </i>
    <i>
      <x v="41"/>
      <x v="42"/>
      <x v="9"/>
      <x v="39"/>
      <x v="8"/>
      <x v="12"/>
    </i>
    <i>
      <x v="42"/>
      <x v="43"/>
      <x v="8"/>
      <x v="40"/>
      <x v="55"/>
      <x v="29"/>
    </i>
    <i>
      <x v="43"/>
      <x v="44"/>
      <x v="33"/>
      <x v="41"/>
      <x v="48"/>
      <x v="9"/>
    </i>
    <i>
      <x v="44"/>
      <x v="45"/>
      <x v="26"/>
      <x v="3"/>
      <x v="32"/>
      <x v="24"/>
    </i>
    <i>
      <x v="45"/>
      <x v="21"/>
      <x v="45"/>
      <x v="22"/>
      <x v="22"/>
      <x/>
    </i>
    <i>
      <x v="46"/>
      <x v="50"/>
      <x v="25"/>
      <x v="46"/>
      <x v="23"/>
      <x/>
    </i>
    <i>
      <x v="47"/>
      <x v="46"/>
      <x v="16"/>
      <x v="42"/>
      <x v="43"/>
      <x v="31"/>
    </i>
    <i>
      <x v="48"/>
      <x v="47"/>
      <x v="29"/>
      <x v="43"/>
      <x v="28"/>
      <x v="18"/>
    </i>
    <i>
      <x v="49"/>
      <x v="48"/>
      <x v="22"/>
      <x v="44"/>
      <x v="50"/>
      <x/>
    </i>
    <i>
      <x v="50"/>
      <x v="49"/>
      <x v="24"/>
      <x v="45"/>
      <x/>
      <x v="2"/>
    </i>
    <i>
      <x v="51"/>
      <x v="51"/>
      <x v="30"/>
      <x v="47"/>
      <x v="38"/>
      <x v="16"/>
    </i>
    <i>
      <x v="52"/>
      <x v="52"/>
      <x v="18"/>
      <x v="48"/>
      <x v="6"/>
      <x v="22"/>
    </i>
    <i>
      <x v="53"/>
      <x v="53"/>
      <x v="38"/>
      <x v="56"/>
      <x/>
      <x v="14"/>
    </i>
    <i>
      <x v="54"/>
      <x v="54"/>
      <x v="12"/>
      <x v="49"/>
      <x v="21"/>
      <x v="13"/>
    </i>
    <i>
      <x v="55"/>
      <x v="55"/>
      <x v="46"/>
      <x v="50"/>
      <x v="39"/>
      <x v="35"/>
    </i>
    <i>
      <x v="56"/>
      <x v="56"/>
      <x v="1"/>
      <x v="1"/>
      <x v="12"/>
      <x/>
    </i>
    <i>
      <x v="57"/>
      <x v="57"/>
      <x v="2"/>
      <x v="2"/>
      <x v="42"/>
      <x v="2"/>
    </i>
    <i>
      <x v="58"/>
      <x v="58"/>
      <x v="39"/>
      <x/>
      <x v="40"/>
      <x/>
    </i>
    <i>
      <x v="59"/>
      <x v="59"/>
      <x v="48"/>
      <x v="51"/>
      <x v="31"/>
      <x v="2"/>
    </i>
    <i>
      <x v="60"/>
      <x v="60"/>
      <x v="49"/>
      <x v="52"/>
      <x v="10"/>
      <x v="36"/>
    </i>
    <i>
      <x v="61"/>
      <x v="61"/>
      <x v="34"/>
      <x v="53"/>
      <x/>
      <x/>
    </i>
    <i>
      <x v="62"/>
      <x v="62"/>
      <x v="23"/>
      <x v="54"/>
      <x v="44"/>
      <x v="27"/>
    </i>
    <i>
      <x v="63"/>
      <x v="63"/>
      <x v="36"/>
      <x v="55"/>
      <x v="37"/>
      <x v="30"/>
    </i>
    <i>
      <x v="64"/>
      <x v="64"/>
      <x v="64"/>
      <x v="57"/>
      <x v="56"/>
      <x v="41"/>
    </i>
    <i t="grand">
      <x/>
    </i>
  </rowItems>
  <colItems count="1">
    <i/>
  </colItems>
  <formats count="1014">
    <format dxfId="1031">
      <pivotArea type="all" dataOnly="0" outline="0" fieldPosition="0"/>
    </format>
    <format dxfId="1030">
      <pivotArea outline="0" collapsedLevelsAreSubtotals="1" fieldPosition="0"/>
    </format>
    <format dxfId="1029">
      <pivotArea type="origin" dataOnly="0" labelOnly="1" outline="0" fieldPosition="0"/>
    </format>
    <format dxfId="1028">
      <pivotArea field="19" type="button" dataOnly="0" labelOnly="1" outline="0"/>
    </format>
    <format dxfId="1027">
      <pivotArea type="topRight" dataOnly="0" labelOnly="1" outline="0" fieldPosition="0"/>
    </format>
    <format dxfId="1026">
      <pivotArea field="0" type="button" dataOnly="0" labelOnly="1" outline="0" axis="axisRow" fieldPosition="0"/>
    </format>
    <format dxfId="1025">
      <pivotArea field="2" type="button" dataOnly="0" labelOnly="1" outline="0" axis="axisRow" fieldPosition="1"/>
    </format>
    <format dxfId="1024">
      <pivotArea field="4" type="button" dataOnly="0" labelOnly="1" outline="0" axis="axisRow" fieldPosition="2"/>
    </format>
    <format dxfId="1023">
      <pivotArea field="5" type="button" dataOnly="0" labelOnly="1" outline="0" axis="axisRow" fieldPosition="3"/>
    </format>
    <format dxfId="1022">
      <pivotArea field="7" type="button" dataOnly="0" labelOnly="1" outline="0" axis="axisRow" fieldPosition="4"/>
    </format>
    <format dxfId="1021">
      <pivotArea field="8" type="button" dataOnly="0" labelOnly="1" outline="0" axis="axisRow" fieldPosition="5"/>
    </format>
    <format dxfId="1020">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19">
      <pivotArea dataOnly="0" labelOnly="1" outline="0" fieldPosition="0">
        <references count="1">
          <reference field="0" count="15">
            <x v="50"/>
            <x v="51"/>
            <x v="52"/>
            <x v="53"/>
            <x v="54"/>
            <x v="55"/>
            <x v="56"/>
            <x v="57"/>
            <x v="58"/>
            <x v="59"/>
            <x v="60"/>
            <x v="61"/>
            <x v="62"/>
            <x v="63"/>
            <x v="64"/>
          </reference>
        </references>
      </pivotArea>
    </format>
    <format dxfId="1018">
      <pivotArea dataOnly="0" labelOnly="1" grandRow="1" outline="0" fieldPosition="0"/>
    </format>
    <format dxfId="1017">
      <pivotArea dataOnly="0" labelOnly="1" outline="0" fieldPosition="0">
        <references count="2">
          <reference field="0" count="1" selected="0">
            <x v="0"/>
          </reference>
          <reference field="2" count="1">
            <x v="0"/>
          </reference>
        </references>
      </pivotArea>
    </format>
    <format dxfId="1016">
      <pivotArea dataOnly="0" labelOnly="1" outline="0" fieldPosition="0">
        <references count="2">
          <reference field="0" count="1" selected="0">
            <x v="1"/>
          </reference>
          <reference field="2" count="1">
            <x v="1"/>
          </reference>
        </references>
      </pivotArea>
    </format>
    <format dxfId="1015">
      <pivotArea dataOnly="0" labelOnly="1" outline="0" fieldPosition="0">
        <references count="2">
          <reference field="0" count="1" selected="0">
            <x v="2"/>
          </reference>
          <reference field="2" count="1">
            <x v="2"/>
          </reference>
        </references>
      </pivotArea>
    </format>
    <format dxfId="1014">
      <pivotArea dataOnly="0" labelOnly="1" outline="0" fieldPosition="0">
        <references count="2">
          <reference field="0" count="1" selected="0">
            <x v="3"/>
          </reference>
          <reference field="2" count="1">
            <x v="3"/>
          </reference>
        </references>
      </pivotArea>
    </format>
    <format dxfId="1013">
      <pivotArea dataOnly="0" labelOnly="1" outline="0" fieldPosition="0">
        <references count="2">
          <reference field="0" count="1" selected="0">
            <x v="4"/>
          </reference>
          <reference field="2" count="1">
            <x v="4"/>
          </reference>
        </references>
      </pivotArea>
    </format>
    <format dxfId="1012">
      <pivotArea dataOnly="0" labelOnly="1" outline="0" fieldPosition="0">
        <references count="2">
          <reference field="0" count="1" selected="0">
            <x v="5"/>
          </reference>
          <reference field="2" count="1">
            <x v="5"/>
          </reference>
        </references>
      </pivotArea>
    </format>
    <format dxfId="1011">
      <pivotArea dataOnly="0" labelOnly="1" outline="0" fieldPosition="0">
        <references count="2">
          <reference field="0" count="1" selected="0">
            <x v="6"/>
          </reference>
          <reference field="2" count="1">
            <x v="6"/>
          </reference>
        </references>
      </pivotArea>
    </format>
    <format dxfId="1010">
      <pivotArea dataOnly="0" labelOnly="1" outline="0" fieldPosition="0">
        <references count="2">
          <reference field="0" count="1" selected="0">
            <x v="7"/>
          </reference>
          <reference field="2" count="1">
            <x v="7"/>
          </reference>
        </references>
      </pivotArea>
    </format>
    <format dxfId="1009">
      <pivotArea dataOnly="0" labelOnly="1" outline="0" fieldPosition="0">
        <references count="2">
          <reference field="0" count="1" selected="0">
            <x v="8"/>
          </reference>
          <reference field="2" count="1">
            <x v="8"/>
          </reference>
        </references>
      </pivotArea>
    </format>
    <format dxfId="1008">
      <pivotArea dataOnly="0" labelOnly="1" outline="0" fieldPosition="0">
        <references count="2">
          <reference field="0" count="1" selected="0">
            <x v="9"/>
          </reference>
          <reference field="2" count="1">
            <x v="9"/>
          </reference>
        </references>
      </pivotArea>
    </format>
    <format dxfId="1007">
      <pivotArea dataOnly="0" labelOnly="1" outline="0" fieldPosition="0">
        <references count="2">
          <reference field="0" count="1" selected="0">
            <x v="10"/>
          </reference>
          <reference field="2" count="1">
            <x v="10"/>
          </reference>
        </references>
      </pivotArea>
    </format>
    <format dxfId="1006">
      <pivotArea dataOnly="0" labelOnly="1" outline="0" fieldPosition="0">
        <references count="2">
          <reference field="0" count="1" selected="0">
            <x v="11"/>
          </reference>
          <reference field="2" count="1">
            <x v="11"/>
          </reference>
        </references>
      </pivotArea>
    </format>
    <format dxfId="1005">
      <pivotArea dataOnly="0" labelOnly="1" outline="0" fieldPosition="0">
        <references count="2">
          <reference field="0" count="1" selected="0">
            <x v="12"/>
          </reference>
          <reference field="2" count="1">
            <x v="12"/>
          </reference>
        </references>
      </pivotArea>
    </format>
    <format dxfId="1004">
      <pivotArea dataOnly="0" labelOnly="1" outline="0" fieldPosition="0">
        <references count="2">
          <reference field="0" count="1" selected="0">
            <x v="13"/>
          </reference>
          <reference field="2" count="1">
            <x v="13"/>
          </reference>
        </references>
      </pivotArea>
    </format>
    <format dxfId="1003">
      <pivotArea dataOnly="0" labelOnly="1" outline="0" fieldPosition="0">
        <references count="2">
          <reference field="0" count="1" selected="0">
            <x v="14"/>
          </reference>
          <reference field="2" count="1">
            <x v="14"/>
          </reference>
        </references>
      </pivotArea>
    </format>
    <format dxfId="1002">
      <pivotArea dataOnly="0" labelOnly="1" outline="0" fieldPosition="0">
        <references count="2">
          <reference field="0" count="1" selected="0">
            <x v="15"/>
          </reference>
          <reference field="2" count="1">
            <x v="15"/>
          </reference>
        </references>
      </pivotArea>
    </format>
    <format dxfId="1001">
      <pivotArea dataOnly="0" labelOnly="1" outline="0" fieldPosition="0">
        <references count="2">
          <reference field="0" count="1" selected="0">
            <x v="16"/>
          </reference>
          <reference field="2" count="1">
            <x v="16"/>
          </reference>
        </references>
      </pivotArea>
    </format>
    <format dxfId="1000">
      <pivotArea dataOnly="0" labelOnly="1" outline="0" fieldPosition="0">
        <references count="2">
          <reference field="0" count="1" selected="0">
            <x v="17"/>
          </reference>
          <reference field="2" count="1">
            <x v="17"/>
          </reference>
        </references>
      </pivotArea>
    </format>
    <format dxfId="999">
      <pivotArea dataOnly="0" labelOnly="1" outline="0" fieldPosition="0">
        <references count="2">
          <reference field="0" count="1" selected="0">
            <x v="18"/>
          </reference>
          <reference field="2" count="1">
            <x v="18"/>
          </reference>
        </references>
      </pivotArea>
    </format>
    <format dxfId="998">
      <pivotArea dataOnly="0" labelOnly="1" outline="0" fieldPosition="0">
        <references count="2">
          <reference field="0" count="1" selected="0">
            <x v="19"/>
          </reference>
          <reference field="2" count="1">
            <x v="19"/>
          </reference>
        </references>
      </pivotArea>
    </format>
    <format dxfId="997">
      <pivotArea dataOnly="0" labelOnly="1" outline="0" fieldPosition="0">
        <references count="2">
          <reference field="0" count="1" selected="0">
            <x v="20"/>
          </reference>
          <reference field="2" count="1">
            <x v="20"/>
          </reference>
        </references>
      </pivotArea>
    </format>
    <format dxfId="996">
      <pivotArea dataOnly="0" labelOnly="1" outline="0" fieldPosition="0">
        <references count="2">
          <reference field="0" count="1" selected="0">
            <x v="21"/>
          </reference>
          <reference field="2" count="1">
            <x v="22"/>
          </reference>
        </references>
      </pivotArea>
    </format>
    <format dxfId="995">
      <pivotArea dataOnly="0" labelOnly="1" outline="0" fieldPosition="0">
        <references count="2">
          <reference field="0" count="1" selected="0">
            <x v="22"/>
          </reference>
          <reference field="2" count="1">
            <x v="23"/>
          </reference>
        </references>
      </pivotArea>
    </format>
    <format dxfId="994">
      <pivotArea dataOnly="0" labelOnly="1" outline="0" fieldPosition="0">
        <references count="2">
          <reference field="0" count="1" selected="0">
            <x v="23"/>
          </reference>
          <reference field="2" count="1">
            <x v="24"/>
          </reference>
        </references>
      </pivotArea>
    </format>
    <format dxfId="993">
      <pivotArea dataOnly="0" labelOnly="1" outline="0" fieldPosition="0">
        <references count="2">
          <reference field="0" count="1" selected="0">
            <x v="24"/>
          </reference>
          <reference field="2" count="1">
            <x v="26"/>
          </reference>
        </references>
      </pivotArea>
    </format>
    <format dxfId="992">
      <pivotArea dataOnly="0" labelOnly="1" outline="0" fieldPosition="0">
        <references count="2">
          <reference field="0" count="1" selected="0">
            <x v="25"/>
          </reference>
          <reference field="2" count="1">
            <x v="25"/>
          </reference>
        </references>
      </pivotArea>
    </format>
    <format dxfId="991">
      <pivotArea dataOnly="0" labelOnly="1" outline="0" fieldPosition="0">
        <references count="2">
          <reference field="0" count="1" selected="0">
            <x v="26"/>
          </reference>
          <reference field="2" count="1">
            <x v="28"/>
          </reference>
        </references>
      </pivotArea>
    </format>
    <format dxfId="990">
      <pivotArea dataOnly="0" labelOnly="1" outline="0" fieldPosition="0">
        <references count="2">
          <reference field="0" count="1" selected="0">
            <x v="27"/>
          </reference>
          <reference field="2" count="1">
            <x v="27"/>
          </reference>
        </references>
      </pivotArea>
    </format>
    <format dxfId="989">
      <pivotArea dataOnly="0" labelOnly="1" outline="0" fieldPosition="0">
        <references count="2">
          <reference field="0" count="1" selected="0">
            <x v="28"/>
          </reference>
          <reference field="2" count="1">
            <x v="29"/>
          </reference>
        </references>
      </pivotArea>
    </format>
    <format dxfId="988">
      <pivotArea dataOnly="0" labelOnly="1" outline="0" fieldPosition="0">
        <references count="2">
          <reference field="0" count="1" selected="0">
            <x v="29"/>
          </reference>
          <reference field="2" count="1">
            <x v="30"/>
          </reference>
        </references>
      </pivotArea>
    </format>
    <format dxfId="987">
      <pivotArea dataOnly="0" labelOnly="1" outline="0" fieldPosition="0">
        <references count="2">
          <reference field="0" count="1" selected="0">
            <x v="30"/>
          </reference>
          <reference field="2" count="1">
            <x v="31"/>
          </reference>
        </references>
      </pivotArea>
    </format>
    <format dxfId="986">
      <pivotArea dataOnly="0" labelOnly="1" outline="0" fieldPosition="0">
        <references count="2">
          <reference field="0" count="1" selected="0">
            <x v="31"/>
          </reference>
          <reference field="2" count="1">
            <x v="32"/>
          </reference>
        </references>
      </pivotArea>
    </format>
    <format dxfId="985">
      <pivotArea dataOnly="0" labelOnly="1" outline="0" fieldPosition="0">
        <references count="2">
          <reference field="0" count="1" selected="0">
            <x v="32"/>
          </reference>
          <reference field="2" count="1">
            <x v="33"/>
          </reference>
        </references>
      </pivotArea>
    </format>
    <format dxfId="984">
      <pivotArea dataOnly="0" labelOnly="1" outline="0" fieldPosition="0">
        <references count="2">
          <reference field="0" count="1" selected="0">
            <x v="33"/>
          </reference>
          <reference field="2" count="1">
            <x v="34"/>
          </reference>
        </references>
      </pivotArea>
    </format>
    <format dxfId="983">
      <pivotArea dataOnly="0" labelOnly="1" outline="0" fieldPosition="0">
        <references count="2">
          <reference field="0" count="1" selected="0">
            <x v="34"/>
          </reference>
          <reference field="2" count="1">
            <x v="35"/>
          </reference>
        </references>
      </pivotArea>
    </format>
    <format dxfId="982">
      <pivotArea dataOnly="0" labelOnly="1" outline="0" fieldPosition="0">
        <references count="2">
          <reference field="0" count="1" selected="0">
            <x v="35"/>
          </reference>
          <reference field="2" count="1">
            <x v="36"/>
          </reference>
        </references>
      </pivotArea>
    </format>
    <format dxfId="981">
      <pivotArea dataOnly="0" labelOnly="1" outline="0" fieldPosition="0">
        <references count="2">
          <reference field="0" count="1" selected="0">
            <x v="36"/>
          </reference>
          <reference field="2" count="1">
            <x v="37"/>
          </reference>
        </references>
      </pivotArea>
    </format>
    <format dxfId="980">
      <pivotArea dataOnly="0" labelOnly="1" outline="0" fieldPosition="0">
        <references count="2">
          <reference field="0" count="1" selected="0">
            <x v="37"/>
          </reference>
          <reference field="2" count="1">
            <x v="38"/>
          </reference>
        </references>
      </pivotArea>
    </format>
    <format dxfId="979">
      <pivotArea dataOnly="0" labelOnly="1" outline="0" fieldPosition="0">
        <references count="2">
          <reference field="0" count="1" selected="0">
            <x v="38"/>
          </reference>
          <reference field="2" count="1">
            <x v="39"/>
          </reference>
        </references>
      </pivotArea>
    </format>
    <format dxfId="978">
      <pivotArea dataOnly="0" labelOnly="1" outline="0" fieldPosition="0">
        <references count="2">
          <reference field="0" count="1" selected="0">
            <x v="39"/>
          </reference>
          <reference field="2" count="1">
            <x v="40"/>
          </reference>
        </references>
      </pivotArea>
    </format>
    <format dxfId="977">
      <pivotArea dataOnly="0" labelOnly="1" outline="0" fieldPosition="0">
        <references count="2">
          <reference field="0" count="1" selected="0">
            <x v="40"/>
          </reference>
          <reference field="2" count="1">
            <x v="41"/>
          </reference>
        </references>
      </pivotArea>
    </format>
    <format dxfId="976">
      <pivotArea dataOnly="0" labelOnly="1" outline="0" fieldPosition="0">
        <references count="2">
          <reference field="0" count="1" selected="0">
            <x v="41"/>
          </reference>
          <reference field="2" count="1">
            <x v="42"/>
          </reference>
        </references>
      </pivotArea>
    </format>
    <format dxfId="975">
      <pivotArea dataOnly="0" labelOnly="1" outline="0" fieldPosition="0">
        <references count="2">
          <reference field="0" count="1" selected="0">
            <x v="42"/>
          </reference>
          <reference field="2" count="1">
            <x v="43"/>
          </reference>
        </references>
      </pivotArea>
    </format>
    <format dxfId="974">
      <pivotArea dataOnly="0" labelOnly="1" outline="0" fieldPosition="0">
        <references count="2">
          <reference field="0" count="1" selected="0">
            <x v="43"/>
          </reference>
          <reference field="2" count="1">
            <x v="44"/>
          </reference>
        </references>
      </pivotArea>
    </format>
    <format dxfId="973">
      <pivotArea dataOnly="0" labelOnly="1" outline="0" fieldPosition="0">
        <references count="2">
          <reference field="0" count="1" selected="0">
            <x v="44"/>
          </reference>
          <reference field="2" count="1">
            <x v="45"/>
          </reference>
        </references>
      </pivotArea>
    </format>
    <format dxfId="972">
      <pivotArea dataOnly="0" labelOnly="1" outline="0" fieldPosition="0">
        <references count="2">
          <reference field="0" count="1" selected="0">
            <x v="45"/>
          </reference>
          <reference field="2" count="1">
            <x v="21"/>
          </reference>
        </references>
      </pivotArea>
    </format>
    <format dxfId="971">
      <pivotArea dataOnly="0" labelOnly="1" outline="0" fieldPosition="0">
        <references count="2">
          <reference field="0" count="1" selected="0">
            <x v="46"/>
          </reference>
          <reference field="2" count="1">
            <x v="50"/>
          </reference>
        </references>
      </pivotArea>
    </format>
    <format dxfId="970">
      <pivotArea dataOnly="0" labelOnly="1" outline="0" fieldPosition="0">
        <references count="2">
          <reference field="0" count="1" selected="0">
            <x v="47"/>
          </reference>
          <reference field="2" count="1">
            <x v="46"/>
          </reference>
        </references>
      </pivotArea>
    </format>
    <format dxfId="969">
      <pivotArea dataOnly="0" labelOnly="1" outline="0" fieldPosition="0">
        <references count="2">
          <reference field="0" count="1" selected="0">
            <x v="48"/>
          </reference>
          <reference field="2" count="1">
            <x v="47"/>
          </reference>
        </references>
      </pivotArea>
    </format>
    <format dxfId="968">
      <pivotArea dataOnly="0" labelOnly="1" outline="0" fieldPosition="0">
        <references count="2">
          <reference field="0" count="1" selected="0">
            <x v="49"/>
          </reference>
          <reference field="2" count="1">
            <x v="48"/>
          </reference>
        </references>
      </pivotArea>
    </format>
    <format dxfId="967">
      <pivotArea dataOnly="0" labelOnly="1" outline="0" fieldPosition="0">
        <references count="2">
          <reference field="0" count="1" selected="0">
            <x v="50"/>
          </reference>
          <reference field="2" count="1">
            <x v="49"/>
          </reference>
        </references>
      </pivotArea>
    </format>
    <format dxfId="966">
      <pivotArea dataOnly="0" labelOnly="1" outline="0" fieldPosition="0">
        <references count="2">
          <reference field="0" count="1" selected="0">
            <x v="51"/>
          </reference>
          <reference field="2" count="1">
            <x v="51"/>
          </reference>
        </references>
      </pivotArea>
    </format>
    <format dxfId="965">
      <pivotArea dataOnly="0" labelOnly="1" outline="0" fieldPosition="0">
        <references count="2">
          <reference field="0" count="1" selected="0">
            <x v="52"/>
          </reference>
          <reference field="2" count="1">
            <x v="52"/>
          </reference>
        </references>
      </pivotArea>
    </format>
    <format dxfId="964">
      <pivotArea dataOnly="0" labelOnly="1" outline="0" fieldPosition="0">
        <references count="2">
          <reference field="0" count="1" selected="0">
            <x v="53"/>
          </reference>
          <reference field="2" count="1">
            <x v="53"/>
          </reference>
        </references>
      </pivotArea>
    </format>
    <format dxfId="963">
      <pivotArea dataOnly="0" labelOnly="1" outline="0" fieldPosition="0">
        <references count="2">
          <reference field="0" count="1" selected="0">
            <x v="54"/>
          </reference>
          <reference field="2" count="1">
            <x v="54"/>
          </reference>
        </references>
      </pivotArea>
    </format>
    <format dxfId="962">
      <pivotArea dataOnly="0" labelOnly="1" outline="0" fieldPosition="0">
        <references count="2">
          <reference field="0" count="1" selected="0">
            <x v="55"/>
          </reference>
          <reference field="2" count="1">
            <x v="55"/>
          </reference>
        </references>
      </pivotArea>
    </format>
    <format dxfId="961">
      <pivotArea dataOnly="0" labelOnly="1" outline="0" fieldPosition="0">
        <references count="2">
          <reference field="0" count="1" selected="0">
            <x v="56"/>
          </reference>
          <reference field="2" count="1">
            <x v="56"/>
          </reference>
        </references>
      </pivotArea>
    </format>
    <format dxfId="960">
      <pivotArea dataOnly="0" labelOnly="1" outline="0" fieldPosition="0">
        <references count="2">
          <reference field="0" count="1" selected="0">
            <x v="57"/>
          </reference>
          <reference field="2" count="1">
            <x v="57"/>
          </reference>
        </references>
      </pivotArea>
    </format>
    <format dxfId="959">
      <pivotArea dataOnly="0" labelOnly="1" outline="0" fieldPosition="0">
        <references count="2">
          <reference field="0" count="1" selected="0">
            <x v="58"/>
          </reference>
          <reference field="2" count="1">
            <x v="58"/>
          </reference>
        </references>
      </pivotArea>
    </format>
    <format dxfId="958">
      <pivotArea dataOnly="0" labelOnly="1" outline="0" fieldPosition="0">
        <references count="2">
          <reference field="0" count="1" selected="0">
            <x v="59"/>
          </reference>
          <reference field="2" count="1">
            <x v="59"/>
          </reference>
        </references>
      </pivotArea>
    </format>
    <format dxfId="957">
      <pivotArea dataOnly="0" labelOnly="1" outline="0" fieldPosition="0">
        <references count="2">
          <reference field="0" count="1" selected="0">
            <x v="60"/>
          </reference>
          <reference field="2" count="1">
            <x v="60"/>
          </reference>
        </references>
      </pivotArea>
    </format>
    <format dxfId="956">
      <pivotArea dataOnly="0" labelOnly="1" outline="0" fieldPosition="0">
        <references count="2">
          <reference field="0" count="1" selected="0">
            <x v="61"/>
          </reference>
          <reference field="2" count="1">
            <x v="61"/>
          </reference>
        </references>
      </pivotArea>
    </format>
    <format dxfId="955">
      <pivotArea dataOnly="0" labelOnly="1" outline="0" fieldPosition="0">
        <references count="2">
          <reference field="0" count="1" selected="0">
            <x v="62"/>
          </reference>
          <reference field="2" count="1">
            <x v="62"/>
          </reference>
        </references>
      </pivotArea>
    </format>
    <format dxfId="954">
      <pivotArea dataOnly="0" labelOnly="1" outline="0" fieldPosition="0">
        <references count="2">
          <reference field="0" count="1" selected="0">
            <x v="63"/>
          </reference>
          <reference field="2" count="1">
            <x v="63"/>
          </reference>
        </references>
      </pivotArea>
    </format>
    <format dxfId="953">
      <pivotArea dataOnly="0" labelOnly="1" outline="0" fieldPosition="0">
        <references count="2">
          <reference field="0" count="1" selected="0">
            <x v="64"/>
          </reference>
          <reference field="2" count="1">
            <x v="64"/>
          </reference>
        </references>
      </pivotArea>
    </format>
    <format dxfId="952">
      <pivotArea dataOnly="0" labelOnly="1" outline="0" fieldPosition="0">
        <references count="3">
          <reference field="0" count="1" selected="0">
            <x v="0"/>
          </reference>
          <reference field="2" count="1" selected="0">
            <x v="0"/>
          </reference>
          <reference field="4" count="1">
            <x v="0"/>
          </reference>
        </references>
      </pivotArea>
    </format>
    <format dxfId="951">
      <pivotArea dataOnly="0" labelOnly="1" outline="0" fieldPosition="0">
        <references count="3">
          <reference field="0" count="1" selected="0">
            <x v="1"/>
          </reference>
          <reference field="2" count="1" selected="0">
            <x v="1"/>
          </reference>
          <reference field="4" count="1">
            <x v="17"/>
          </reference>
        </references>
      </pivotArea>
    </format>
    <format dxfId="950">
      <pivotArea dataOnly="0" labelOnly="1" outline="0" fieldPosition="0">
        <references count="3">
          <reference field="0" count="1" selected="0">
            <x v="2"/>
          </reference>
          <reference field="2" count="1" selected="0">
            <x v="2"/>
          </reference>
          <reference field="4" count="1">
            <x v="51"/>
          </reference>
        </references>
      </pivotArea>
    </format>
    <format dxfId="949">
      <pivotArea dataOnly="0" labelOnly="1" outline="0" fieldPosition="0">
        <references count="3">
          <reference field="0" count="1" selected="0">
            <x v="3"/>
          </reference>
          <reference field="2" count="1" selected="0">
            <x v="3"/>
          </reference>
          <reference field="4" count="1">
            <x v="13"/>
          </reference>
        </references>
      </pivotArea>
    </format>
    <format dxfId="948">
      <pivotArea dataOnly="0" labelOnly="1" outline="0" fieldPosition="0">
        <references count="3">
          <reference field="0" count="1" selected="0">
            <x v="4"/>
          </reference>
          <reference field="2" count="1" selected="0">
            <x v="4"/>
          </reference>
          <reference field="4" count="1">
            <x v="11"/>
          </reference>
        </references>
      </pivotArea>
    </format>
    <format dxfId="947">
      <pivotArea dataOnly="0" labelOnly="1" outline="0" fieldPosition="0">
        <references count="3">
          <reference field="0" count="1" selected="0">
            <x v="5"/>
          </reference>
          <reference field="2" count="1" selected="0">
            <x v="5"/>
          </reference>
          <reference field="4" count="1">
            <x v="20"/>
          </reference>
        </references>
      </pivotArea>
    </format>
    <format dxfId="946">
      <pivotArea dataOnly="0" labelOnly="1" outline="0" fieldPosition="0">
        <references count="3">
          <reference field="0" count="1" selected="0">
            <x v="6"/>
          </reference>
          <reference field="2" count="1" selected="0">
            <x v="6"/>
          </reference>
          <reference field="4" count="1">
            <x v="60"/>
          </reference>
        </references>
      </pivotArea>
    </format>
    <format dxfId="945">
      <pivotArea dataOnly="0" labelOnly="1" outline="0" fieldPosition="0">
        <references count="3">
          <reference field="0" count="1" selected="0">
            <x v="7"/>
          </reference>
          <reference field="2" count="1" selected="0">
            <x v="7"/>
          </reference>
          <reference field="4" count="1">
            <x v="14"/>
          </reference>
        </references>
      </pivotArea>
    </format>
    <format dxfId="944">
      <pivotArea dataOnly="0" labelOnly="1" outline="0" fieldPosition="0">
        <references count="3">
          <reference field="0" count="1" selected="0">
            <x v="8"/>
          </reference>
          <reference field="2" count="1" selected="0">
            <x v="8"/>
          </reference>
          <reference field="4" count="1">
            <x v="37"/>
          </reference>
        </references>
      </pivotArea>
    </format>
    <format dxfId="943">
      <pivotArea dataOnly="0" labelOnly="1" outline="0" fieldPosition="0">
        <references count="3">
          <reference field="0" count="1" selected="0">
            <x v="9"/>
          </reference>
          <reference field="2" count="1" selected="0">
            <x v="9"/>
          </reference>
          <reference field="4" count="1">
            <x v="35"/>
          </reference>
        </references>
      </pivotArea>
    </format>
    <format dxfId="942">
      <pivotArea dataOnly="0" labelOnly="1" outline="0" fieldPosition="0">
        <references count="3">
          <reference field="0" count="1" selected="0">
            <x v="10"/>
          </reference>
          <reference field="2" count="1" selected="0">
            <x v="10"/>
          </reference>
          <reference field="4" count="1">
            <x v="55"/>
          </reference>
        </references>
      </pivotArea>
    </format>
    <format dxfId="941">
      <pivotArea dataOnly="0" labelOnly="1" outline="0" fieldPosition="0">
        <references count="3">
          <reference field="0" count="1" selected="0">
            <x v="11"/>
          </reference>
          <reference field="2" count="1" selected="0">
            <x v="11"/>
          </reference>
          <reference field="4" count="1">
            <x v="10"/>
          </reference>
        </references>
      </pivotArea>
    </format>
    <format dxfId="940">
      <pivotArea dataOnly="0" labelOnly="1" outline="0" fieldPosition="0">
        <references count="3">
          <reference field="0" count="1" selected="0">
            <x v="12"/>
          </reference>
          <reference field="2" count="1" selected="0">
            <x v="12"/>
          </reference>
          <reference field="4" count="1">
            <x v="63"/>
          </reference>
        </references>
      </pivotArea>
    </format>
    <format dxfId="939">
      <pivotArea dataOnly="0" labelOnly="1" outline="0" fieldPosition="0">
        <references count="3">
          <reference field="0" count="1" selected="0">
            <x v="13"/>
          </reference>
          <reference field="2" count="1" selected="0">
            <x v="13"/>
          </reference>
          <reference field="4" count="1">
            <x v="4"/>
          </reference>
        </references>
      </pivotArea>
    </format>
    <format dxfId="938">
      <pivotArea dataOnly="0" labelOnly="1" outline="0" fieldPosition="0">
        <references count="3">
          <reference field="0" count="1" selected="0">
            <x v="14"/>
          </reference>
          <reference field="2" count="1" selected="0">
            <x v="14"/>
          </reference>
          <reference field="4" count="1">
            <x v="21"/>
          </reference>
        </references>
      </pivotArea>
    </format>
    <format dxfId="937">
      <pivotArea dataOnly="0" labelOnly="1" outline="0" fieldPosition="0">
        <references count="3">
          <reference field="0" count="1" selected="0">
            <x v="15"/>
          </reference>
          <reference field="2" count="1" selected="0">
            <x v="15"/>
          </reference>
          <reference field="4" count="1">
            <x v="28"/>
          </reference>
        </references>
      </pivotArea>
    </format>
    <format dxfId="936">
      <pivotArea dataOnly="0" labelOnly="1" outline="0" fieldPosition="0">
        <references count="3">
          <reference field="0" count="1" selected="0">
            <x v="16"/>
          </reference>
          <reference field="2" count="1" selected="0">
            <x v="16"/>
          </reference>
          <reference field="4" count="1">
            <x v="57"/>
          </reference>
        </references>
      </pivotArea>
    </format>
    <format dxfId="935">
      <pivotArea dataOnly="0" labelOnly="1" outline="0" fieldPosition="0">
        <references count="3">
          <reference field="0" count="1" selected="0">
            <x v="17"/>
          </reference>
          <reference field="2" count="1" selected="0">
            <x v="17"/>
          </reference>
          <reference field="4" count="1">
            <x v="32"/>
          </reference>
        </references>
      </pivotArea>
    </format>
    <format dxfId="934">
      <pivotArea dataOnly="0" labelOnly="1" outline="0" fieldPosition="0">
        <references count="3">
          <reference field="0" count="1" selected="0">
            <x v="18"/>
          </reference>
          <reference field="2" count="1" selected="0">
            <x v="18"/>
          </reference>
          <reference field="4" count="1">
            <x v="54"/>
          </reference>
        </references>
      </pivotArea>
    </format>
    <format dxfId="933">
      <pivotArea dataOnly="0" labelOnly="1" outline="0" fieldPosition="0">
        <references count="3">
          <reference field="0" count="1" selected="0">
            <x v="19"/>
          </reference>
          <reference field="2" count="1" selected="0">
            <x v="19"/>
          </reference>
          <reference field="4" count="1">
            <x v="62"/>
          </reference>
        </references>
      </pivotArea>
    </format>
    <format dxfId="932">
      <pivotArea dataOnly="0" labelOnly="1" outline="0" fieldPosition="0">
        <references count="3">
          <reference field="0" count="1" selected="0">
            <x v="20"/>
          </reference>
          <reference field="2" count="1" selected="0">
            <x v="20"/>
          </reference>
          <reference field="4" count="1">
            <x v="59"/>
          </reference>
        </references>
      </pivotArea>
    </format>
    <format dxfId="931">
      <pivotArea dataOnly="0" labelOnly="1" outline="0" fieldPosition="0">
        <references count="3">
          <reference field="0" count="1" selected="0">
            <x v="21"/>
          </reference>
          <reference field="2" count="1" selected="0">
            <x v="22"/>
          </reference>
          <reference field="4" count="1">
            <x v="56"/>
          </reference>
        </references>
      </pivotArea>
    </format>
    <format dxfId="930">
      <pivotArea dataOnly="0" labelOnly="1" outline="0" fieldPosition="0">
        <references count="3">
          <reference field="0" count="1" selected="0">
            <x v="22"/>
          </reference>
          <reference field="2" count="1" selected="0">
            <x v="23"/>
          </reference>
          <reference field="4" count="1">
            <x v="15"/>
          </reference>
        </references>
      </pivotArea>
    </format>
    <format dxfId="929">
      <pivotArea dataOnly="0" labelOnly="1" outline="0" fieldPosition="0">
        <references count="3">
          <reference field="0" count="1" selected="0">
            <x v="23"/>
          </reference>
          <reference field="2" count="1" selected="0">
            <x v="24"/>
          </reference>
          <reference field="4" count="1">
            <x v="53"/>
          </reference>
        </references>
      </pivotArea>
    </format>
    <format dxfId="928">
      <pivotArea dataOnly="0" labelOnly="1" outline="0" fieldPosition="0">
        <references count="3">
          <reference field="0" count="1" selected="0">
            <x v="24"/>
          </reference>
          <reference field="2" count="1" selected="0">
            <x v="26"/>
          </reference>
          <reference field="4" count="1">
            <x v="52"/>
          </reference>
        </references>
      </pivotArea>
    </format>
    <format dxfId="927">
      <pivotArea dataOnly="0" labelOnly="1" outline="0" fieldPosition="0">
        <references count="3">
          <reference field="0" count="1" selected="0">
            <x v="25"/>
          </reference>
          <reference field="2" count="1" selected="0">
            <x v="25"/>
          </reference>
          <reference field="4" count="1">
            <x v="31"/>
          </reference>
        </references>
      </pivotArea>
    </format>
    <format dxfId="926">
      <pivotArea dataOnly="0" labelOnly="1" outline="0" fieldPosition="0">
        <references count="3">
          <reference field="0" count="1" selected="0">
            <x v="26"/>
          </reference>
          <reference field="2" count="1" selected="0">
            <x v="28"/>
          </reference>
          <reference field="4" count="1">
            <x v="7"/>
          </reference>
        </references>
      </pivotArea>
    </format>
    <format dxfId="925">
      <pivotArea dataOnly="0" labelOnly="1" outline="0" fieldPosition="0">
        <references count="3">
          <reference field="0" count="1" selected="0">
            <x v="27"/>
          </reference>
          <reference field="2" count="1" selected="0">
            <x v="27"/>
          </reference>
          <reference field="4" count="1">
            <x v="58"/>
          </reference>
        </references>
      </pivotArea>
    </format>
    <format dxfId="924">
      <pivotArea dataOnly="0" labelOnly="1" outline="0" fieldPosition="0">
        <references count="3">
          <reference field="0" count="1" selected="0">
            <x v="28"/>
          </reference>
          <reference field="2" count="1" selected="0">
            <x v="29"/>
          </reference>
          <reference field="4" count="1">
            <x v="40"/>
          </reference>
        </references>
      </pivotArea>
    </format>
    <format dxfId="923">
      <pivotArea dataOnly="0" labelOnly="1" outline="0" fieldPosition="0">
        <references count="3">
          <reference field="0" count="1" selected="0">
            <x v="29"/>
          </reference>
          <reference field="2" count="1" selected="0">
            <x v="30"/>
          </reference>
          <reference field="4" count="1">
            <x v="61"/>
          </reference>
        </references>
      </pivotArea>
    </format>
    <format dxfId="922">
      <pivotArea dataOnly="0" labelOnly="1" outline="0" fieldPosition="0">
        <references count="3">
          <reference field="0" count="1" selected="0">
            <x v="30"/>
          </reference>
          <reference field="2" count="1" selected="0">
            <x v="31"/>
          </reference>
          <reference field="4" count="1">
            <x v="27"/>
          </reference>
        </references>
      </pivotArea>
    </format>
    <format dxfId="921">
      <pivotArea dataOnly="0" labelOnly="1" outline="0" fieldPosition="0">
        <references count="3">
          <reference field="0" count="1" selected="0">
            <x v="31"/>
          </reference>
          <reference field="2" count="1" selected="0">
            <x v="32"/>
          </reference>
          <reference field="4" count="1">
            <x v="47"/>
          </reference>
        </references>
      </pivotArea>
    </format>
    <format dxfId="920">
      <pivotArea dataOnly="0" labelOnly="1" outline="0" fieldPosition="0">
        <references count="3">
          <reference field="0" count="1" selected="0">
            <x v="32"/>
          </reference>
          <reference field="2" count="1" selected="0">
            <x v="33"/>
          </reference>
          <reference field="4" count="1">
            <x v="50"/>
          </reference>
        </references>
      </pivotArea>
    </format>
    <format dxfId="919">
      <pivotArea dataOnly="0" labelOnly="1" outline="0" fieldPosition="0">
        <references count="3">
          <reference field="0" count="1" selected="0">
            <x v="33"/>
          </reference>
          <reference field="2" count="1" selected="0">
            <x v="34"/>
          </reference>
          <reference field="4" count="1">
            <x v="44"/>
          </reference>
        </references>
      </pivotArea>
    </format>
    <format dxfId="918">
      <pivotArea dataOnly="0" labelOnly="1" outline="0" fieldPosition="0">
        <references count="3">
          <reference field="0" count="1" selected="0">
            <x v="34"/>
          </reference>
          <reference field="2" count="1" selected="0">
            <x v="35"/>
          </reference>
          <reference field="4" count="1">
            <x v="5"/>
          </reference>
        </references>
      </pivotArea>
    </format>
    <format dxfId="917">
      <pivotArea dataOnly="0" labelOnly="1" outline="0" fieldPosition="0">
        <references count="3">
          <reference field="0" count="1" selected="0">
            <x v="35"/>
          </reference>
          <reference field="2" count="1" selected="0">
            <x v="36"/>
          </reference>
          <reference field="4" count="1">
            <x v="3"/>
          </reference>
        </references>
      </pivotArea>
    </format>
    <format dxfId="916">
      <pivotArea dataOnly="0" labelOnly="1" outline="0" fieldPosition="0">
        <references count="3">
          <reference field="0" count="1" selected="0">
            <x v="36"/>
          </reference>
          <reference field="2" count="1" selected="0">
            <x v="37"/>
          </reference>
          <reference field="4" count="1">
            <x v="42"/>
          </reference>
        </references>
      </pivotArea>
    </format>
    <format dxfId="915">
      <pivotArea dataOnly="0" labelOnly="1" outline="0" fieldPosition="0">
        <references count="3">
          <reference field="0" count="1" selected="0">
            <x v="37"/>
          </reference>
          <reference field="2" count="1" selected="0">
            <x v="38"/>
          </reference>
          <reference field="4" count="1">
            <x v="19"/>
          </reference>
        </references>
      </pivotArea>
    </format>
    <format dxfId="914">
      <pivotArea dataOnly="0" labelOnly="1" outline="0" fieldPosition="0">
        <references count="3">
          <reference field="0" count="1" selected="0">
            <x v="38"/>
          </reference>
          <reference field="2" count="1" selected="0">
            <x v="39"/>
          </reference>
          <reference field="4" count="1">
            <x v="43"/>
          </reference>
        </references>
      </pivotArea>
    </format>
    <format dxfId="913">
      <pivotArea dataOnly="0" labelOnly="1" outline="0" fieldPosition="0">
        <references count="3">
          <reference field="0" count="1" selected="0">
            <x v="39"/>
          </reference>
          <reference field="2" count="1" selected="0">
            <x v="40"/>
          </reference>
          <reference field="4" count="1">
            <x v="41"/>
          </reference>
        </references>
      </pivotArea>
    </format>
    <format dxfId="912">
      <pivotArea dataOnly="0" labelOnly="1" outline="0" fieldPosition="0">
        <references count="3">
          <reference field="0" count="1" selected="0">
            <x v="40"/>
          </reference>
          <reference field="2" count="1" selected="0">
            <x v="41"/>
          </reference>
          <reference field="4" count="1">
            <x v="6"/>
          </reference>
        </references>
      </pivotArea>
    </format>
    <format dxfId="911">
      <pivotArea dataOnly="0" labelOnly="1" outline="0" fieldPosition="0">
        <references count="3">
          <reference field="0" count="1" selected="0">
            <x v="41"/>
          </reference>
          <reference field="2" count="1" selected="0">
            <x v="42"/>
          </reference>
          <reference field="4" count="1">
            <x v="9"/>
          </reference>
        </references>
      </pivotArea>
    </format>
    <format dxfId="910">
      <pivotArea dataOnly="0" labelOnly="1" outline="0" fieldPosition="0">
        <references count="3">
          <reference field="0" count="1" selected="0">
            <x v="42"/>
          </reference>
          <reference field="2" count="1" selected="0">
            <x v="43"/>
          </reference>
          <reference field="4" count="1">
            <x v="8"/>
          </reference>
        </references>
      </pivotArea>
    </format>
    <format dxfId="909">
      <pivotArea dataOnly="0" labelOnly="1" outline="0" fieldPosition="0">
        <references count="3">
          <reference field="0" count="1" selected="0">
            <x v="43"/>
          </reference>
          <reference field="2" count="1" selected="0">
            <x v="44"/>
          </reference>
          <reference field="4" count="1">
            <x v="33"/>
          </reference>
        </references>
      </pivotArea>
    </format>
    <format dxfId="908">
      <pivotArea dataOnly="0" labelOnly="1" outline="0" fieldPosition="0">
        <references count="3">
          <reference field="0" count="1" selected="0">
            <x v="44"/>
          </reference>
          <reference field="2" count="1" selected="0">
            <x v="45"/>
          </reference>
          <reference field="4" count="1">
            <x v="26"/>
          </reference>
        </references>
      </pivotArea>
    </format>
    <format dxfId="907">
      <pivotArea dataOnly="0" labelOnly="1" outline="0" fieldPosition="0">
        <references count="3">
          <reference field="0" count="1" selected="0">
            <x v="45"/>
          </reference>
          <reference field="2" count="1" selected="0">
            <x v="21"/>
          </reference>
          <reference field="4" count="1">
            <x v="45"/>
          </reference>
        </references>
      </pivotArea>
    </format>
    <format dxfId="906">
      <pivotArea dataOnly="0" labelOnly="1" outline="0" fieldPosition="0">
        <references count="3">
          <reference field="0" count="1" selected="0">
            <x v="46"/>
          </reference>
          <reference field="2" count="1" selected="0">
            <x v="50"/>
          </reference>
          <reference field="4" count="1">
            <x v="25"/>
          </reference>
        </references>
      </pivotArea>
    </format>
    <format dxfId="905">
      <pivotArea dataOnly="0" labelOnly="1" outline="0" fieldPosition="0">
        <references count="3">
          <reference field="0" count="1" selected="0">
            <x v="47"/>
          </reference>
          <reference field="2" count="1" selected="0">
            <x v="46"/>
          </reference>
          <reference field="4" count="1">
            <x v="16"/>
          </reference>
        </references>
      </pivotArea>
    </format>
    <format dxfId="904">
      <pivotArea dataOnly="0" labelOnly="1" outline="0" fieldPosition="0">
        <references count="3">
          <reference field="0" count="1" selected="0">
            <x v="48"/>
          </reference>
          <reference field="2" count="1" selected="0">
            <x v="47"/>
          </reference>
          <reference field="4" count="1">
            <x v="29"/>
          </reference>
        </references>
      </pivotArea>
    </format>
    <format dxfId="903">
      <pivotArea dataOnly="0" labelOnly="1" outline="0" fieldPosition="0">
        <references count="3">
          <reference field="0" count="1" selected="0">
            <x v="49"/>
          </reference>
          <reference field="2" count="1" selected="0">
            <x v="48"/>
          </reference>
          <reference field="4" count="1">
            <x v="22"/>
          </reference>
        </references>
      </pivotArea>
    </format>
    <format dxfId="902">
      <pivotArea dataOnly="0" labelOnly="1" outline="0" fieldPosition="0">
        <references count="3">
          <reference field="0" count="1" selected="0">
            <x v="50"/>
          </reference>
          <reference field="2" count="1" selected="0">
            <x v="49"/>
          </reference>
          <reference field="4" count="1">
            <x v="24"/>
          </reference>
        </references>
      </pivotArea>
    </format>
    <format dxfId="901">
      <pivotArea dataOnly="0" labelOnly="1" outline="0" fieldPosition="0">
        <references count="3">
          <reference field="0" count="1" selected="0">
            <x v="51"/>
          </reference>
          <reference field="2" count="1" selected="0">
            <x v="51"/>
          </reference>
          <reference field="4" count="1">
            <x v="30"/>
          </reference>
        </references>
      </pivotArea>
    </format>
    <format dxfId="900">
      <pivotArea dataOnly="0" labelOnly="1" outline="0" fieldPosition="0">
        <references count="3">
          <reference field="0" count="1" selected="0">
            <x v="52"/>
          </reference>
          <reference field="2" count="1" selected="0">
            <x v="52"/>
          </reference>
          <reference field="4" count="1">
            <x v="18"/>
          </reference>
        </references>
      </pivotArea>
    </format>
    <format dxfId="899">
      <pivotArea dataOnly="0" labelOnly="1" outline="0" fieldPosition="0">
        <references count="3">
          <reference field="0" count="1" selected="0">
            <x v="53"/>
          </reference>
          <reference field="2" count="1" selected="0">
            <x v="53"/>
          </reference>
          <reference field="4" count="1">
            <x v="38"/>
          </reference>
        </references>
      </pivotArea>
    </format>
    <format dxfId="898">
      <pivotArea dataOnly="0" labelOnly="1" outline="0" fieldPosition="0">
        <references count="3">
          <reference field="0" count="1" selected="0">
            <x v="54"/>
          </reference>
          <reference field="2" count="1" selected="0">
            <x v="54"/>
          </reference>
          <reference field="4" count="1">
            <x v="12"/>
          </reference>
        </references>
      </pivotArea>
    </format>
    <format dxfId="897">
      <pivotArea dataOnly="0" labelOnly="1" outline="0" fieldPosition="0">
        <references count="3">
          <reference field="0" count="1" selected="0">
            <x v="55"/>
          </reference>
          <reference field="2" count="1" selected="0">
            <x v="55"/>
          </reference>
          <reference field="4" count="1">
            <x v="46"/>
          </reference>
        </references>
      </pivotArea>
    </format>
    <format dxfId="896">
      <pivotArea dataOnly="0" labelOnly="1" outline="0" fieldPosition="0">
        <references count="3">
          <reference field="0" count="1" selected="0">
            <x v="56"/>
          </reference>
          <reference field="2" count="1" selected="0">
            <x v="56"/>
          </reference>
          <reference field="4" count="1">
            <x v="1"/>
          </reference>
        </references>
      </pivotArea>
    </format>
    <format dxfId="895">
      <pivotArea dataOnly="0" labelOnly="1" outline="0" fieldPosition="0">
        <references count="3">
          <reference field="0" count="1" selected="0">
            <x v="57"/>
          </reference>
          <reference field="2" count="1" selected="0">
            <x v="57"/>
          </reference>
          <reference field="4" count="1">
            <x v="2"/>
          </reference>
        </references>
      </pivotArea>
    </format>
    <format dxfId="894">
      <pivotArea dataOnly="0" labelOnly="1" outline="0" fieldPosition="0">
        <references count="3">
          <reference field="0" count="1" selected="0">
            <x v="58"/>
          </reference>
          <reference field="2" count="1" selected="0">
            <x v="58"/>
          </reference>
          <reference field="4" count="1">
            <x v="39"/>
          </reference>
        </references>
      </pivotArea>
    </format>
    <format dxfId="893">
      <pivotArea dataOnly="0" labelOnly="1" outline="0" fieldPosition="0">
        <references count="3">
          <reference field="0" count="1" selected="0">
            <x v="59"/>
          </reference>
          <reference field="2" count="1" selected="0">
            <x v="59"/>
          </reference>
          <reference field="4" count="1">
            <x v="48"/>
          </reference>
        </references>
      </pivotArea>
    </format>
    <format dxfId="892">
      <pivotArea dataOnly="0" labelOnly="1" outline="0" fieldPosition="0">
        <references count="3">
          <reference field="0" count="1" selected="0">
            <x v="60"/>
          </reference>
          <reference field="2" count="1" selected="0">
            <x v="60"/>
          </reference>
          <reference field="4" count="1">
            <x v="49"/>
          </reference>
        </references>
      </pivotArea>
    </format>
    <format dxfId="891">
      <pivotArea dataOnly="0" labelOnly="1" outline="0" fieldPosition="0">
        <references count="3">
          <reference field="0" count="1" selected="0">
            <x v="61"/>
          </reference>
          <reference field="2" count="1" selected="0">
            <x v="61"/>
          </reference>
          <reference field="4" count="1">
            <x v="34"/>
          </reference>
        </references>
      </pivotArea>
    </format>
    <format dxfId="890">
      <pivotArea dataOnly="0" labelOnly="1" outline="0" fieldPosition="0">
        <references count="3">
          <reference field="0" count="1" selected="0">
            <x v="62"/>
          </reference>
          <reference field="2" count="1" selected="0">
            <x v="62"/>
          </reference>
          <reference field="4" count="1">
            <x v="23"/>
          </reference>
        </references>
      </pivotArea>
    </format>
    <format dxfId="889">
      <pivotArea dataOnly="0" labelOnly="1" outline="0" fieldPosition="0">
        <references count="3">
          <reference field="0" count="1" selected="0">
            <x v="63"/>
          </reference>
          <reference field="2" count="1" selected="0">
            <x v="63"/>
          </reference>
          <reference field="4" count="1">
            <x v="36"/>
          </reference>
        </references>
      </pivotArea>
    </format>
    <format dxfId="888">
      <pivotArea dataOnly="0" labelOnly="1" outline="0" fieldPosition="0">
        <references count="3">
          <reference field="0" count="1" selected="0">
            <x v="64"/>
          </reference>
          <reference field="2" count="1" selected="0">
            <x v="64"/>
          </reference>
          <reference field="4" count="1">
            <x v="64"/>
          </reference>
        </references>
      </pivotArea>
    </format>
    <format dxfId="887">
      <pivotArea dataOnly="0" labelOnly="1" outline="0" fieldPosition="0">
        <references count="4">
          <reference field="0" count="1" selected="0">
            <x v="0"/>
          </reference>
          <reference field="2" count="1" selected="0">
            <x v="0"/>
          </reference>
          <reference field="4" count="1" selected="0">
            <x v="0"/>
          </reference>
          <reference field="5" count="1">
            <x v="0"/>
          </reference>
        </references>
      </pivotArea>
    </format>
    <format dxfId="886">
      <pivotArea dataOnly="0" labelOnly="1" outline="0" fieldPosition="0">
        <references count="4">
          <reference field="0" count="1" selected="0">
            <x v="1"/>
          </reference>
          <reference field="2" count="1" selected="0">
            <x v="1"/>
          </reference>
          <reference field="4" count="1" selected="0">
            <x v="17"/>
          </reference>
          <reference field="5" count="1">
            <x v="4"/>
          </reference>
        </references>
      </pivotArea>
    </format>
    <format dxfId="885">
      <pivotArea dataOnly="0" labelOnly="1" outline="0" fieldPosition="0">
        <references count="4">
          <reference field="0" count="1" selected="0">
            <x v="2"/>
          </reference>
          <reference field="2" count="1" selected="0">
            <x v="2"/>
          </reference>
          <reference field="4" count="1" selected="0">
            <x v="51"/>
          </reference>
          <reference field="5" count="1">
            <x v="6"/>
          </reference>
        </references>
      </pivotArea>
    </format>
    <format dxfId="884">
      <pivotArea dataOnly="0" labelOnly="1" outline="0" fieldPosition="0">
        <references count="4">
          <reference field="0" count="1" selected="0">
            <x v="3"/>
          </reference>
          <reference field="2" count="1" selected="0">
            <x v="3"/>
          </reference>
          <reference field="4" count="1" selected="0">
            <x v="13"/>
          </reference>
          <reference field="5" count="1">
            <x v="7"/>
          </reference>
        </references>
      </pivotArea>
    </format>
    <format dxfId="883">
      <pivotArea dataOnly="0" labelOnly="1" outline="0" fieldPosition="0">
        <references count="4">
          <reference field="0" count="1" selected="0">
            <x v="4"/>
          </reference>
          <reference field="2" count="1" selected="0">
            <x v="4"/>
          </reference>
          <reference field="4" count="1" selected="0">
            <x v="11"/>
          </reference>
          <reference field="5" count="1">
            <x v="34"/>
          </reference>
        </references>
      </pivotArea>
    </format>
    <format dxfId="882">
      <pivotArea dataOnly="0" labelOnly="1" outline="0" fieldPosition="0">
        <references count="4">
          <reference field="0" count="1" selected="0">
            <x v="5"/>
          </reference>
          <reference field="2" count="1" selected="0">
            <x v="5"/>
          </reference>
          <reference field="4" count="1" selected="0">
            <x v="20"/>
          </reference>
          <reference field="5" count="1">
            <x v="8"/>
          </reference>
        </references>
      </pivotArea>
    </format>
    <format dxfId="881">
      <pivotArea dataOnly="0" labelOnly="1" outline="0" fieldPosition="0">
        <references count="4">
          <reference field="0" count="1" selected="0">
            <x v="6"/>
          </reference>
          <reference field="2" count="1" selected="0">
            <x v="6"/>
          </reference>
          <reference field="4" count="1" selected="0">
            <x v="60"/>
          </reference>
          <reference field="5" count="1">
            <x v="9"/>
          </reference>
        </references>
      </pivotArea>
    </format>
    <format dxfId="880">
      <pivotArea dataOnly="0" labelOnly="1" outline="0" fieldPosition="0">
        <references count="4">
          <reference field="0" count="1" selected="0">
            <x v="7"/>
          </reference>
          <reference field="2" count="1" selected="0">
            <x v="7"/>
          </reference>
          <reference field="4" count="1" selected="0">
            <x v="14"/>
          </reference>
          <reference field="5" count="1">
            <x v="10"/>
          </reference>
        </references>
      </pivotArea>
    </format>
    <format dxfId="879">
      <pivotArea dataOnly="0" labelOnly="1" outline="0" fieldPosition="0">
        <references count="4">
          <reference field="0" count="1" selected="0">
            <x v="8"/>
          </reference>
          <reference field="2" count="1" selected="0">
            <x v="8"/>
          </reference>
          <reference field="4" count="1" selected="0">
            <x v="37"/>
          </reference>
          <reference field="5" count="1">
            <x v="12"/>
          </reference>
        </references>
      </pivotArea>
    </format>
    <format dxfId="878">
      <pivotArea dataOnly="0" labelOnly="1" outline="0" fieldPosition="0">
        <references count="4">
          <reference field="0" count="1" selected="0">
            <x v="9"/>
          </reference>
          <reference field="2" count="1" selected="0">
            <x v="9"/>
          </reference>
          <reference field="4" count="1" selected="0">
            <x v="35"/>
          </reference>
          <reference field="5" count="1">
            <x v="0"/>
          </reference>
        </references>
      </pivotArea>
    </format>
    <format dxfId="877">
      <pivotArea dataOnly="0" labelOnly="1" outline="0" fieldPosition="0">
        <references count="4">
          <reference field="0" count="1" selected="0">
            <x v="10"/>
          </reference>
          <reference field="2" count="1" selected="0">
            <x v="10"/>
          </reference>
          <reference field="4" count="1" selected="0">
            <x v="55"/>
          </reference>
          <reference field="5" count="1">
            <x v="13"/>
          </reference>
        </references>
      </pivotArea>
    </format>
    <format dxfId="876">
      <pivotArea dataOnly="0" labelOnly="1" outline="0" fieldPosition="0">
        <references count="4">
          <reference field="0" count="1" selected="0">
            <x v="11"/>
          </reference>
          <reference field="2" count="1" selected="0">
            <x v="11"/>
          </reference>
          <reference field="4" count="1" selected="0">
            <x v="10"/>
          </reference>
          <reference field="5" count="1">
            <x v="14"/>
          </reference>
        </references>
      </pivotArea>
    </format>
    <format dxfId="875">
      <pivotArea dataOnly="0" labelOnly="1" outline="0" fieldPosition="0">
        <references count="4">
          <reference field="0" count="1" selected="0">
            <x v="12"/>
          </reference>
          <reference field="2" count="1" selected="0">
            <x v="12"/>
          </reference>
          <reference field="4" count="1" selected="0">
            <x v="63"/>
          </reference>
          <reference field="5" count="1">
            <x v="15"/>
          </reference>
        </references>
      </pivotArea>
    </format>
    <format dxfId="874">
      <pivotArea dataOnly="0" labelOnly="1" outline="0" fieldPosition="0">
        <references count="4">
          <reference field="0" count="1" selected="0">
            <x v="13"/>
          </reference>
          <reference field="2" count="1" selected="0">
            <x v="13"/>
          </reference>
          <reference field="4" count="1" selected="0">
            <x v="4"/>
          </reference>
          <reference field="5" count="1">
            <x v="16"/>
          </reference>
        </references>
      </pivotArea>
    </format>
    <format dxfId="873">
      <pivotArea dataOnly="0" labelOnly="1" outline="0" fieldPosition="0">
        <references count="4">
          <reference field="0" count="1" selected="0">
            <x v="14"/>
          </reference>
          <reference field="2" count="1" selected="0">
            <x v="14"/>
          </reference>
          <reference field="4" count="1" selected="0">
            <x v="21"/>
          </reference>
          <reference field="5" count="1">
            <x v="0"/>
          </reference>
        </references>
      </pivotArea>
    </format>
    <format dxfId="872">
      <pivotArea dataOnly="0" labelOnly="1" outline="0" fieldPosition="0">
        <references count="4">
          <reference field="0" count="1" selected="0">
            <x v="15"/>
          </reference>
          <reference field="2" count="1" selected="0">
            <x v="15"/>
          </reference>
          <reference field="4" count="1" selected="0">
            <x v="28"/>
          </reference>
          <reference field="5" count="1">
            <x v="17"/>
          </reference>
        </references>
      </pivotArea>
    </format>
    <format dxfId="871">
      <pivotArea dataOnly="0" labelOnly="1" outline="0" fieldPosition="0">
        <references count="4">
          <reference field="0" count="1" selected="0">
            <x v="16"/>
          </reference>
          <reference field="2" count="1" selected="0">
            <x v="16"/>
          </reference>
          <reference field="4" count="1" selected="0">
            <x v="57"/>
          </reference>
          <reference field="5" count="1">
            <x v="18"/>
          </reference>
        </references>
      </pivotArea>
    </format>
    <format dxfId="870">
      <pivotArea dataOnly="0" labelOnly="1" outline="0" fieldPosition="0">
        <references count="4">
          <reference field="0" count="1" selected="0">
            <x v="17"/>
          </reference>
          <reference field="2" count="1" selected="0">
            <x v="17"/>
          </reference>
          <reference field="4" count="1" selected="0">
            <x v="32"/>
          </reference>
          <reference field="5" count="1">
            <x v="19"/>
          </reference>
        </references>
      </pivotArea>
    </format>
    <format dxfId="869">
      <pivotArea dataOnly="0" labelOnly="1" outline="0" fieldPosition="0">
        <references count="4">
          <reference field="0" count="1" selected="0">
            <x v="18"/>
          </reference>
          <reference field="2" count="1" selected="0">
            <x v="18"/>
          </reference>
          <reference field="4" count="1" selected="0">
            <x v="54"/>
          </reference>
          <reference field="5" count="1">
            <x v="20"/>
          </reference>
        </references>
      </pivotArea>
    </format>
    <format dxfId="868">
      <pivotArea dataOnly="0" labelOnly="1" outline="0" fieldPosition="0">
        <references count="4">
          <reference field="0" count="1" selected="0">
            <x v="19"/>
          </reference>
          <reference field="2" count="1" selected="0">
            <x v="19"/>
          </reference>
          <reference field="4" count="1" selected="0">
            <x v="62"/>
          </reference>
          <reference field="5" count="1">
            <x v="11"/>
          </reference>
        </references>
      </pivotArea>
    </format>
    <format dxfId="867">
      <pivotArea dataOnly="0" labelOnly="1" outline="0" fieldPosition="0">
        <references count="4">
          <reference field="0" count="1" selected="0">
            <x v="20"/>
          </reference>
          <reference field="2" count="1" selected="0">
            <x v="20"/>
          </reference>
          <reference field="4" count="1" selected="0">
            <x v="59"/>
          </reference>
          <reference field="5" count="1">
            <x v="21"/>
          </reference>
        </references>
      </pivotArea>
    </format>
    <format dxfId="866">
      <pivotArea dataOnly="0" labelOnly="1" outline="0" fieldPosition="0">
        <references count="4">
          <reference field="0" count="1" selected="0">
            <x v="21"/>
          </reference>
          <reference field="2" count="1" selected="0">
            <x v="22"/>
          </reference>
          <reference field="4" count="1" selected="0">
            <x v="56"/>
          </reference>
          <reference field="5" count="1">
            <x v="23"/>
          </reference>
        </references>
      </pivotArea>
    </format>
    <format dxfId="865">
      <pivotArea dataOnly="0" labelOnly="1" outline="0" fieldPosition="0">
        <references count="4">
          <reference field="0" count="1" selected="0">
            <x v="22"/>
          </reference>
          <reference field="2" count="1" selected="0">
            <x v="23"/>
          </reference>
          <reference field="4" count="1" selected="0">
            <x v="15"/>
          </reference>
          <reference field="5" count="1">
            <x v="25"/>
          </reference>
        </references>
      </pivotArea>
    </format>
    <format dxfId="864">
      <pivotArea dataOnly="0" labelOnly="1" outline="0" fieldPosition="0">
        <references count="4">
          <reference field="0" count="1" selected="0">
            <x v="23"/>
          </reference>
          <reference field="2" count="1" selected="0">
            <x v="24"/>
          </reference>
          <reference field="4" count="1" selected="0">
            <x v="53"/>
          </reference>
          <reference field="5" count="1">
            <x v="26"/>
          </reference>
        </references>
      </pivotArea>
    </format>
    <format dxfId="863">
      <pivotArea dataOnly="0" labelOnly="1" outline="0" fieldPosition="0">
        <references count="4">
          <reference field="0" count="1" selected="0">
            <x v="24"/>
          </reference>
          <reference field="2" count="1" selected="0">
            <x v="26"/>
          </reference>
          <reference field="4" count="1" selected="0">
            <x v="52"/>
          </reference>
          <reference field="5" count="1">
            <x v="27"/>
          </reference>
        </references>
      </pivotArea>
    </format>
    <format dxfId="862">
      <pivotArea dataOnly="0" labelOnly="1" outline="0" fieldPosition="0">
        <references count="4">
          <reference field="0" count="1" selected="0">
            <x v="25"/>
          </reference>
          <reference field="2" count="1" selected="0">
            <x v="25"/>
          </reference>
          <reference field="4" count="1" selected="0">
            <x v="31"/>
          </reference>
          <reference field="5" count="1">
            <x v="28"/>
          </reference>
        </references>
      </pivotArea>
    </format>
    <format dxfId="861">
      <pivotArea dataOnly="0" labelOnly="1" outline="0" fieldPosition="0">
        <references count="4">
          <reference field="0" count="1" selected="0">
            <x v="26"/>
          </reference>
          <reference field="2" count="1" selected="0">
            <x v="28"/>
          </reference>
          <reference field="4" count="1" selected="0">
            <x v="7"/>
          </reference>
          <reference field="5" count="1">
            <x v="5"/>
          </reference>
        </references>
      </pivotArea>
    </format>
    <format dxfId="860">
      <pivotArea dataOnly="0" labelOnly="1" outline="0" fieldPosition="0">
        <references count="4">
          <reference field="0" count="1" selected="0">
            <x v="27"/>
          </reference>
          <reference field="2" count="1" selected="0">
            <x v="27"/>
          </reference>
          <reference field="4" count="1" selected="0">
            <x v="58"/>
          </reference>
          <reference field="5" count="1">
            <x v="29"/>
          </reference>
        </references>
      </pivotArea>
    </format>
    <format dxfId="859">
      <pivotArea dataOnly="0" labelOnly="1" outline="0" fieldPosition="0">
        <references count="4">
          <reference field="0" count="1" selected="0">
            <x v="28"/>
          </reference>
          <reference field="2" count="1" selected="0">
            <x v="29"/>
          </reference>
          <reference field="4" count="1" selected="0">
            <x v="40"/>
          </reference>
          <reference field="5" count="1">
            <x v="30"/>
          </reference>
        </references>
      </pivotArea>
    </format>
    <format dxfId="858">
      <pivotArea dataOnly="0" labelOnly="1" outline="0" fieldPosition="0">
        <references count="4">
          <reference field="0" count="1" selected="0">
            <x v="29"/>
          </reference>
          <reference field="2" count="1" selected="0">
            <x v="30"/>
          </reference>
          <reference field="4" count="1" selected="0">
            <x v="61"/>
          </reference>
          <reference field="5" count="1">
            <x v="31"/>
          </reference>
        </references>
      </pivotArea>
    </format>
    <format dxfId="857">
      <pivotArea dataOnly="0" labelOnly="1" outline="0" fieldPosition="0">
        <references count="4">
          <reference field="0" count="1" selected="0">
            <x v="31"/>
          </reference>
          <reference field="2" count="1" selected="0">
            <x v="32"/>
          </reference>
          <reference field="4" count="1" selected="0">
            <x v="47"/>
          </reference>
          <reference field="5" count="1">
            <x v="32"/>
          </reference>
        </references>
      </pivotArea>
    </format>
    <format dxfId="856">
      <pivotArea dataOnly="0" labelOnly="1" outline="0" fieldPosition="0">
        <references count="4">
          <reference field="0" count="1" selected="0">
            <x v="32"/>
          </reference>
          <reference field="2" count="1" selected="0">
            <x v="33"/>
          </reference>
          <reference field="4" count="1" selected="0">
            <x v="50"/>
          </reference>
          <reference field="5" count="1">
            <x v="0"/>
          </reference>
        </references>
      </pivotArea>
    </format>
    <format dxfId="855">
      <pivotArea dataOnly="0" labelOnly="1" outline="0" fieldPosition="0">
        <references count="4">
          <reference field="0" count="1" selected="0">
            <x v="34"/>
          </reference>
          <reference field="2" count="1" selected="0">
            <x v="35"/>
          </reference>
          <reference field="4" count="1" selected="0">
            <x v="5"/>
          </reference>
          <reference field="5" count="1">
            <x v="33"/>
          </reference>
        </references>
      </pivotArea>
    </format>
    <format dxfId="854">
      <pivotArea dataOnly="0" labelOnly="1" outline="0" fieldPosition="0">
        <references count="4">
          <reference field="0" count="1" selected="0">
            <x v="35"/>
          </reference>
          <reference field="2" count="1" selected="0">
            <x v="36"/>
          </reference>
          <reference field="4" count="1" selected="0">
            <x v="3"/>
          </reference>
          <reference field="5" count="1">
            <x v="35"/>
          </reference>
        </references>
      </pivotArea>
    </format>
    <format dxfId="853">
      <pivotArea dataOnly="0" labelOnly="1" outline="0" fieldPosition="0">
        <references count="4">
          <reference field="0" count="1" selected="0">
            <x v="36"/>
          </reference>
          <reference field="2" count="1" selected="0">
            <x v="37"/>
          </reference>
          <reference field="4" count="1" selected="0">
            <x v="42"/>
          </reference>
          <reference field="5" count="1">
            <x v="0"/>
          </reference>
        </references>
      </pivotArea>
    </format>
    <format dxfId="852">
      <pivotArea dataOnly="0" labelOnly="1" outline="0" fieldPosition="0">
        <references count="4">
          <reference field="0" count="1" selected="0">
            <x v="37"/>
          </reference>
          <reference field="2" count="1" selected="0">
            <x v="38"/>
          </reference>
          <reference field="4" count="1" selected="0">
            <x v="19"/>
          </reference>
          <reference field="5" count="1">
            <x v="24"/>
          </reference>
        </references>
      </pivotArea>
    </format>
    <format dxfId="851">
      <pivotArea dataOnly="0" labelOnly="1" outline="0" fieldPosition="0">
        <references count="4">
          <reference field="0" count="1" selected="0">
            <x v="38"/>
          </reference>
          <reference field="2" count="1" selected="0">
            <x v="39"/>
          </reference>
          <reference field="4" count="1" selected="0">
            <x v="43"/>
          </reference>
          <reference field="5" count="1">
            <x v="36"/>
          </reference>
        </references>
      </pivotArea>
    </format>
    <format dxfId="850">
      <pivotArea dataOnly="0" labelOnly="1" outline="0" fieldPosition="0">
        <references count="4">
          <reference field="0" count="1" selected="0">
            <x v="39"/>
          </reference>
          <reference field="2" count="1" selected="0">
            <x v="40"/>
          </reference>
          <reference field="4" count="1" selected="0">
            <x v="41"/>
          </reference>
          <reference field="5" count="1">
            <x v="37"/>
          </reference>
        </references>
      </pivotArea>
    </format>
    <format dxfId="849">
      <pivotArea dataOnly="0" labelOnly="1" outline="0" fieldPosition="0">
        <references count="4">
          <reference field="0" count="1" selected="0">
            <x v="40"/>
          </reference>
          <reference field="2" count="1" selected="0">
            <x v="41"/>
          </reference>
          <reference field="4" count="1" selected="0">
            <x v="6"/>
          </reference>
          <reference field="5" count="1">
            <x v="38"/>
          </reference>
        </references>
      </pivotArea>
    </format>
    <format dxfId="848">
      <pivotArea dataOnly="0" labelOnly="1" outline="0" fieldPosition="0">
        <references count="4">
          <reference field="0" count="1" selected="0">
            <x v="41"/>
          </reference>
          <reference field="2" count="1" selected="0">
            <x v="42"/>
          </reference>
          <reference field="4" count="1" selected="0">
            <x v="9"/>
          </reference>
          <reference field="5" count="1">
            <x v="39"/>
          </reference>
        </references>
      </pivotArea>
    </format>
    <format dxfId="847">
      <pivotArea dataOnly="0" labelOnly="1" outline="0" fieldPosition="0">
        <references count="4">
          <reference field="0" count="1" selected="0">
            <x v="42"/>
          </reference>
          <reference field="2" count="1" selected="0">
            <x v="43"/>
          </reference>
          <reference field="4" count="1" selected="0">
            <x v="8"/>
          </reference>
          <reference field="5" count="1">
            <x v="40"/>
          </reference>
        </references>
      </pivotArea>
    </format>
    <format dxfId="846">
      <pivotArea dataOnly="0" labelOnly="1" outline="0" fieldPosition="0">
        <references count="4">
          <reference field="0" count="1" selected="0">
            <x v="43"/>
          </reference>
          <reference field="2" count="1" selected="0">
            <x v="44"/>
          </reference>
          <reference field="4" count="1" selected="0">
            <x v="33"/>
          </reference>
          <reference field="5" count="1">
            <x v="41"/>
          </reference>
        </references>
      </pivotArea>
    </format>
    <format dxfId="845">
      <pivotArea dataOnly="0" labelOnly="1" outline="0" fieldPosition="0">
        <references count="4">
          <reference field="0" count="1" selected="0">
            <x v="44"/>
          </reference>
          <reference field="2" count="1" selected="0">
            <x v="45"/>
          </reference>
          <reference field="4" count="1" selected="0">
            <x v="26"/>
          </reference>
          <reference field="5" count="1">
            <x v="3"/>
          </reference>
        </references>
      </pivotArea>
    </format>
    <format dxfId="844">
      <pivotArea dataOnly="0" labelOnly="1" outline="0" fieldPosition="0">
        <references count="4">
          <reference field="0" count="1" selected="0">
            <x v="45"/>
          </reference>
          <reference field="2" count="1" selected="0">
            <x v="21"/>
          </reference>
          <reference field="4" count="1" selected="0">
            <x v="45"/>
          </reference>
          <reference field="5" count="1">
            <x v="22"/>
          </reference>
        </references>
      </pivotArea>
    </format>
    <format dxfId="843">
      <pivotArea dataOnly="0" labelOnly="1" outline="0" fieldPosition="0">
        <references count="4">
          <reference field="0" count="1" selected="0">
            <x v="46"/>
          </reference>
          <reference field="2" count="1" selected="0">
            <x v="50"/>
          </reference>
          <reference field="4" count="1" selected="0">
            <x v="25"/>
          </reference>
          <reference field="5" count="1">
            <x v="46"/>
          </reference>
        </references>
      </pivotArea>
    </format>
    <format dxfId="842">
      <pivotArea dataOnly="0" labelOnly="1" outline="0" fieldPosition="0">
        <references count="4">
          <reference field="0" count="1" selected="0">
            <x v="47"/>
          </reference>
          <reference field="2" count="1" selected="0">
            <x v="46"/>
          </reference>
          <reference field="4" count="1" selected="0">
            <x v="16"/>
          </reference>
          <reference field="5" count="1">
            <x v="42"/>
          </reference>
        </references>
      </pivotArea>
    </format>
    <format dxfId="841">
      <pivotArea dataOnly="0" labelOnly="1" outline="0" fieldPosition="0">
        <references count="4">
          <reference field="0" count="1" selected="0">
            <x v="48"/>
          </reference>
          <reference field="2" count="1" selected="0">
            <x v="47"/>
          </reference>
          <reference field="4" count="1" selected="0">
            <x v="29"/>
          </reference>
          <reference field="5" count="1">
            <x v="43"/>
          </reference>
        </references>
      </pivotArea>
    </format>
    <format dxfId="840">
      <pivotArea dataOnly="0" labelOnly="1" outline="0" fieldPosition="0">
        <references count="4">
          <reference field="0" count="1" selected="0">
            <x v="49"/>
          </reference>
          <reference field="2" count="1" selected="0">
            <x v="48"/>
          </reference>
          <reference field="4" count="1" selected="0">
            <x v="22"/>
          </reference>
          <reference field="5" count="1">
            <x v="44"/>
          </reference>
        </references>
      </pivotArea>
    </format>
    <format dxfId="839">
      <pivotArea dataOnly="0" labelOnly="1" outline="0" fieldPosition="0">
        <references count="4">
          <reference field="0" count="1" selected="0">
            <x v="50"/>
          </reference>
          <reference field="2" count="1" selected="0">
            <x v="49"/>
          </reference>
          <reference field="4" count="1" selected="0">
            <x v="24"/>
          </reference>
          <reference field="5" count="1">
            <x v="45"/>
          </reference>
        </references>
      </pivotArea>
    </format>
    <format dxfId="838">
      <pivotArea dataOnly="0" labelOnly="1" outline="0" fieldPosition="0">
        <references count="4">
          <reference field="0" count="1" selected="0">
            <x v="51"/>
          </reference>
          <reference field="2" count="1" selected="0">
            <x v="51"/>
          </reference>
          <reference field="4" count="1" selected="0">
            <x v="30"/>
          </reference>
          <reference field="5" count="1">
            <x v="47"/>
          </reference>
        </references>
      </pivotArea>
    </format>
    <format dxfId="837">
      <pivotArea dataOnly="0" labelOnly="1" outline="0" fieldPosition="0">
        <references count="4">
          <reference field="0" count="1" selected="0">
            <x v="52"/>
          </reference>
          <reference field="2" count="1" selected="0">
            <x v="52"/>
          </reference>
          <reference field="4" count="1" selected="0">
            <x v="18"/>
          </reference>
          <reference field="5" count="1">
            <x v="48"/>
          </reference>
        </references>
      </pivotArea>
    </format>
    <format dxfId="836">
      <pivotArea dataOnly="0" labelOnly="1" outline="0" fieldPosition="0">
        <references count="4">
          <reference field="0" count="1" selected="0">
            <x v="53"/>
          </reference>
          <reference field="2" count="1" selected="0">
            <x v="53"/>
          </reference>
          <reference field="4" count="1" selected="0">
            <x v="38"/>
          </reference>
          <reference field="5" count="1">
            <x v="56"/>
          </reference>
        </references>
      </pivotArea>
    </format>
    <format dxfId="835">
      <pivotArea dataOnly="0" labelOnly="1" outline="0" fieldPosition="0">
        <references count="4">
          <reference field="0" count="1" selected="0">
            <x v="54"/>
          </reference>
          <reference field="2" count="1" selected="0">
            <x v="54"/>
          </reference>
          <reference field="4" count="1" selected="0">
            <x v="12"/>
          </reference>
          <reference field="5" count="1">
            <x v="49"/>
          </reference>
        </references>
      </pivotArea>
    </format>
    <format dxfId="834">
      <pivotArea dataOnly="0" labelOnly="1" outline="0" fieldPosition="0">
        <references count="4">
          <reference field="0" count="1" selected="0">
            <x v="55"/>
          </reference>
          <reference field="2" count="1" selected="0">
            <x v="55"/>
          </reference>
          <reference field="4" count="1" selected="0">
            <x v="46"/>
          </reference>
          <reference field="5" count="1">
            <x v="50"/>
          </reference>
        </references>
      </pivotArea>
    </format>
    <format dxfId="833">
      <pivotArea dataOnly="0" labelOnly="1" outline="0" fieldPosition="0">
        <references count="4">
          <reference field="0" count="1" selected="0">
            <x v="56"/>
          </reference>
          <reference field="2" count="1" selected="0">
            <x v="56"/>
          </reference>
          <reference field="4" count="1" selected="0">
            <x v="1"/>
          </reference>
          <reference field="5" count="1">
            <x v="1"/>
          </reference>
        </references>
      </pivotArea>
    </format>
    <format dxfId="832">
      <pivotArea dataOnly="0" labelOnly="1" outline="0" fieldPosition="0">
        <references count="4">
          <reference field="0" count="1" selected="0">
            <x v="57"/>
          </reference>
          <reference field="2" count="1" selected="0">
            <x v="57"/>
          </reference>
          <reference field="4" count="1" selected="0">
            <x v="2"/>
          </reference>
          <reference field="5" count="1">
            <x v="2"/>
          </reference>
        </references>
      </pivotArea>
    </format>
    <format dxfId="831">
      <pivotArea dataOnly="0" labelOnly="1" outline="0" fieldPosition="0">
        <references count="4">
          <reference field="0" count="1" selected="0">
            <x v="58"/>
          </reference>
          <reference field="2" count="1" selected="0">
            <x v="58"/>
          </reference>
          <reference field="4" count="1" selected="0">
            <x v="39"/>
          </reference>
          <reference field="5" count="1">
            <x v="0"/>
          </reference>
        </references>
      </pivotArea>
    </format>
    <format dxfId="830">
      <pivotArea dataOnly="0" labelOnly="1" outline="0" fieldPosition="0">
        <references count="4">
          <reference field="0" count="1" selected="0">
            <x v="59"/>
          </reference>
          <reference field="2" count="1" selected="0">
            <x v="59"/>
          </reference>
          <reference field="4" count="1" selected="0">
            <x v="48"/>
          </reference>
          <reference field="5" count="1">
            <x v="51"/>
          </reference>
        </references>
      </pivotArea>
    </format>
    <format dxfId="829">
      <pivotArea dataOnly="0" labelOnly="1" outline="0" fieldPosition="0">
        <references count="4">
          <reference field="0" count="1" selected="0">
            <x v="60"/>
          </reference>
          <reference field="2" count="1" selected="0">
            <x v="60"/>
          </reference>
          <reference field="4" count="1" selected="0">
            <x v="49"/>
          </reference>
          <reference field="5" count="1">
            <x v="52"/>
          </reference>
        </references>
      </pivotArea>
    </format>
    <format dxfId="828">
      <pivotArea dataOnly="0" labelOnly="1" outline="0" fieldPosition="0">
        <references count="4">
          <reference field="0" count="1" selected="0">
            <x v="61"/>
          </reference>
          <reference field="2" count="1" selected="0">
            <x v="61"/>
          </reference>
          <reference field="4" count="1" selected="0">
            <x v="34"/>
          </reference>
          <reference field="5" count="1">
            <x v="53"/>
          </reference>
        </references>
      </pivotArea>
    </format>
    <format dxfId="827">
      <pivotArea dataOnly="0" labelOnly="1" outline="0" fieldPosition="0">
        <references count="4">
          <reference field="0" count="1" selected="0">
            <x v="62"/>
          </reference>
          <reference field="2" count="1" selected="0">
            <x v="62"/>
          </reference>
          <reference field="4" count="1" selected="0">
            <x v="23"/>
          </reference>
          <reference field="5" count="1">
            <x v="54"/>
          </reference>
        </references>
      </pivotArea>
    </format>
    <format dxfId="826">
      <pivotArea dataOnly="0" labelOnly="1" outline="0" fieldPosition="0">
        <references count="4">
          <reference field="0" count="1" selected="0">
            <x v="63"/>
          </reference>
          <reference field="2" count="1" selected="0">
            <x v="63"/>
          </reference>
          <reference field="4" count="1" selected="0">
            <x v="36"/>
          </reference>
          <reference field="5" count="1">
            <x v="55"/>
          </reference>
        </references>
      </pivotArea>
    </format>
    <format dxfId="825">
      <pivotArea dataOnly="0" labelOnly="1" outline="0" fieldPosition="0">
        <references count="4">
          <reference field="0" count="1" selected="0">
            <x v="64"/>
          </reference>
          <reference field="2" count="1" selected="0">
            <x v="64"/>
          </reference>
          <reference field="4" count="1" selected="0">
            <x v="64"/>
          </reference>
          <reference field="5" count="1">
            <x v="57"/>
          </reference>
        </references>
      </pivotArea>
    </format>
    <format dxfId="824">
      <pivotArea dataOnly="0" labelOnly="1" outline="0" fieldPosition="0">
        <references count="5">
          <reference field="0" count="1" selected="0">
            <x v="0"/>
          </reference>
          <reference field="2" count="1" selected="0">
            <x v="0"/>
          </reference>
          <reference field="4" count="1" selected="0">
            <x v="0"/>
          </reference>
          <reference field="5" count="1" selected="0">
            <x v="0"/>
          </reference>
          <reference field="7" count="1">
            <x v="0"/>
          </reference>
        </references>
      </pivotArea>
    </format>
    <format dxfId="823">
      <pivotArea dataOnly="0" labelOnly="1" outline="0" fieldPosition="0">
        <references count="5">
          <reference field="0" count="1" selected="0">
            <x v="1"/>
          </reference>
          <reference field="2" count="1" selected="0">
            <x v="1"/>
          </reference>
          <reference field="4" count="1" selected="0">
            <x v="17"/>
          </reference>
          <reference field="5" count="1" selected="0">
            <x v="4"/>
          </reference>
          <reference field="7" count="1">
            <x v="14"/>
          </reference>
        </references>
      </pivotArea>
    </format>
    <format dxfId="822">
      <pivotArea dataOnly="0" labelOnly="1" outline="0" fieldPosition="0">
        <references count="5">
          <reference field="0" count="1" selected="0">
            <x v="2"/>
          </reference>
          <reference field="2" count="1" selected="0">
            <x v="2"/>
          </reference>
          <reference field="4" count="1" selected="0">
            <x v="51"/>
          </reference>
          <reference field="5" count="1" selected="0">
            <x v="6"/>
          </reference>
          <reference field="7" count="1">
            <x v="26"/>
          </reference>
        </references>
      </pivotArea>
    </format>
    <format dxfId="821">
      <pivotArea dataOnly="0" labelOnly="1" outline="0" fieldPosition="0">
        <references count="5">
          <reference field="0" count="1" selected="0">
            <x v="3"/>
          </reference>
          <reference field="2" count="1" selected="0">
            <x v="3"/>
          </reference>
          <reference field="4" count="1" selected="0">
            <x v="13"/>
          </reference>
          <reference field="5" count="1" selected="0">
            <x v="7"/>
          </reference>
          <reference field="7" count="1">
            <x v="13"/>
          </reference>
        </references>
      </pivotArea>
    </format>
    <format dxfId="820">
      <pivotArea dataOnly="0" labelOnly="1" outline="0" fieldPosition="0">
        <references count="5">
          <reference field="0" count="1" selected="0">
            <x v="4"/>
          </reference>
          <reference field="2" count="1" selected="0">
            <x v="4"/>
          </reference>
          <reference field="4" count="1" selected="0">
            <x v="11"/>
          </reference>
          <reference field="5" count="1" selected="0">
            <x v="34"/>
          </reference>
          <reference field="7" count="1">
            <x v="9"/>
          </reference>
        </references>
      </pivotArea>
    </format>
    <format dxfId="819">
      <pivotArea dataOnly="0" labelOnly="1" outline="0" fieldPosition="0">
        <references count="5">
          <reference field="0" count="1" selected="0">
            <x v="5"/>
          </reference>
          <reference field="2" count="1" selected="0">
            <x v="5"/>
          </reference>
          <reference field="4" count="1" selected="0">
            <x v="20"/>
          </reference>
          <reference field="5" count="1" selected="0">
            <x v="8"/>
          </reference>
          <reference field="7" count="1">
            <x v="11"/>
          </reference>
        </references>
      </pivotArea>
    </format>
    <format dxfId="818">
      <pivotArea dataOnly="0" labelOnly="1" outline="0" fieldPosition="0">
        <references count="5">
          <reference field="0" count="1" selected="0">
            <x v="6"/>
          </reference>
          <reference field="2" count="1" selected="0">
            <x v="6"/>
          </reference>
          <reference field="4" count="1" selected="0">
            <x v="60"/>
          </reference>
          <reference field="5" count="1" selected="0">
            <x v="9"/>
          </reference>
          <reference field="7" count="1">
            <x v="27"/>
          </reference>
        </references>
      </pivotArea>
    </format>
    <format dxfId="817">
      <pivotArea dataOnly="0" labelOnly="1" outline="0" fieldPosition="0">
        <references count="5">
          <reference field="0" count="1" selected="0">
            <x v="7"/>
          </reference>
          <reference field="2" count="1" selected="0">
            <x v="7"/>
          </reference>
          <reference field="4" count="1" selected="0">
            <x v="14"/>
          </reference>
          <reference field="5" count="1" selected="0">
            <x v="10"/>
          </reference>
          <reference field="7" count="1">
            <x v="0"/>
          </reference>
        </references>
      </pivotArea>
    </format>
    <format dxfId="816">
      <pivotArea dataOnly="0" labelOnly="1" outline="0" fieldPosition="0">
        <references count="5">
          <reference field="0" count="1" selected="0">
            <x v="8"/>
          </reference>
          <reference field="2" count="1" selected="0">
            <x v="8"/>
          </reference>
          <reference field="4" count="1" selected="0">
            <x v="37"/>
          </reference>
          <reference field="5" count="1" selected="0">
            <x v="12"/>
          </reference>
          <reference field="7" count="1">
            <x v="35"/>
          </reference>
        </references>
      </pivotArea>
    </format>
    <format dxfId="815">
      <pivotArea dataOnly="0" labelOnly="1" outline="0" fieldPosition="0">
        <references count="5">
          <reference field="0" count="1" selected="0">
            <x v="9"/>
          </reference>
          <reference field="2" count="1" selected="0">
            <x v="9"/>
          </reference>
          <reference field="4" count="1" selected="0">
            <x v="35"/>
          </reference>
          <reference field="5" count="1" selected="0">
            <x v="0"/>
          </reference>
          <reference field="7" count="1">
            <x v="25"/>
          </reference>
        </references>
      </pivotArea>
    </format>
    <format dxfId="814">
      <pivotArea dataOnly="0" labelOnly="1" outline="0" fieldPosition="0">
        <references count="5">
          <reference field="0" count="1" selected="0">
            <x v="10"/>
          </reference>
          <reference field="2" count="1" selected="0">
            <x v="10"/>
          </reference>
          <reference field="4" count="1" selected="0">
            <x v="55"/>
          </reference>
          <reference field="5" count="1" selected="0">
            <x v="13"/>
          </reference>
          <reference field="7" count="1">
            <x v="4"/>
          </reference>
        </references>
      </pivotArea>
    </format>
    <format dxfId="813">
      <pivotArea dataOnly="0" labelOnly="1" outline="0" fieldPosition="0">
        <references count="5">
          <reference field="0" count="1" selected="0">
            <x v="11"/>
          </reference>
          <reference field="2" count="1" selected="0">
            <x v="11"/>
          </reference>
          <reference field="4" count="1" selected="0">
            <x v="10"/>
          </reference>
          <reference field="5" count="1" selected="0">
            <x v="14"/>
          </reference>
          <reference field="7" count="1">
            <x v="1"/>
          </reference>
        </references>
      </pivotArea>
    </format>
    <format dxfId="812">
      <pivotArea dataOnly="0" labelOnly="1" outline="0" fieldPosition="0">
        <references count="5">
          <reference field="0" count="1" selected="0">
            <x v="12"/>
          </reference>
          <reference field="2" count="1" selected="0">
            <x v="12"/>
          </reference>
          <reference field="4" count="1" selected="0">
            <x v="63"/>
          </reference>
          <reference field="5" count="1" selected="0">
            <x v="15"/>
          </reference>
          <reference field="7" count="1">
            <x v="5"/>
          </reference>
        </references>
      </pivotArea>
    </format>
    <format dxfId="811">
      <pivotArea dataOnly="0" labelOnly="1" outline="0" fieldPosition="0">
        <references count="5">
          <reference field="0" count="1" selected="0">
            <x v="13"/>
          </reference>
          <reference field="2" count="1" selected="0">
            <x v="13"/>
          </reference>
          <reference field="4" count="1" selected="0">
            <x v="4"/>
          </reference>
          <reference field="5" count="1" selected="0">
            <x v="16"/>
          </reference>
          <reference field="7" count="1">
            <x v="54"/>
          </reference>
        </references>
      </pivotArea>
    </format>
    <format dxfId="810">
      <pivotArea dataOnly="0" labelOnly="1" outline="0" fieldPosition="0">
        <references count="5">
          <reference field="0" count="1" selected="0">
            <x v="14"/>
          </reference>
          <reference field="2" count="1" selected="0">
            <x v="14"/>
          </reference>
          <reference field="4" count="1" selected="0">
            <x v="21"/>
          </reference>
          <reference field="5" count="1" selected="0">
            <x v="0"/>
          </reference>
          <reference field="7" count="1">
            <x v="17"/>
          </reference>
        </references>
      </pivotArea>
    </format>
    <format dxfId="809">
      <pivotArea dataOnly="0" labelOnly="1" outline="0" fieldPosition="0">
        <references count="5">
          <reference field="0" count="1" selected="0">
            <x v="15"/>
          </reference>
          <reference field="2" count="1" selected="0">
            <x v="15"/>
          </reference>
          <reference field="4" count="1" selected="0">
            <x v="28"/>
          </reference>
          <reference field="5" count="1" selected="0">
            <x v="17"/>
          </reference>
          <reference field="7" count="1">
            <x v="30"/>
          </reference>
        </references>
      </pivotArea>
    </format>
    <format dxfId="808">
      <pivotArea dataOnly="0" labelOnly="1" outline="0" fieldPosition="0">
        <references count="5">
          <reference field="0" count="1" selected="0">
            <x v="16"/>
          </reference>
          <reference field="2" count="1" selected="0">
            <x v="16"/>
          </reference>
          <reference field="4" count="1" selected="0">
            <x v="57"/>
          </reference>
          <reference field="5" count="1" selected="0">
            <x v="18"/>
          </reference>
          <reference field="7" count="1">
            <x v="33"/>
          </reference>
        </references>
      </pivotArea>
    </format>
    <format dxfId="807">
      <pivotArea dataOnly="0" labelOnly="1" outline="0" fieldPosition="0">
        <references count="5">
          <reference field="0" count="1" selected="0">
            <x v="17"/>
          </reference>
          <reference field="2" count="1" selected="0">
            <x v="17"/>
          </reference>
          <reference field="4" count="1" selected="0">
            <x v="32"/>
          </reference>
          <reference field="5" count="1" selected="0">
            <x v="19"/>
          </reference>
          <reference field="7" count="1">
            <x v="51"/>
          </reference>
        </references>
      </pivotArea>
    </format>
    <format dxfId="806">
      <pivotArea dataOnly="0" labelOnly="1" outline="0" fieldPosition="0">
        <references count="5">
          <reference field="0" count="1" selected="0">
            <x v="18"/>
          </reference>
          <reference field="2" count="1" selected="0">
            <x v="18"/>
          </reference>
          <reference field="4" count="1" selected="0">
            <x v="54"/>
          </reference>
          <reference field="5" count="1" selected="0">
            <x v="20"/>
          </reference>
          <reference field="7" count="1">
            <x v="29"/>
          </reference>
        </references>
      </pivotArea>
    </format>
    <format dxfId="805">
      <pivotArea dataOnly="0" labelOnly="1" outline="0" fieldPosition="0">
        <references count="5">
          <reference field="0" count="1" selected="0">
            <x v="19"/>
          </reference>
          <reference field="2" count="1" selected="0">
            <x v="19"/>
          </reference>
          <reference field="4" count="1" selected="0">
            <x v="62"/>
          </reference>
          <reference field="5" count="1" selected="0">
            <x v="11"/>
          </reference>
          <reference field="7" count="1">
            <x v="0"/>
          </reference>
        </references>
      </pivotArea>
    </format>
    <format dxfId="804">
      <pivotArea dataOnly="0" labelOnly="1" outline="0" fieldPosition="0">
        <references count="5">
          <reference field="0" count="1" selected="0">
            <x v="20"/>
          </reference>
          <reference field="2" count="1" selected="0">
            <x v="20"/>
          </reference>
          <reference field="4" count="1" selected="0">
            <x v="59"/>
          </reference>
          <reference field="5" count="1" selected="0">
            <x v="21"/>
          </reference>
          <reference field="7" count="1">
            <x v="15"/>
          </reference>
        </references>
      </pivotArea>
    </format>
    <format dxfId="803">
      <pivotArea dataOnly="0" labelOnly="1" outline="0" fieldPosition="0">
        <references count="5">
          <reference field="0" count="1" selected="0">
            <x v="21"/>
          </reference>
          <reference field="2" count="1" selected="0">
            <x v="22"/>
          </reference>
          <reference field="4" count="1" selected="0">
            <x v="56"/>
          </reference>
          <reference field="5" count="1" selected="0">
            <x v="23"/>
          </reference>
          <reference field="7" count="1">
            <x v="0"/>
          </reference>
        </references>
      </pivotArea>
    </format>
    <format dxfId="802">
      <pivotArea dataOnly="0" labelOnly="1" outline="0" fieldPosition="0">
        <references count="5">
          <reference field="0" count="1" selected="0">
            <x v="22"/>
          </reference>
          <reference field="2" count="1" selected="0">
            <x v="23"/>
          </reference>
          <reference field="4" count="1" selected="0">
            <x v="15"/>
          </reference>
          <reference field="5" count="1" selected="0">
            <x v="25"/>
          </reference>
          <reference field="7" count="1">
            <x v="52"/>
          </reference>
        </references>
      </pivotArea>
    </format>
    <format dxfId="801">
      <pivotArea dataOnly="0" labelOnly="1" outline="0" fieldPosition="0">
        <references count="5">
          <reference field="0" count="1" selected="0">
            <x v="23"/>
          </reference>
          <reference field="2" count="1" selected="0">
            <x v="24"/>
          </reference>
          <reference field="4" count="1" selected="0">
            <x v="53"/>
          </reference>
          <reference field="5" count="1" selected="0">
            <x v="26"/>
          </reference>
          <reference field="7" count="1">
            <x v="47"/>
          </reference>
        </references>
      </pivotArea>
    </format>
    <format dxfId="800">
      <pivotArea dataOnly="0" labelOnly="1" outline="0" fieldPosition="0">
        <references count="5">
          <reference field="0" count="1" selected="0">
            <x v="24"/>
          </reference>
          <reference field="2" count="1" selected="0">
            <x v="26"/>
          </reference>
          <reference field="4" count="1" selected="0">
            <x v="52"/>
          </reference>
          <reference field="5" count="1" selected="0">
            <x v="27"/>
          </reference>
          <reference field="7" count="1">
            <x v="20"/>
          </reference>
        </references>
      </pivotArea>
    </format>
    <format dxfId="799">
      <pivotArea dataOnly="0" labelOnly="1" outline="0" fieldPosition="0">
        <references count="5">
          <reference field="0" count="1" selected="0">
            <x v="25"/>
          </reference>
          <reference field="2" count="1" selected="0">
            <x v="25"/>
          </reference>
          <reference field="4" count="1" selected="0">
            <x v="31"/>
          </reference>
          <reference field="5" count="1" selected="0">
            <x v="28"/>
          </reference>
          <reference field="7" count="1">
            <x v="0"/>
          </reference>
        </references>
      </pivotArea>
    </format>
    <format dxfId="798">
      <pivotArea dataOnly="0" labelOnly="1" outline="0" fieldPosition="0">
        <references count="5">
          <reference field="0" count="1" selected="0">
            <x v="26"/>
          </reference>
          <reference field="2" count="1" selected="0">
            <x v="28"/>
          </reference>
          <reference field="4" count="1" selected="0">
            <x v="7"/>
          </reference>
          <reference field="5" count="1" selected="0">
            <x v="5"/>
          </reference>
          <reference field="7" count="1">
            <x v="24"/>
          </reference>
        </references>
      </pivotArea>
    </format>
    <format dxfId="797">
      <pivotArea dataOnly="0" labelOnly="1" outline="0" fieldPosition="0">
        <references count="5">
          <reference field="0" count="1" selected="0">
            <x v="27"/>
          </reference>
          <reference field="2" count="1" selected="0">
            <x v="27"/>
          </reference>
          <reference field="4" count="1" selected="0">
            <x v="58"/>
          </reference>
          <reference field="5" count="1" selected="0">
            <x v="29"/>
          </reference>
          <reference field="7" count="1">
            <x v="19"/>
          </reference>
        </references>
      </pivotArea>
    </format>
    <format dxfId="796">
      <pivotArea dataOnly="0" labelOnly="1" outline="0" fieldPosition="0">
        <references count="5">
          <reference field="0" count="1" selected="0">
            <x v="28"/>
          </reference>
          <reference field="2" count="1" selected="0">
            <x v="29"/>
          </reference>
          <reference field="4" count="1" selected="0">
            <x v="40"/>
          </reference>
          <reference field="5" count="1" selected="0">
            <x v="30"/>
          </reference>
          <reference field="7" count="1">
            <x v="34"/>
          </reference>
        </references>
      </pivotArea>
    </format>
    <format dxfId="795">
      <pivotArea dataOnly="0" labelOnly="1" outline="0" fieldPosition="0">
        <references count="5">
          <reference field="0" count="1" selected="0">
            <x v="29"/>
          </reference>
          <reference field="2" count="1" selected="0">
            <x v="30"/>
          </reference>
          <reference field="4" count="1" selected="0">
            <x v="61"/>
          </reference>
          <reference field="5" count="1" selected="0">
            <x v="31"/>
          </reference>
          <reference field="7" count="1">
            <x v="53"/>
          </reference>
        </references>
      </pivotArea>
    </format>
    <format dxfId="794">
      <pivotArea dataOnly="0" labelOnly="1" outline="0" fieldPosition="0">
        <references count="5">
          <reference field="0" count="1" selected="0">
            <x v="30"/>
          </reference>
          <reference field="2" count="1" selected="0">
            <x v="31"/>
          </reference>
          <reference field="4" count="1" selected="0">
            <x v="27"/>
          </reference>
          <reference field="5" count="1" selected="0">
            <x v="31"/>
          </reference>
          <reference field="7" count="1">
            <x v="3"/>
          </reference>
        </references>
      </pivotArea>
    </format>
    <format dxfId="793">
      <pivotArea dataOnly="0" labelOnly="1" outline="0" fieldPosition="0">
        <references count="5">
          <reference field="0" count="1" selected="0">
            <x v="31"/>
          </reference>
          <reference field="2" count="1" selected="0">
            <x v="32"/>
          </reference>
          <reference field="4" count="1" selected="0">
            <x v="47"/>
          </reference>
          <reference field="5" count="1" selected="0">
            <x v="32"/>
          </reference>
          <reference field="7" count="1">
            <x v="49"/>
          </reference>
        </references>
      </pivotArea>
    </format>
    <format dxfId="792">
      <pivotArea dataOnly="0" labelOnly="1" outline="0" fieldPosition="0">
        <references count="5">
          <reference field="0" count="1" selected="0">
            <x v="32"/>
          </reference>
          <reference field="2" count="1" selected="0">
            <x v="33"/>
          </reference>
          <reference field="4" count="1" selected="0">
            <x v="50"/>
          </reference>
          <reference field="5" count="1" selected="0">
            <x v="0"/>
          </reference>
          <reference field="7" count="1">
            <x v="16"/>
          </reference>
        </references>
      </pivotArea>
    </format>
    <format dxfId="791">
      <pivotArea dataOnly="0" labelOnly="1" outline="0" fieldPosition="0">
        <references count="5">
          <reference field="0" count="1" selected="0">
            <x v="33"/>
          </reference>
          <reference field="2" count="1" selected="0">
            <x v="34"/>
          </reference>
          <reference field="4" count="1" selected="0">
            <x v="44"/>
          </reference>
          <reference field="5" count="1" selected="0">
            <x v="0"/>
          </reference>
          <reference field="7" count="1">
            <x v="2"/>
          </reference>
        </references>
      </pivotArea>
    </format>
    <format dxfId="790">
      <pivotArea dataOnly="0" labelOnly="1" outline="0" fieldPosition="0">
        <references count="5">
          <reference field="0" count="1" selected="0">
            <x v="34"/>
          </reference>
          <reference field="2" count="1" selected="0">
            <x v="35"/>
          </reference>
          <reference field="4" count="1" selected="0">
            <x v="5"/>
          </reference>
          <reference field="5" count="1" selected="0">
            <x v="33"/>
          </reference>
          <reference field="7" count="1">
            <x v="0"/>
          </reference>
        </references>
      </pivotArea>
    </format>
    <format dxfId="789">
      <pivotArea dataOnly="0" labelOnly="1" outline="0" fieldPosition="0">
        <references count="5">
          <reference field="0" count="1" selected="0">
            <x v="35"/>
          </reference>
          <reference field="2" count="1" selected="0">
            <x v="36"/>
          </reference>
          <reference field="4" count="1" selected="0">
            <x v="3"/>
          </reference>
          <reference field="5" count="1" selected="0">
            <x v="35"/>
          </reference>
          <reference field="7" count="1">
            <x v="36"/>
          </reference>
        </references>
      </pivotArea>
    </format>
    <format dxfId="788">
      <pivotArea dataOnly="0" labelOnly="1" outline="0" fieldPosition="0">
        <references count="5">
          <reference field="0" count="1" selected="0">
            <x v="36"/>
          </reference>
          <reference field="2" count="1" selected="0">
            <x v="37"/>
          </reference>
          <reference field="4" count="1" selected="0">
            <x v="42"/>
          </reference>
          <reference field="5" count="1" selected="0">
            <x v="0"/>
          </reference>
          <reference field="7" count="1">
            <x v="41"/>
          </reference>
        </references>
      </pivotArea>
    </format>
    <format dxfId="787">
      <pivotArea dataOnly="0" labelOnly="1" outline="0" fieldPosition="0">
        <references count="5">
          <reference field="0" count="1" selected="0">
            <x v="37"/>
          </reference>
          <reference field="2" count="1" selected="0">
            <x v="38"/>
          </reference>
          <reference field="4" count="1" selected="0">
            <x v="19"/>
          </reference>
          <reference field="5" count="1" selected="0">
            <x v="24"/>
          </reference>
          <reference field="7" count="1">
            <x v="45"/>
          </reference>
        </references>
      </pivotArea>
    </format>
    <format dxfId="786">
      <pivotArea dataOnly="0" labelOnly="1" outline="0" fieldPosition="0">
        <references count="5">
          <reference field="0" count="1" selected="0">
            <x v="38"/>
          </reference>
          <reference field="2" count="1" selected="0">
            <x v="39"/>
          </reference>
          <reference field="4" count="1" selected="0">
            <x v="43"/>
          </reference>
          <reference field="5" count="1" selected="0">
            <x v="36"/>
          </reference>
          <reference field="7" count="1">
            <x v="18"/>
          </reference>
        </references>
      </pivotArea>
    </format>
    <format dxfId="785">
      <pivotArea dataOnly="0" labelOnly="1" outline="0" fieldPosition="0">
        <references count="5">
          <reference field="0" count="1" selected="0">
            <x v="39"/>
          </reference>
          <reference field="2" count="1" selected="0">
            <x v="40"/>
          </reference>
          <reference field="4" count="1" selected="0">
            <x v="41"/>
          </reference>
          <reference field="5" count="1" selected="0">
            <x v="37"/>
          </reference>
          <reference field="7" count="1">
            <x v="7"/>
          </reference>
        </references>
      </pivotArea>
    </format>
    <format dxfId="784">
      <pivotArea dataOnly="0" labelOnly="1" outline="0" fieldPosition="0">
        <references count="5">
          <reference field="0" count="1" selected="0">
            <x v="40"/>
          </reference>
          <reference field="2" count="1" selected="0">
            <x v="41"/>
          </reference>
          <reference field="4" count="1" selected="0">
            <x v="6"/>
          </reference>
          <reference field="5" count="1" selected="0">
            <x v="38"/>
          </reference>
          <reference field="7" count="1">
            <x v="46"/>
          </reference>
        </references>
      </pivotArea>
    </format>
    <format dxfId="783">
      <pivotArea dataOnly="0" labelOnly="1" outline="0" fieldPosition="0">
        <references count="5">
          <reference field="0" count="1" selected="0">
            <x v="41"/>
          </reference>
          <reference field="2" count="1" selected="0">
            <x v="42"/>
          </reference>
          <reference field="4" count="1" selected="0">
            <x v="9"/>
          </reference>
          <reference field="5" count="1" selected="0">
            <x v="39"/>
          </reference>
          <reference field="7" count="1">
            <x v="8"/>
          </reference>
        </references>
      </pivotArea>
    </format>
    <format dxfId="782">
      <pivotArea dataOnly="0" labelOnly="1" outline="0" fieldPosition="0">
        <references count="5">
          <reference field="0" count="1" selected="0">
            <x v="42"/>
          </reference>
          <reference field="2" count="1" selected="0">
            <x v="43"/>
          </reference>
          <reference field="4" count="1" selected="0">
            <x v="8"/>
          </reference>
          <reference field="5" count="1" selected="0">
            <x v="40"/>
          </reference>
          <reference field="7" count="1">
            <x v="55"/>
          </reference>
        </references>
      </pivotArea>
    </format>
    <format dxfId="781">
      <pivotArea dataOnly="0" labelOnly="1" outline="0" fieldPosition="0">
        <references count="5">
          <reference field="0" count="1" selected="0">
            <x v="43"/>
          </reference>
          <reference field="2" count="1" selected="0">
            <x v="44"/>
          </reference>
          <reference field="4" count="1" selected="0">
            <x v="33"/>
          </reference>
          <reference field="5" count="1" selected="0">
            <x v="41"/>
          </reference>
          <reference field="7" count="1">
            <x v="48"/>
          </reference>
        </references>
      </pivotArea>
    </format>
    <format dxfId="780">
      <pivotArea dataOnly="0" labelOnly="1" outline="0" fieldPosition="0">
        <references count="5">
          <reference field="0" count="1" selected="0">
            <x v="44"/>
          </reference>
          <reference field="2" count="1" selected="0">
            <x v="45"/>
          </reference>
          <reference field="4" count="1" selected="0">
            <x v="26"/>
          </reference>
          <reference field="5" count="1" selected="0">
            <x v="3"/>
          </reference>
          <reference field="7" count="1">
            <x v="32"/>
          </reference>
        </references>
      </pivotArea>
    </format>
    <format dxfId="779">
      <pivotArea dataOnly="0" labelOnly="1" outline="0" fieldPosition="0">
        <references count="5">
          <reference field="0" count="1" selected="0">
            <x v="45"/>
          </reference>
          <reference field="2" count="1" selected="0">
            <x v="21"/>
          </reference>
          <reference field="4" count="1" selected="0">
            <x v="45"/>
          </reference>
          <reference field="5" count="1" selected="0">
            <x v="22"/>
          </reference>
          <reference field="7" count="1">
            <x v="22"/>
          </reference>
        </references>
      </pivotArea>
    </format>
    <format dxfId="778">
      <pivotArea dataOnly="0" labelOnly="1" outline="0" fieldPosition="0">
        <references count="5">
          <reference field="0" count="1" selected="0">
            <x v="46"/>
          </reference>
          <reference field="2" count="1" selected="0">
            <x v="50"/>
          </reference>
          <reference field="4" count="1" selected="0">
            <x v="25"/>
          </reference>
          <reference field="5" count="1" selected="0">
            <x v="46"/>
          </reference>
          <reference field="7" count="1">
            <x v="23"/>
          </reference>
        </references>
      </pivotArea>
    </format>
    <format dxfId="777">
      <pivotArea dataOnly="0" labelOnly="1" outline="0" fieldPosition="0">
        <references count="5">
          <reference field="0" count="1" selected="0">
            <x v="47"/>
          </reference>
          <reference field="2" count="1" selected="0">
            <x v="46"/>
          </reference>
          <reference field="4" count="1" selected="0">
            <x v="16"/>
          </reference>
          <reference field="5" count="1" selected="0">
            <x v="42"/>
          </reference>
          <reference field="7" count="1">
            <x v="43"/>
          </reference>
        </references>
      </pivotArea>
    </format>
    <format dxfId="776">
      <pivotArea dataOnly="0" labelOnly="1" outline="0" fieldPosition="0">
        <references count="5">
          <reference field="0" count="1" selected="0">
            <x v="48"/>
          </reference>
          <reference field="2" count="1" selected="0">
            <x v="47"/>
          </reference>
          <reference field="4" count="1" selected="0">
            <x v="29"/>
          </reference>
          <reference field="5" count="1" selected="0">
            <x v="43"/>
          </reference>
          <reference field="7" count="1">
            <x v="28"/>
          </reference>
        </references>
      </pivotArea>
    </format>
    <format dxfId="775">
      <pivotArea dataOnly="0" labelOnly="1" outline="0" fieldPosition="0">
        <references count="5">
          <reference field="0" count="1" selected="0">
            <x v="49"/>
          </reference>
          <reference field="2" count="1" selected="0">
            <x v="48"/>
          </reference>
          <reference field="4" count="1" selected="0">
            <x v="22"/>
          </reference>
          <reference field="5" count="1" selected="0">
            <x v="44"/>
          </reference>
          <reference field="7" count="1">
            <x v="50"/>
          </reference>
        </references>
      </pivotArea>
    </format>
    <format dxfId="774">
      <pivotArea dataOnly="0" labelOnly="1" outline="0" fieldPosition="0">
        <references count="5">
          <reference field="0" count="1" selected="0">
            <x v="50"/>
          </reference>
          <reference field="2" count="1" selected="0">
            <x v="49"/>
          </reference>
          <reference field="4" count="1" selected="0">
            <x v="24"/>
          </reference>
          <reference field="5" count="1" selected="0">
            <x v="45"/>
          </reference>
          <reference field="7" count="1">
            <x v="0"/>
          </reference>
        </references>
      </pivotArea>
    </format>
    <format dxfId="773">
      <pivotArea dataOnly="0" labelOnly="1" outline="0" fieldPosition="0">
        <references count="5">
          <reference field="0" count="1" selected="0">
            <x v="51"/>
          </reference>
          <reference field="2" count="1" selected="0">
            <x v="51"/>
          </reference>
          <reference field="4" count="1" selected="0">
            <x v="30"/>
          </reference>
          <reference field="5" count="1" selected="0">
            <x v="47"/>
          </reference>
          <reference field="7" count="1">
            <x v="38"/>
          </reference>
        </references>
      </pivotArea>
    </format>
    <format dxfId="772">
      <pivotArea dataOnly="0" labelOnly="1" outline="0" fieldPosition="0">
        <references count="5">
          <reference field="0" count="1" selected="0">
            <x v="52"/>
          </reference>
          <reference field="2" count="1" selected="0">
            <x v="52"/>
          </reference>
          <reference field="4" count="1" selected="0">
            <x v="18"/>
          </reference>
          <reference field="5" count="1" selected="0">
            <x v="48"/>
          </reference>
          <reference field="7" count="1">
            <x v="6"/>
          </reference>
        </references>
      </pivotArea>
    </format>
    <format dxfId="771">
      <pivotArea dataOnly="0" labelOnly="1" outline="0" fieldPosition="0">
        <references count="5">
          <reference field="0" count="1" selected="0">
            <x v="53"/>
          </reference>
          <reference field="2" count="1" selected="0">
            <x v="53"/>
          </reference>
          <reference field="4" count="1" selected="0">
            <x v="38"/>
          </reference>
          <reference field="5" count="1" selected="0">
            <x v="56"/>
          </reference>
          <reference field="7" count="1">
            <x v="0"/>
          </reference>
        </references>
      </pivotArea>
    </format>
    <format dxfId="770">
      <pivotArea dataOnly="0" labelOnly="1" outline="0" fieldPosition="0">
        <references count="5">
          <reference field="0" count="1" selected="0">
            <x v="54"/>
          </reference>
          <reference field="2" count="1" selected="0">
            <x v="54"/>
          </reference>
          <reference field="4" count="1" selected="0">
            <x v="12"/>
          </reference>
          <reference field="5" count="1" selected="0">
            <x v="49"/>
          </reference>
          <reference field="7" count="1">
            <x v="21"/>
          </reference>
        </references>
      </pivotArea>
    </format>
    <format dxfId="769">
      <pivotArea dataOnly="0" labelOnly="1" outline="0" fieldPosition="0">
        <references count="5">
          <reference field="0" count="1" selected="0">
            <x v="55"/>
          </reference>
          <reference field="2" count="1" selected="0">
            <x v="55"/>
          </reference>
          <reference field="4" count="1" selected="0">
            <x v="46"/>
          </reference>
          <reference field="5" count="1" selected="0">
            <x v="50"/>
          </reference>
          <reference field="7" count="1">
            <x v="39"/>
          </reference>
        </references>
      </pivotArea>
    </format>
    <format dxfId="768">
      <pivotArea dataOnly="0" labelOnly="1" outline="0" fieldPosition="0">
        <references count="5">
          <reference field="0" count="1" selected="0">
            <x v="56"/>
          </reference>
          <reference field="2" count="1" selected="0">
            <x v="56"/>
          </reference>
          <reference field="4" count="1" selected="0">
            <x v="1"/>
          </reference>
          <reference field="5" count="1" selected="0">
            <x v="1"/>
          </reference>
          <reference field="7" count="1">
            <x v="12"/>
          </reference>
        </references>
      </pivotArea>
    </format>
    <format dxfId="767">
      <pivotArea dataOnly="0" labelOnly="1" outline="0" fieldPosition="0">
        <references count="5">
          <reference field="0" count="1" selected="0">
            <x v="57"/>
          </reference>
          <reference field="2" count="1" selected="0">
            <x v="57"/>
          </reference>
          <reference field="4" count="1" selected="0">
            <x v="2"/>
          </reference>
          <reference field="5" count="1" selected="0">
            <x v="2"/>
          </reference>
          <reference field="7" count="1">
            <x v="42"/>
          </reference>
        </references>
      </pivotArea>
    </format>
    <format dxfId="766">
      <pivotArea dataOnly="0" labelOnly="1" outline="0" fieldPosition="0">
        <references count="5">
          <reference field="0" count="1" selected="0">
            <x v="58"/>
          </reference>
          <reference field="2" count="1" selected="0">
            <x v="58"/>
          </reference>
          <reference field="4" count="1" selected="0">
            <x v="39"/>
          </reference>
          <reference field="5" count="1" selected="0">
            <x v="0"/>
          </reference>
          <reference field="7" count="1">
            <x v="40"/>
          </reference>
        </references>
      </pivotArea>
    </format>
    <format dxfId="765">
      <pivotArea dataOnly="0" labelOnly="1" outline="0" fieldPosition="0">
        <references count="5">
          <reference field="0" count="1" selected="0">
            <x v="59"/>
          </reference>
          <reference field="2" count="1" selected="0">
            <x v="59"/>
          </reference>
          <reference field="4" count="1" selected="0">
            <x v="48"/>
          </reference>
          <reference field="5" count="1" selected="0">
            <x v="51"/>
          </reference>
          <reference field="7" count="1">
            <x v="31"/>
          </reference>
        </references>
      </pivotArea>
    </format>
    <format dxfId="764">
      <pivotArea dataOnly="0" labelOnly="1" outline="0" fieldPosition="0">
        <references count="5">
          <reference field="0" count="1" selected="0">
            <x v="60"/>
          </reference>
          <reference field="2" count="1" selected="0">
            <x v="60"/>
          </reference>
          <reference field="4" count="1" selected="0">
            <x v="49"/>
          </reference>
          <reference field="5" count="1" selected="0">
            <x v="52"/>
          </reference>
          <reference field="7" count="1">
            <x v="10"/>
          </reference>
        </references>
      </pivotArea>
    </format>
    <format dxfId="763">
      <pivotArea dataOnly="0" labelOnly="1" outline="0" fieldPosition="0">
        <references count="5">
          <reference field="0" count="1" selected="0">
            <x v="61"/>
          </reference>
          <reference field="2" count="1" selected="0">
            <x v="61"/>
          </reference>
          <reference field="4" count="1" selected="0">
            <x v="34"/>
          </reference>
          <reference field="5" count="1" selected="0">
            <x v="53"/>
          </reference>
          <reference field="7" count="1">
            <x v="0"/>
          </reference>
        </references>
      </pivotArea>
    </format>
    <format dxfId="762">
      <pivotArea dataOnly="0" labelOnly="1" outline="0" fieldPosition="0">
        <references count="5">
          <reference field="0" count="1" selected="0">
            <x v="62"/>
          </reference>
          <reference field="2" count="1" selected="0">
            <x v="62"/>
          </reference>
          <reference field="4" count="1" selected="0">
            <x v="23"/>
          </reference>
          <reference field="5" count="1" selected="0">
            <x v="54"/>
          </reference>
          <reference field="7" count="1">
            <x v="44"/>
          </reference>
        </references>
      </pivotArea>
    </format>
    <format dxfId="761">
      <pivotArea dataOnly="0" labelOnly="1" outline="0" fieldPosition="0">
        <references count="5">
          <reference field="0" count="1" selected="0">
            <x v="63"/>
          </reference>
          <reference field="2" count="1" selected="0">
            <x v="63"/>
          </reference>
          <reference field="4" count="1" selected="0">
            <x v="36"/>
          </reference>
          <reference field="5" count="1" selected="0">
            <x v="55"/>
          </reference>
          <reference field="7" count="1">
            <x v="37"/>
          </reference>
        </references>
      </pivotArea>
    </format>
    <format dxfId="760">
      <pivotArea dataOnly="0" labelOnly="1" outline="0" fieldPosition="0">
        <references count="5">
          <reference field="0" count="1" selected="0">
            <x v="64"/>
          </reference>
          <reference field="2" count="1" selected="0">
            <x v="64"/>
          </reference>
          <reference field="4" count="1" selected="0">
            <x v="64"/>
          </reference>
          <reference field="5" count="1" selected="0">
            <x v="57"/>
          </reference>
          <reference field="7" count="1">
            <x v="56"/>
          </reference>
        </references>
      </pivotArea>
    </format>
    <format dxfId="759">
      <pivotArea dataOnly="0" labelOnly="1" outline="0" fieldPosition="0">
        <references count="6">
          <reference field="0" count="1" selected="0">
            <x v="0"/>
          </reference>
          <reference field="2" count="1" selected="0">
            <x v="0"/>
          </reference>
          <reference field="4" count="1" selected="0">
            <x v="0"/>
          </reference>
          <reference field="5" count="1" selected="0">
            <x v="0"/>
          </reference>
          <reference field="7" count="1" selected="0">
            <x v="0"/>
          </reference>
          <reference field="8" count="1">
            <x v="0"/>
          </reference>
        </references>
      </pivotArea>
    </format>
    <format dxfId="758">
      <pivotArea dataOnly="0" labelOnly="1" outline="0" fieldPosition="0">
        <references count="6">
          <reference field="0" count="1" selected="0">
            <x v="1"/>
          </reference>
          <reference field="2" count="1" selected="0">
            <x v="1"/>
          </reference>
          <reference field="4" count="1" selected="0">
            <x v="17"/>
          </reference>
          <reference field="5" count="1" selected="0">
            <x v="4"/>
          </reference>
          <reference field="7" count="1" selected="0">
            <x v="14"/>
          </reference>
          <reference field="8" count="1">
            <x v="17"/>
          </reference>
        </references>
      </pivotArea>
    </format>
    <format dxfId="757">
      <pivotArea dataOnly="0" labelOnly="1" outline="0" fieldPosition="0">
        <references count="6">
          <reference field="0" count="1" selected="0">
            <x v="2"/>
          </reference>
          <reference field="2" count="1" selected="0">
            <x v="2"/>
          </reference>
          <reference field="4" count="1" selected="0">
            <x v="51"/>
          </reference>
          <reference field="5" count="1" selected="0">
            <x v="6"/>
          </reference>
          <reference field="7" count="1" selected="0">
            <x v="26"/>
          </reference>
          <reference field="8" count="1">
            <x v="25"/>
          </reference>
        </references>
      </pivotArea>
    </format>
    <format dxfId="756">
      <pivotArea dataOnly="0" labelOnly="1" outline="0" fieldPosition="0">
        <references count="6">
          <reference field="0" count="1" selected="0">
            <x v="3"/>
          </reference>
          <reference field="2" count="1" selected="0">
            <x v="3"/>
          </reference>
          <reference field="4" count="1" selected="0">
            <x v="13"/>
          </reference>
          <reference field="5" count="1" selected="0">
            <x v="7"/>
          </reference>
          <reference field="7" count="1" selected="0">
            <x v="13"/>
          </reference>
          <reference field="8" count="1">
            <x v="7"/>
          </reference>
        </references>
      </pivotArea>
    </format>
    <format dxfId="755">
      <pivotArea dataOnly="0" labelOnly="1" outline="0" fieldPosition="0">
        <references count="6">
          <reference field="0" count="1" selected="0">
            <x v="4"/>
          </reference>
          <reference field="2" count="1" selected="0">
            <x v="4"/>
          </reference>
          <reference field="4" count="1" selected="0">
            <x v="11"/>
          </reference>
          <reference field="5" count="1" selected="0">
            <x v="34"/>
          </reference>
          <reference field="7" count="1" selected="0">
            <x v="9"/>
          </reference>
          <reference field="8" count="1">
            <x v="1"/>
          </reference>
        </references>
      </pivotArea>
    </format>
    <format dxfId="754">
      <pivotArea dataOnly="0" labelOnly="1" outline="0" fieldPosition="0">
        <references count="6">
          <reference field="0" count="1" selected="0">
            <x v="5"/>
          </reference>
          <reference field="2" count="1" selected="0">
            <x v="5"/>
          </reference>
          <reference field="4" count="1" selected="0">
            <x v="20"/>
          </reference>
          <reference field="5" count="1" selected="0">
            <x v="8"/>
          </reference>
          <reference field="7" count="1" selected="0">
            <x v="11"/>
          </reference>
          <reference field="8" count="1">
            <x v="3"/>
          </reference>
        </references>
      </pivotArea>
    </format>
    <format dxfId="753">
      <pivotArea dataOnly="0" labelOnly="1" outline="0" fieldPosition="0">
        <references count="6">
          <reference field="0" count="1" selected="0">
            <x v="6"/>
          </reference>
          <reference field="2" count="1" selected="0">
            <x v="6"/>
          </reference>
          <reference field="4" count="1" selected="0">
            <x v="60"/>
          </reference>
          <reference field="5" count="1" selected="0">
            <x v="9"/>
          </reference>
          <reference field="7" count="1" selected="0">
            <x v="27"/>
          </reference>
          <reference field="8" count="1">
            <x v="0"/>
          </reference>
        </references>
      </pivotArea>
    </format>
    <format dxfId="752">
      <pivotArea dataOnly="0" labelOnly="1" outline="0" fieldPosition="0">
        <references count="6">
          <reference field="0" count="1" selected="0">
            <x v="7"/>
          </reference>
          <reference field="2" count="1" selected="0">
            <x v="7"/>
          </reference>
          <reference field="4" count="1" selected="0">
            <x v="14"/>
          </reference>
          <reference field="5" count="1" selected="0">
            <x v="10"/>
          </reference>
          <reference field="7" count="1" selected="0">
            <x v="0"/>
          </reference>
          <reference field="8" count="1">
            <x v="21"/>
          </reference>
        </references>
      </pivotArea>
    </format>
    <format dxfId="751">
      <pivotArea dataOnly="0" labelOnly="1" outline="0" fieldPosition="0">
        <references count="6">
          <reference field="0" count="1" selected="0">
            <x v="8"/>
          </reference>
          <reference field="2" count="1" selected="0">
            <x v="8"/>
          </reference>
          <reference field="4" count="1" selected="0">
            <x v="37"/>
          </reference>
          <reference field="5" count="1" selected="0">
            <x v="12"/>
          </reference>
          <reference field="7" count="1" selected="0">
            <x v="35"/>
          </reference>
          <reference field="8" count="1">
            <x v="28"/>
          </reference>
        </references>
      </pivotArea>
    </format>
    <format dxfId="750">
      <pivotArea dataOnly="0" labelOnly="1" outline="0" fieldPosition="0">
        <references count="6">
          <reference field="0" count="1" selected="0">
            <x v="9"/>
          </reference>
          <reference field="2" count="1" selected="0">
            <x v="9"/>
          </reference>
          <reference field="4" count="1" selected="0">
            <x v="35"/>
          </reference>
          <reference field="5" count="1" selected="0">
            <x v="0"/>
          </reference>
          <reference field="7" count="1" selected="0">
            <x v="25"/>
          </reference>
          <reference field="8" count="1">
            <x v="0"/>
          </reference>
        </references>
      </pivotArea>
    </format>
    <format dxfId="749">
      <pivotArea dataOnly="0" labelOnly="1" outline="0" fieldPosition="0">
        <references count="6">
          <reference field="0" count="1" selected="0">
            <x v="10"/>
          </reference>
          <reference field="2" count="1" selected="0">
            <x v="10"/>
          </reference>
          <reference field="4" count="1" selected="0">
            <x v="55"/>
          </reference>
          <reference field="5" count="1" selected="0">
            <x v="13"/>
          </reference>
          <reference field="7" count="1" selected="0">
            <x v="4"/>
          </reference>
          <reference field="8" count="1">
            <x v="11"/>
          </reference>
        </references>
      </pivotArea>
    </format>
    <format dxfId="748">
      <pivotArea dataOnly="0" labelOnly="1" outline="0" fieldPosition="0">
        <references count="6">
          <reference field="0" count="1" selected="0">
            <x v="11"/>
          </reference>
          <reference field="2" count="1" selected="0">
            <x v="11"/>
          </reference>
          <reference field="4" count="1" selected="0">
            <x v="10"/>
          </reference>
          <reference field="5" count="1" selected="0">
            <x v="14"/>
          </reference>
          <reference field="7" count="1" selected="0">
            <x v="1"/>
          </reference>
          <reference field="8" count="1">
            <x v="6"/>
          </reference>
        </references>
      </pivotArea>
    </format>
    <format dxfId="747">
      <pivotArea dataOnly="0" labelOnly="1" outline="0" fieldPosition="0">
        <references count="6">
          <reference field="0" count="1" selected="0">
            <x v="12"/>
          </reference>
          <reference field="2" count="1" selected="0">
            <x v="12"/>
          </reference>
          <reference field="4" count="1" selected="0">
            <x v="63"/>
          </reference>
          <reference field="5" count="1" selected="0">
            <x v="15"/>
          </reference>
          <reference field="7" count="1" selected="0">
            <x v="5"/>
          </reference>
          <reference field="8" count="1">
            <x v="39"/>
          </reference>
        </references>
      </pivotArea>
    </format>
    <format dxfId="746">
      <pivotArea dataOnly="0" labelOnly="1" outline="0" fieldPosition="0">
        <references count="6">
          <reference field="0" count="1" selected="0">
            <x v="13"/>
          </reference>
          <reference field="2" count="1" selected="0">
            <x v="13"/>
          </reference>
          <reference field="4" count="1" selected="0">
            <x v="4"/>
          </reference>
          <reference field="5" count="1" selected="0">
            <x v="16"/>
          </reference>
          <reference field="7" count="1" selected="0">
            <x v="54"/>
          </reference>
          <reference field="8" count="1">
            <x v="40"/>
          </reference>
        </references>
      </pivotArea>
    </format>
    <format dxfId="745">
      <pivotArea dataOnly="0" labelOnly="1" outline="0" fieldPosition="0">
        <references count="6">
          <reference field="0" count="1" selected="0">
            <x v="14"/>
          </reference>
          <reference field="2" count="1" selected="0">
            <x v="14"/>
          </reference>
          <reference field="4" count="1" selected="0">
            <x v="21"/>
          </reference>
          <reference field="5" count="1" selected="0">
            <x v="0"/>
          </reference>
          <reference field="7" count="1" selected="0">
            <x v="17"/>
          </reference>
          <reference field="8" count="1">
            <x v="0"/>
          </reference>
        </references>
      </pivotArea>
    </format>
    <format dxfId="744">
      <pivotArea dataOnly="0" labelOnly="1" outline="0" fieldPosition="0">
        <references count="6">
          <reference field="0" count="1" selected="0">
            <x v="15"/>
          </reference>
          <reference field="2" count="1" selected="0">
            <x v="15"/>
          </reference>
          <reference field="4" count="1" selected="0">
            <x v="28"/>
          </reference>
          <reference field="5" count="1" selected="0">
            <x v="17"/>
          </reference>
          <reference field="7" count="1" selected="0">
            <x v="30"/>
          </reference>
          <reference field="8" count="1">
            <x v="2"/>
          </reference>
        </references>
      </pivotArea>
    </format>
    <format dxfId="743">
      <pivotArea dataOnly="0" labelOnly="1" outline="0" fieldPosition="0">
        <references count="6">
          <reference field="0" count="1" selected="0">
            <x v="16"/>
          </reference>
          <reference field="2" count="1" selected="0">
            <x v="16"/>
          </reference>
          <reference field="4" count="1" selected="0">
            <x v="57"/>
          </reference>
          <reference field="5" count="1" selected="0">
            <x v="18"/>
          </reference>
          <reference field="7" count="1" selected="0">
            <x v="33"/>
          </reference>
          <reference field="8" count="1">
            <x v="19"/>
          </reference>
        </references>
      </pivotArea>
    </format>
    <format dxfId="742">
      <pivotArea dataOnly="0" labelOnly="1" outline="0" fieldPosition="0">
        <references count="6">
          <reference field="0" count="1" selected="0">
            <x v="17"/>
          </reference>
          <reference field="2" count="1" selected="0">
            <x v="17"/>
          </reference>
          <reference field="4" count="1" selected="0">
            <x v="32"/>
          </reference>
          <reference field="5" count="1" selected="0">
            <x v="19"/>
          </reference>
          <reference field="7" count="1" selected="0">
            <x v="51"/>
          </reference>
          <reference field="8" count="1">
            <x v="4"/>
          </reference>
        </references>
      </pivotArea>
    </format>
    <format dxfId="741">
      <pivotArea dataOnly="0" labelOnly="1" outline="0" fieldPosition="0">
        <references count="6">
          <reference field="0" count="1" selected="0">
            <x v="18"/>
          </reference>
          <reference field="2" count="1" selected="0">
            <x v="18"/>
          </reference>
          <reference field="4" count="1" selected="0">
            <x v="54"/>
          </reference>
          <reference field="5" count="1" selected="0">
            <x v="20"/>
          </reference>
          <reference field="7" count="1" selected="0">
            <x v="29"/>
          </reference>
          <reference field="8" count="1">
            <x v="15"/>
          </reference>
        </references>
      </pivotArea>
    </format>
    <format dxfId="740">
      <pivotArea dataOnly="0" labelOnly="1" outline="0" fieldPosition="0">
        <references count="6">
          <reference field="0" count="1" selected="0">
            <x v="19"/>
          </reference>
          <reference field="2" count="1" selected="0">
            <x v="19"/>
          </reference>
          <reference field="4" count="1" selected="0">
            <x v="62"/>
          </reference>
          <reference field="5" count="1" selected="0">
            <x v="11"/>
          </reference>
          <reference field="7" count="1" selected="0">
            <x v="0"/>
          </reference>
          <reference field="8" count="1">
            <x v="5"/>
          </reference>
        </references>
      </pivotArea>
    </format>
    <format dxfId="739">
      <pivotArea dataOnly="0" labelOnly="1" outline="0" fieldPosition="0">
        <references count="6">
          <reference field="0" count="1" selected="0">
            <x v="20"/>
          </reference>
          <reference field="2" count="1" selected="0">
            <x v="20"/>
          </reference>
          <reference field="4" count="1" selected="0">
            <x v="59"/>
          </reference>
          <reference field="5" count="1" selected="0">
            <x v="21"/>
          </reference>
          <reference field="7" count="1" selected="0">
            <x v="15"/>
          </reference>
          <reference field="8" count="1">
            <x v="8"/>
          </reference>
        </references>
      </pivotArea>
    </format>
    <format dxfId="738">
      <pivotArea dataOnly="0" labelOnly="1" outline="0" fieldPosition="0">
        <references count="6">
          <reference field="0" count="1" selected="0">
            <x v="21"/>
          </reference>
          <reference field="2" count="1" selected="0">
            <x v="22"/>
          </reference>
          <reference field="4" count="1" selected="0">
            <x v="56"/>
          </reference>
          <reference field="5" count="1" selected="0">
            <x v="23"/>
          </reference>
          <reference field="7" count="1" selected="0">
            <x v="0"/>
          </reference>
          <reference field="8" count="1">
            <x v="38"/>
          </reference>
        </references>
      </pivotArea>
    </format>
    <format dxfId="737">
      <pivotArea dataOnly="0" labelOnly="1" outline="0" fieldPosition="0">
        <references count="6">
          <reference field="0" count="1" selected="0">
            <x v="22"/>
          </reference>
          <reference field="2" count="1" selected="0">
            <x v="23"/>
          </reference>
          <reference field="4" count="1" selected="0">
            <x v="15"/>
          </reference>
          <reference field="5" count="1" selected="0">
            <x v="25"/>
          </reference>
          <reference field="7" count="1" selected="0">
            <x v="52"/>
          </reference>
          <reference field="8" count="1">
            <x v="32"/>
          </reference>
        </references>
      </pivotArea>
    </format>
    <format dxfId="736">
      <pivotArea dataOnly="0" labelOnly="1" outline="0" fieldPosition="0">
        <references count="6">
          <reference field="0" count="1" selected="0">
            <x v="23"/>
          </reference>
          <reference field="2" count="1" selected="0">
            <x v="24"/>
          </reference>
          <reference field="4" count="1" selected="0">
            <x v="53"/>
          </reference>
          <reference field="5" count="1" selected="0">
            <x v="26"/>
          </reference>
          <reference field="7" count="1" selected="0">
            <x v="47"/>
          </reference>
          <reference field="8" count="1">
            <x v="10"/>
          </reference>
        </references>
      </pivotArea>
    </format>
    <format dxfId="735">
      <pivotArea dataOnly="0" labelOnly="1" outline="0" fieldPosition="0">
        <references count="6">
          <reference field="0" count="1" selected="0">
            <x v="24"/>
          </reference>
          <reference field="2" count="1" selected="0">
            <x v="26"/>
          </reference>
          <reference field="4" count="1" selected="0">
            <x v="52"/>
          </reference>
          <reference field="5" count="1" selected="0">
            <x v="27"/>
          </reference>
          <reference field="7" count="1" selected="0">
            <x v="20"/>
          </reference>
          <reference field="8" count="1">
            <x v="23"/>
          </reference>
        </references>
      </pivotArea>
    </format>
    <format dxfId="734">
      <pivotArea dataOnly="0" labelOnly="1" outline="0" fieldPosition="0">
        <references count="6">
          <reference field="0" count="1" selected="0">
            <x v="25"/>
          </reference>
          <reference field="2" count="1" selected="0">
            <x v="25"/>
          </reference>
          <reference field="4" count="1" selected="0">
            <x v="31"/>
          </reference>
          <reference field="5" count="1" selected="0">
            <x v="28"/>
          </reference>
          <reference field="7" count="1" selected="0">
            <x v="0"/>
          </reference>
          <reference field="8" count="1">
            <x v="33"/>
          </reference>
        </references>
      </pivotArea>
    </format>
    <format dxfId="733">
      <pivotArea dataOnly="0" labelOnly="1" outline="0" fieldPosition="0">
        <references count="6">
          <reference field="0" count="1" selected="0">
            <x v="26"/>
          </reference>
          <reference field="2" count="1" selected="0">
            <x v="28"/>
          </reference>
          <reference field="4" count="1" selected="0">
            <x v="7"/>
          </reference>
          <reference field="5" count="1" selected="0">
            <x v="5"/>
          </reference>
          <reference field="7" count="1" selected="0">
            <x v="24"/>
          </reference>
          <reference field="8" count="1">
            <x v="0"/>
          </reference>
        </references>
      </pivotArea>
    </format>
    <format dxfId="732">
      <pivotArea dataOnly="0" labelOnly="1" outline="0" fieldPosition="0">
        <references count="6">
          <reference field="0" count="1" selected="0">
            <x v="27"/>
          </reference>
          <reference field="2" count="1" selected="0">
            <x v="27"/>
          </reference>
          <reference field="4" count="1" selected="0">
            <x v="58"/>
          </reference>
          <reference field="5" count="1" selected="0">
            <x v="29"/>
          </reference>
          <reference field="7" count="1" selected="0">
            <x v="19"/>
          </reference>
          <reference field="8" count="1">
            <x v="2"/>
          </reference>
        </references>
      </pivotArea>
    </format>
    <format dxfId="731">
      <pivotArea dataOnly="0" labelOnly="1" outline="0" fieldPosition="0">
        <references count="6">
          <reference field="0" count="1" selected="0">
            <x v="28"/>
          </reference>
          <reference field="2" count="1" selected="0">
            <x v="29"/>
          </reference>
          <reference field="4" count="1" selected="0">
            <x v="40"/>
          </reference>
          <reference field="5" count="1" selected="0">
            <x v="30"/>
          </reference>
          <reference field="7" count="1" selected="0">
            <x v="34"/>
          </reference>
          <reference field="8" count="1">
            <x v="0"/>
          </reference>
        </references>
      </pivotArea>
    </format>
    <format dxfId="730">
      <pivotArea dataOnly="0" labelOnly="1" outline="0" fieldPosition="0">
        <references count="6">
          <reference field="0" count="1" selected="0">
            <x v="29"/>
          </reference>
          <reference field="2" count="1" selected="0">
            <x v="30"/>
          </reference>
          <reference field="4" count="1" selected="0">
            <x v="61"/>
          </reference>
          <reference field="5" count="1" selected="0">
            <x v="31"/>
          </reference>
          <reference field="7" count="1" selected="0">
            <x v="53"/>
          </reference>
          <reference field="8" count="1">
            <x v="0"/>
          </reference>
        </references>
      </pivotArea>
    </format>
    <format dxfId="729">
      <pivotArea dataOnly="0" labelOnly="1" outline="0" fieldPosition="0">
        <references count="6">
          <reference field="0" count="1" selected="0">
            <x v="30"/>
          </reference>
          <reference field="2" count="1" selected="0">
            <x v="31"/>
          </reference>
          <reference field="4" count="1" selected="0">
            <x v="27"/>
          </reference>
          <reference field="5" count="1" selected="0">
            <x v="31"/>
          </reference>
          <reference field="7" count="1" selected="0">
            <x v="3"/>
          </reference>
          <reference field="8" count="1">
            <x v="0"/>
          </reference>
        </references>
      </pivotArea>
    </format>
    <format dxfId="728">
      <pivotArea dataOnly="0" labelOnly="1" outline="0" fieldPosition="0">
        <references count="6">
          <reference field="0" count="1" selected="0">
            <x v="31"/>
          </reference>
          <reference field="2" count="1" selected="0">
            <x v="32"/>
          </reference>
          <reference field="4" count="1" selected="0">
            <x v="47"/>
          </reference>
          <reference field="5" count="1" selected="0">
            <x v="32"/>
          </reference>
          <reference field="7" count="1" selected="0">
            <x v="49"/>
          </reference>
          <reference field="8" count="1">
            <x v="0"/>
          </reference>
        </references>
      </pivotArea>
    </format>
    <format dxfId="727">
      <pivotArea dataOnly="0" labelOnly="1" outline="0" fieldPosition="0">
        <references count="6">
          <reference field="0" count="1" selected="0">
            <x v="32"/>
          </reference>
          <reference field="2" count="1" selected="0">
            <x v="33"/>
          </reference>
          <reference field="4" count="1" selected="0">
            <x v="50"/>
          </reference>
          <reference field="5" count="1" selected="0">
            <x v="0"/>
          </reference>
          <reference field="7" count="1" selected="0">
            <x v="16"/>
          </reference>
          <reference field="8" count="1">
            <x v="0"/>
          </reference>
        </references>
      </pivotArea>
    </format>
    <format dxfId="726">
      <pivotArea dataOnly="0" labelOnly="1" outline="0" fieldPosition="0">
        <references count="6">
          <reference field="0" count="1" selected="0">
            <x v="33"/>
          </reference>
          <reference field="2" count="1" selected="0">
            <x v="34"/>
          </reference>
          <reference field="4" count="1" selected="0">
            <x v="44"/>
          </reference>
          <reference field="5" count="1" selected="0">
            <x v="0"/>
          </reference>
          <reference field="7" count="1" selected="0">
            <x v="2"/>
          </reference>
          <reference field="8" count="1">
            <x v="0"/>
          </reference>
        </references>
      </pivotArea>
    </format>
    <format dxfId="725">
      <pivotArea dataOnly="0" labelOnly="1" outline="0" fieldPosition="0">
        <references count="6">
          <reference field="0" count="1" selected="0">
            <x v="34"/>
          </reference>
          <reference field="2" count="1" selected="0">
            <x v="35"/>
          </reference>
          <reference field="4" count="1" selected="0">
            <x v="5"/>
          </reference>
          <reference field="5" count="1" selected="0">
            <x v="33"/>
          </reference>
          <reference field="7" count="1" selected="0">
            <x v="0"/>
          </reference>
          <reference field="8" count="1">
            <x v="37"/>
          </reference>
        </references>
      </pivotArea>
    </format>
    <format dxfId="724">
      <pivotArea dataOnly="0" labelOnly="1" outline="0" fieldPosition="0">
        <references count="6">
          <reference field="0" count="1" selected="0">
            <x v="35"/>
          </reference>
          <reference field="2" count="1" selected="0">
            <x v="36"/>
          </reference>
          <reference field="4" count="1" selected="0">
            <x v="3"/>
          </reference>
          <reference field="5" count="1" selected="0">
            <x v="35"/>
          </reference>
          <reference field="7" count="1" selected="0">
            <x v="36"/>
          </reference>
          <reference field="8" count="1">
            <x v="34"/>
          </reference>
        </references>
      </pivotArea>
    </format>
    <format dxfId="723">
      <pivotArea dataOnly="0" labelOnly="1" outline="0" fieldPosition="0">
        <references count="6">
          <reference field="0" count="1" selected="0">
            <x v="36"/>
          </reference>
          <reference field="2" count="1" selected="0">
            <x v="37"/>
          </reference>
          <reference field="4" count="1" selected="0">
            <x v="42"/>
          </reference>
          <reference field="5" count="1" selected="0">
            <x v="0"/>
          </reference>
          <reference field="7" count="1" selected="0">
            <x v="41"/>
          </reference>
          <reference field="8" count="1">
            <x v="0"/>
          </reference>
        </references>
      </pivotArea>
    </format>
    <format dxfId="722">
      <pivotArea dataOnly="0" labelOnly="1" outline="0" fieldPosition="0">
        <references count="6">
          <reference field="0" count="1" selected="0">
            <x v="37"/>
          </reference>
          <reference field="2" count="1" selected="0">
            <x v="38"/>
          </reference>
          <reference field="4" count="1" selected="0">
            <x v="19"/>
          </reference>
          <reference field="5" count="1" selected="0">
            <x v="24"/>
          </reference>
          <reference field="7" count="1" selected="0">
            <x v="45"/>
          </reference>
          <reference field="8" count="1">
            <x v="20"/>
          </reference>
        </references>
      </pivotArea>
    </format>
    <format dxfId="721">
      <pivotArea dataOnly="0" labelOnly="1" outline="0" fieldPosition="0">
        <references count="6">
          <reference field="0" count="1" selected="0">
            <x v="38"/>
          </reference>
          <reference field="2" count="1" selected="0">
            <x v="39"/>
          </reference>
          <reference field="4" count="1" selected="0">
            <x v="43"/>
          </reference>
          <reference field="5" count="1" selected="0">
            <x v="36"/>
          </reference>
          <reference field="7" count="1" selected="0">
            <x v="18"/>
          </reference>
          <reference field="8" count="1">
            <x v="20"/>
          </reference>
        </references>
      </pivotArea>
    </format>
    <format dxfId="720">
      <pivotArea dataOnly="0" labelOnly="1" outline="0" fieldPosition="0">
        <references count="6">
          <reference field="0" count="1" selected="0">
            <x v="39"/>
          </reference>
          <reference field="2" count="1" selected="0">
            <x v="40"/>
          </reference>
          <reference field="4" count="1" selected="0">
            <x v="41"/>
          </reference>
          <reference field="5" count="1" selected="0">
            <x v="37"/>
          </reference>
          <reference field="7" count="1" selected="0">
            <x v="7"/>
          </reference>
          <reference field="8" count="1">
            <x v="0"/>
          </reference>
        </references>
      </pivotArea>
    </format>
    <format dxfId="719">
      <pivotArea dataOnly="0" labelOnly="1" outline="0" fieldPosition="0">
        <references count="6">
          <reference field="0" count="1" selected="0">
            <x v="40"/>
          </reference>
          <reference field="2" count="1" selected="0">
            <x v="41"/>
          </reference>
          <reference field="4" count="1" selected="0">
            <x v="6"/>
          </reference>
          <reference field="5" count="1" selected="0">
            <x v="38"/>
          </reference>
          <reference field="7" count="1" selected="0">
            <x v="46"/>
          </reference>
          <reference field="8" count="1">
            <x v="26"/>
          </reference>
        </references>
      </pivotArea>
    </format>
    <format dxfId="718">
      <pivotArea dataOnly="0" labelOnly="1" outline="0" fieldPosition="0">
        <references count="6">
          <reference field="0" count="1" selected="0">
            <x v="41"/>
          </reference>
          <reference field="2" count="1" selected="0">
            <x v="42"/>
          </reference>
          <reference field="4" count="1" selected="0">
            <x v="9"/>
          </reference>
          <reference field="5" count="1" selected="0">
            <x v="39"/>
          </reference>
          <reference field="7" count="1" selected="0">
            <x v="8"/>
          </reference>
          <reference field="8" count="1">
            <x v="12"/>
          </reference>
        </references>
      </pivotArea>
    </format>
    <format dxfId="717">
      <pivotArea dataOnly="0" labelOnly="1" outline="0" fieldPosition="0">
        <references count="6">
          <reference field="0" count="1" selected="0">
            <x v="42"/>
          </reference>
          <reference field="2" count="1" selected="0">
            <x v="43"/>
          </reference>
          <reference field="4" count="1" selected="0">
            <x v="8"/>
          </reference>
          <reference field="5" count="1" selected="0">
            <x v="40"/>
          </reference>
          <reference field="7" count="1" selected="0">
            <x v="55"/>
          </reference>
          <reference field="8" count="1">
            <x v="29"/>
          </reference>
        </references>
      </pivotArea>
    </format>
    <format dxfId="716">
      <pivotArea dataOnly="0" labelOnly="1" outline="0" fieldPosition="0">
        <references count="6">
          <reference field="0" count="1" selected="0">
            <x v="43"/>
          </reference>
          <reference field="2" count="1" selected="0">
            <x v="44"/>
          </reference>
          <reference field="4" count="1" selected="0">
            <x v="33"/>
          </reference>
          <reference field="5" count="1" selected="0">
            <x v="41"/>
          </reference>
          <reference field="7" count="1" selected="0">
            <x v="48"/>
          </reference>
          <reference field="8" count="1">
            <x v="9"/>
          </reference>
        </references>
      </pivotArea>
    </format>
    <format dxfId="715">
      <pivotArea dataOnly="0" labelOnly="1" outline="0" fieldPosition="0">
        <references count="6">
          <reference field="0" count="1" selected="0">
            <x v="44"/>
          </reference>
          <reference field="2" count="1" selected="0">
            <x v="45"/>
          </reference>
          <reference field="4" count="1" selected="0">
            <x v="26"/>
          </reference>
          <reference field="5" count="1" selected="0">
            <x v="3"/>
          </reference>
          <reference field="7" count="1" selected="0">
            <x v="32"/>
          </reference>
          <reference field="8" count="1">
            <x v="24"/>
          </reference>
        </references>
      </pivotArea>
    </format>
    <format dxfId="714">
      <pivotArea dataOnly="0" labelOnly="1" outline="0" fieldPosition="0">
        <references count="6">
          <reference field="0" count="1" selected="0">
            <x v="45"/>
          </reference>
          <reference field="2" count="1" selected="0">
            <x v="21"/>
          </reference>
          <reference field="4" count="1" selected="0">
            <x v="45"/>
          </reference>
          <reference field="5" count="1" selected="0">
            <x v="22"/>
          </reference>
          <reference field="7" count="1" selected="0">
            <x v="22"/>
          </reference>
          <reference field="8" count="1">
            <x v="0"/>
          </reference>
        </references>
      </pivotArea>
    </format>
    <format dxfId="713">
      <pivotArea dataOnly="0" labelOnly="1" outline="0" fieldPosition="0">
        <references count="6">
          <reference field="0" count="1" selected="0">
            <x v="46"/>
          </reference>
          <reference field="2" count="1" selected="0">
            <x v="50"/>
          </reference>
          <reference field="4" count="1" selected="0">
            <x v="25"/>
          </reference>
          <reference field="5" count="1" selected="0">
            <x v="46"/>
          </reference>
          <reference field="7" count="1" selected="0">
            <x v="23"/>
          </reference>
          <reference field="8" count="1">
            <x v="0"/>
          </reference>
        </references>
      </pivotArea>
    </format>
    <format dxfId="712">
      <pivotArea dataOnly="0" labelOnly="1" outline="0" fieldPosition="0">
        <references count="6">
          <reference field="0" count="1" selected="0">
            <x v="47"/>
          </reference>
          <reference field="2" count="1" selected="0">
            <x v="46"/>
          </reference>
          <reference field="4" count="1" selected="0">
            <x v="16"/>
          </reference>
          <reference field="5" count="1" selected="0">
            <x v="42"/>
          </reference>
          <reference field="7" count="1" selected="0">
            <x v="43"/>
          </reference>
          <reference field="8" count="1">
            <x v="31"/>
          </reference>
        </references>
      </pivotArea>
    </format>
    <format dxfId="711">
      <pivotArea dataOnly="0" labelOnly="1" outline="0" fieldPosition="0">
        <references count="6">
          <reference field="0" count="1" selected="0">
            <x v="48"/>
          </reference>
          <reference field="2" count="1" selected="0">
            <x v="47"/>
          </reference>
          <reference field="4" count="1" selected="0">
            <x v="29"/>
          </reference>
          <reference field="5" count="1" selected="0">
            <x v="43"/>
          </reference>
          <reference field="7" count="1" selected="0">
            <x v="28"/>
          </reference>
          <reference field="8" count="1">
            <x v="18"/>
          </reference>
        </references>
      </pivotArea>
    </format>
    <format dxfId="710">
      <pivotArea dataOnly="0" labelOnly="1" outline="0" fieldPosition="0">
        <references count="6">
          <reference field="0" count="1" selected="0">
            <x v="49"/>
          </reference>
          <reference field="2" count="1" selected="0">
            <x v="48"/>
          </reference>
          <reference field="4" count="1" selected="0">
            <x v="22"/>
          </reference>
          <reference field="5" count="1" selected="0">
            <x v="44"/>
          </reference>
          <reference field="7" count="1" selected="0">
            <x v="50"/>
          </reference>
          <reference field="8" count="1">
            <x v="0"/>
          </reference>
        </references>
      </pivotArea>
    </format>
    <format dxfId="709">
      <pivotArea dataOnly="0" labelOnly="1" outline="0" fieldPosition="0">
        <references count="6">
          <reference field="0" count="1" selected="0">
            <x v="50"/>
          </reference>
          <reference field="2" count="1" selected="0">
            <x v="49"/>
          </reference>
          <reference field="4" count="1" selected="0">
            <x v="24"/>
          </reference>
          <reference field="5" count="1" selected="0">
            <x v="45"/>
          </reference>
          <reference field="7" count="1" selected="0">
            <x v="0"/>
          </reference>
          <reference field="8" count="1">
            <x v="2"/>
          </reference>
        </references>
      </pivotArea>
    </format>
    <format dxfId="708">
      <pivotArea dataOnly="0" labelOnly="1" outline="0" fieldPosition="0">
        <references count="6">
          <reference field="0" count="1" selected="0">
            <x v="51"/>
          </reference>
          <reference field="2" count="1" selected="0">
            <x v="51"/>
          </reference>
          <reference field="4" count="1" selected="0">
            <x v="30"/>
          </reference>
          <reference field="5" count="1" selected="0">
            <x v="47"/>
          </reference>
          <reference field="7" count="1" selected="0">
            <x v="38"/>
          </reference>
          <reference field="8" count="1">
            <x v="16"/>
          </reference>
        </references>
      </pivotArea>
    </format>
    <format dxfId="707">
      <pivotArea dataOnly="0" labelOnly="1" outline="0" fieldPosition="0">
        <references count="6">
          <reference field="0" count="1" selected="0">
            <x v="52"/>
          </reference>
          <reference field="2" count="1" selected="0">
            <x v="52"/>
          </reference>
          <reference field="4" count="1" selected="0">
            <x v="18"/>
          </reference>
          <reference field="5" count="1" selected="0">
            <x v="48"/>
          </reference>
          <reference field="7" count="1" selected="0">
            <x v="6"/>
          </reference>
          <reference field="8" count="1">
            <x v="22"/>
          </reference>
        </references>
      </pivotArea>
    </format>
    <format dxfId="706">
      <pivotArea dataOnly="0" labelOnly="1" outline="0" fieldPosition="0">
        <references count="6">
          <reference field="0" count="1" selected="0">
            <x v="53"/>
          </reference>
          <reference field="2" count="1" selected="0">
            <x v="53"/>
          </reference>
          <reference field="4" count="1" selected="0">
            <x v="38"/>
          </reference>
          <reference field="5" count="1" selected="0">
            <x v="56"/>
          </reference>
          <reference field="7" count="1" selected="0">
            <x v="0"/>
          </reference>
          <reference field="8" count="1">
            <x v="14"/>
          </reference>
        </references>
      </pivotArea>
    </format>
    <format dxfId="705">
      <pivotArea dataOnly="0" labelOnly="1" outline="0" fieldPosition="0">
        <references count="6">
          <reference field="0" count="1" selected="0">
            <x v="54"/>
          </reference>
          <reference field="2" count="1" selected="0">
            <x v="54"/>
          </reference>
          <reference field="4" count="1" selected="0">
            <x v="12"/>
          </reference>
          <reference field="5" count="1" selected="0">
            <x v="49"/>
          </reference>
          <reference field="7" count="1" selected="0">
            <x v="21"/>
          </reference>
          <reference field="8" count="1">
            <x v="13"/>
          </reference>
        </references>
      </pivotArea>
    </format>
    <format dxfId="704">
      <pivotArea dataOnly="0" labelOnly="1" outline="0" fieldPosition="0">
        <references count="6">
          <reference field="0" count="1" selected="0">
            <x v="55"/>
          </reference>
          <reference field="2" count="1" selected="0">
            <x v="55"/>
          </reference>
          <reference field="4" count="1" selected="0">
            <x v="46"/>
          </reference>
          <reference field="5" count="1" selected="0">
            <x v="50"/>
          </reference>
          <reference field="7" count="1" selected="0">
            <x v="39"/>
          </reference>
          <reference field="8" count="1">
            <x v="35"/>
          </reference>
        </references>
      </pivotArea>
    </format>
    <format dxfId="703">
      <pivotArea dataOnly="0" labelOnly="1" outline="0" fieldPosition="0">
        <references count="6">
          <reference field="0" count="1" selected="0">
            <x v="56"/>
          </reference>
          <reference field="2" count="1" selected="0">
            <x v="56"/>
          </reference>
          <reference field="4" count="1" selected="0">
            <x v="1"/>
          </reference>
          <reference field="5" count="1" selected="0">
            <x v="1"/>
          </reference>
          <reference field="7" count="1" selected="0">
            <x v="12"/>
          </reference>
          <reference field="8" count="1">
            <x v="0"/>
          </reference>
        </references>
      </pivotArea>
    </format>
    <format dxfId="702">
      <pivotArea dataOnly="0" labelOnly="1" outline="0" fieldPosition="0">
        <references count="6">
          <reference field="0" count="1" selected="0">
            <x v="57"/>
          </reference>
          <reference field="2" count="1" selected="0">
            <x v="57"/>
          </reference>
          <reference field="4" count="1" selected="0">
            <x v="2"/>
          </reference>
          <reference field="5" count="1" selected="0">
            <x v="2"/>
          </reference>
          <reference field="7" count="1" selected="0">
            <x v="42"/>
          </reference>
          <reference field="8" count="1">
            <x v="2"/>
          </reference>
        </references>
      </pivotArea>
    </format>
    <format dxfId="701">
      <pivotArea dataOnly="0" labelOnly="1" outline="0" fieldPosition="0">
        <references count="6">
          <reference field="0" count="1" selected="0">
            <x v="58"/>
          </reference>
          <reference field="2" count="1" selected="0">
            <x v="58"/>
          </reference>
          <reference field="4" count="1" selected="0">
            <x v="39"/>
          </reference>
          <reference field="5" count="1" selected="0">
            <x v="0"/>
          </reference>
          <reference field="7" count="1" selected="0">
            <x v="40"/>
          </reference>
          <reference field="8" count="1">
            <x v="0"/>
          </reference>
        </references>
      </pivotArea>
    </format>
    <format dxfId="700">
      <pivotArea dataOnly="0" labelOnly="1" outline="0" fieldPosition="0">
        <references count="6">
          <reference field="0" count="1" selected="0">
            <x v="59"/>
          </reference>
          <reference field="2" count="1" selected="0">
            <x v="59"/>
          </reference>
          <reference field="4" count="1" selected="0">
            <x v="48"/>
          </reference>
          <reference field="5" count="1" selected="0">
            <x v="51"/>
          </reference>
          <reference field="7" count="1" selected="0">
            <x v="31"/>
          </reference>
          <reference field="8" count="1">
            <x v="2"/>
          </reference>
        </references>
      </pivotArea>
    </format>
    <format dxfId="699">
      <pivotArea dataOnly="0" labelOnly="1" outline="0" fieldPosition="0">
        <references count="6">
          <reference field="0" count="1" selected="0">
            <x v="60"/>
          </reference>
          <reference field="2" count="1" selected="0">
            <x v="60"/>
          </reference>
          <reference field="4" count="1" selected="0">
            <x v="49"/>
          </reference>
          <reference field="5" count="1" selected="0">
            <x v="52"/>
          </reference>
          <reference field="7" count="1" selected="0">
            <x v="10"/>
          </reference>
          <reference field="8" count="1">
            <x v="36"/>
          </reference>
        </references>
      </pivotArea>
    </format>
    <format dxfId="698">
      <pivotArea dataOnly="0" labelOnly="1" outline="0" fieldPosition="0">
        <references count="6">
          <reference field="0" count="1" selected="0">
            <x v="61"/>
          </reference>
          <reference field="2" count="1" selected="0">
            <x v="61"/>
          </reference>
          <reference field="4" count="1" selected="0">
            <x v="34"/>
          </reference>
          <reference field="5" count="1" selected="0">
            <x v="53"/>
          </reference>
          <reference field="7" count="1" selected="0">
            <x v="0"/>
          </reference>
          <reference field="8" count="1">
            <x v="0"/>
          </reference>
        </references>
      </pivotArea>
    </format>
    <format dxfId="697">
      <pivotArea dataOnly="0" labelOnly="1" outline="0" fieldPosition="0">
        <references count="6">
          <reference field="0" count="1" selected="0">
            <x v="62"/>
          </reference>
          <reference field="2" count="1" selected="0">
            <x v="62"/>
          </reference>
          <reference field="4" count="1" selected="0">
            <x v="23"/>
          </reference>
          <reference field="5" count="1" selected="0">
            <x v="54"/>
          </reference>
          <reference field="7" count="1" selected="0">
            <x v="44"/>
          </reference>
          <reference field="8" count="1">
            <x v="27"/>
          </reference>
        </references>
      </pivotArea>
    </format>
    <format dxfId="696">
      <pivotArea dataOnly="0" labelOnly="1" outline="0" fieldPosition="0">
        <references count="6">
          <reference field="0" count="1" selected="0">
            <x v="63"/>
          </reference>
          <reference field="2" count="1" selected="0">
            <x v="63"/>
          </reference>
          <reference field="4" count="1" selected="0">
            <x v="36"/>
          </reference>
          <reference field="5" count="1" selected="0">
            <x v="55"/>
          </reference>
          <reference field="7" count="1" selected="0">
            <x v="37"/>
          </reference>
          <reference field="8" count="1">
            <x v="30"/>
          </reference>
        </references>
      </pivotArea>
    </format>
    <format dxfId="695">
      <pivotArea dataOnly="0" labelOnly="1" outline="0" fieldPosition="0">
        <references count="6">
          <reference field="0" count="1" selected="0">
            <x v="64"/>
          </reference>
          <reference field="2" count="1" selected="0">
            <x v="64"/>
          </reference>
          <reference field="4" count="1" selected="0">
            <x v="64"/>
          </reference>
          <reference field="5" count="1" selected="0">
            <x v="57"/>
          </reference>
          <reference field="7" count="1" selected="0">
            <x v="56"/>
          </reference>
          <reference field="8" count="1">
            <x v="41"/>
          </reference>
        </references>
      </pivotArea>
    </format>
    <format dxfId="694">
      <pivotArea dataOnly="0" labelOnly="1" grandCol="1" outline="0" fieldPosition="0"/>
    </format>
    <format dxfId="693">
      <pivotArea type="all" dataOnly="0" outline="0" fieldPosition="0"/>
    </format>
    <format dxfId="692">
      <pivotArea outline="0" collapsedLevelsAreSubtotals="1" fieldPosition="0"/>
    </format>
    <format dxfId="691">
      <pivotArea type="origin" dataOnly="0" labelOnly="1" outline="0" fieldPosition="0"/>
    </format>
    <format dxfId="690">
      <pivotArea field="19" type="button" dataOnly="0" labelOnly="1" outline="0"/>
    </format>
    <format dxfId="689">
      <pivotArea type="topRight" dataOnly="0" labelOnly="1" outline="0" fieldPosition="0"/>
    </format>
    <format dxfId="688">
      <pivotArea field="0" type="button" dataOnly="0" labelOnly="1" outline="0" axis="axisRow" fieldPosition="0"/>
    </format>
    <format dxfId="687">
      <pivotArea field="2" type="button" dataOnly="0" labelOnly="1" outline="0" axis="axisRow" fieldPosition="1"/>
    </format>
    <format dxfId="686">
      <pivotArea field="4" type="button" dataOnly="0" labelOnly="1" outline="0" axis="axisRow" fieldPosition="2"/>
    </format>
    <format dxfId="685">
      <pivotArea field="5" type="button" dataOnly="0" labelOnly="1" outline="0" axis="axisRow" fieldPosition="3"/>
    </format>
    <format dxfId="684">
      <pivotArea field="7" type="button" dataOnly="0" labelOnly="1" outline="0" axis="axisRow" fieldPosition="4"/>
    </format>
    <format dxfId="683">
      <pivotArea field="8" type="button" dataOnly="0" labelOnly="1" outline="0" axis="axisRow" fieldPosition="5"/>
    </format>
    <format dxfId="682">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81">
      <pivotArea dataOnly="0" labelOnly="1" outline="0" fieldPosition="0">
        <references count="1">
          <reference field="0" count="15">
            <x v="50"/>
            <x v="51"/>
            <x v="52"/>
            <x v="53"/>
            <x v="54"/>
            <x v="55"/>
            <x v="56"/>
            <x v="57"/>
            <x v="58"/>
            <x v="59"/>
            <x v="60"/>
            <x v="61"/>
            <x v="62"/>
            <x v="63"/>
            <x v="64"/>
          </reference>
        </references>
      </pivotArea>
    </format>
    <format dxfId="680">
      <pivotArea dataOnly="0" labelOnly="1" grandRow="1" outline="0" fieldPosition="0"/>
    </format>
    <format dxfId="679">
      <pivotArea dataOnly="0" labelOnly="1" outline="0" fieldPosition="0">
        <references count="2">
          <reference field="0" count="1" selected="0">
            <x v="0"/>
          </reference>
          <reference field="2" count="1">
            <x v="0"/>
          </reference>
        </references>
      </pivotArea>
    </format>
    <format dxfId="678">
      <pivotArea dataOnly="0" labelOnly="1" outline="0" fieldPosition="0">
        <references count="2">
          <reference field="0" count="1" selected="0">
            <x v="1"/>
          </reference>
          <reference field="2" count="1">
            <x v="1"/>
          </reference>
        </references>
      </pivotArea>
    </format>
    <format dxfId="677">
      <pivotArea dataOnly="0" labelOnly="1" outline="0" fieldPosition="0">
        <references count="2">
          <reference field="0" count="1" selected="0">
            <x v="2"/>
          </reference>
          <reference field="2" count="1">
            <x v="2"/>
          </reference>
        </references>
      </pivotArea>
    </format>
    <format dxfId="676">
      <pivotArea dataOnly="0" labelOnly="1" outline="0" fieldPosition="0">
        <references count="2">
          <reference field="0" count="1" selected="0">
            <x v="3"/>
          </reference>
          <reference field="2" count="1">
            <x v="3"/>
          </reference>
        </references>
      </pivotArea>
    </format>
    <format dxfId="675">
      <pivotArea dataOnly="0" labelOnly="1" outline="0" fieldPosition="0">
        <references count="2">
          <reference field="0" count="1" selected="0">
            <x v="4"/>
          </reference>
          <reference field="2" count="1">
            <x v="4"/>
          </reference>
        </references>
      </pivotArea>
    </format>
    <format dxfId="674">
      <pivotArea dataOnly="0" labelOnly="1" outline="0" fieldPosition="0">
        <references count="2">
          <reference field="0" count="1" selected="0">
            <x v="5"/>
          </reference>
          <reference field="2" count="1">
            <x v="5"/>
          </reference>
        </references>
      </pivotArea>
    </format>
    <format dxfId="673">
      <pivotArea dataOnly="0" labelOnly="1" outline="0" fieldPosition="0">
        <references count="2">
          <reference field="0" count="1" selected="0">
            <x v="6"/>
          </reference>
          <reference field="2" count="1">
            <x v="6"/>
          </reference>
        </references>
      </pivotArea>
    </format>
    <format dxfId="672">
      <pivotArea dataOnly="0" labelOnly="1" outline="0" fieldPosition="0">
        <references count="2">
          <reference field="0" count="1" selected="0">
            <x v="7"/>
          </reference>
          <reference field="2" count="1">
            <x v="7"/>
          </reference>
        </references>
      </pivotArea>
    </format>
    <format dxfId="671">
      <pivotArea dataOnly="0" labelOnly="1" outline="0" fieldPosition="0">
        <references count="2">
          <reference field="0" count="1" selected="0">
            <x v="8"/>
          </reference>
          <reference field="2" count="1">
            <x v="8"/>
          </reference>
        </references>
      </pivotArea>
    </format>
    <format dxfId="670">
      <pivotArea dataOnly="0" labelOnly="1" outline="0" fieldPosition="0">
        <references count="2">
          <reference field="0" count="1" selected="0">
            <x v="9"/>
          </reference>
          <reference field="2" count="1">
            <x v="9"/>
          </reference>
        </references>
      </pivotArea>
    </format>
    <format dxfId="669">
      <pivotArea dataOnly="0" labelOnly="1" outline="0" fieldPosition="0">
        <references count="2">
          <reference field="0" count="1" selected="0">
            <x v="10"/>
          </reference>
          <reference field="2" count="1">
            <x v="10"/>
          </reference>
        </references>
      </pivotArea>
    </format>
    <format dxfId="668">
      <pivotArea dataOnly="0" labelOnly="1" outline="0" fieldPosition="0">
        <references count="2">
          <reference field="0" count="1" selected="0">
            <x v="11"/>
          </reference>
          <reference field="2" count="1">
            <x v="11"/>
          </reference>
        </references>
      </pivotArea>
    </format>
    <format dxfId="667">
      <pivotArea dataOnly="0" labelOnly="1" outline="0" fieldPosition="0">
        <references count="2">
          <reference field="0" count="1" selected="0">
            <x v="12"/>
          </reference>
          <reference field="2" count="1">
            <x v="12"/>
          </reference>
        </references>
      </pivotArea>
    </format>
    <format dxfId="666">
      <pivotArea dataOnly="0" labelOnly="1" outline="0" fieldPosition="0">
        <references count="2">
          <reference field="0" count="1" selected="0">
            <x v="13"/>
          </reference>
          <reference field="2" count="1">
            <x v="13"/>
          </reference>
        </references>
      </pivotArea>
    </format>
    <format dxfId="665">
      <pivotArea dataOnly="0" labelOnly="1" outline="0" fieldPosition="0">
        <references count="2">
          <reference field="0" count="1" selected="0">
            <x v="14"/>
          </reference>
          <reference field="2" count="1">
            <x v="14"/>
          </reference>
        </references>
      </pivotArea>
    </format>
    <format dxfId="664">
      <pivotArea dataOnly="0" labelOnly="1" outline="0" fieldPosition="0">
        <references count="2">
          <reference field="0" count="1" selected="0">
            <x v="15"/>
          </reference>
          <reference field="2" count="1">
            <x v="15"/>
          </reference>
        </references>
      </pivotArea>
    </format>
    <format dxfId="663">
      <pivotArea dataOnly="0" labelOnly="1" outline="0" fieldPosition="0">
        <references count="2">
          <reference field="0" count="1" selected="0">
            <x v="16"/>
          </reference>
          <reference field="2" count="1">
            <x v="16"/>
          </reference>
        </references>
      </pivotArea>
    </format>
    <format dxfId="662">
      <pivotArea dataOnly="0" labelOnly="1" outline="0" fieldPosition="0">
        <references count="2">
          <reference field="0" count="1" selected="0">
            <x v="17"/>
          </reference>
          <reference field="2" count="1">
            <x v="17"/>
          </reference>
        </references>
      </pivotArea>
    </format>
    <format dxfId="661">
      <pivotArea dataOnly="0" labelOnly="1" outline="0" fieldPosition="0">
        <references count="2">
          <reference field="0" count="1" selected="0">
            <x v="18"/>
          </reference>
          <reference field="2" count="1">
            <x v="18"/>
          </reference>
        </references>
      </pivotArea>
    </format>
    <format dxfId="660">
      <pivotArea dataOnly="0" labelOnly="1" outline="0" fieldPosition="0">
        <references count="2">
          <reference field="0" count="1" selected="0">
            <x v="19"/>
          </reference>
          <reference field="2" count="1">
            <x v="19"/>
          </reference>
        </references>
      </pivotArea>
    </format>
    <format dxfId="659">
      <pivotArea dataOnly="0" labelOnly="1" outline="0" fieldPosition="0">
        <references count="2">
          <reference field="0" count="1" selected="0">
            <x v="20"/>
          </reference>
          <reference field="2" count="1">
            <x v="20"/>
          </reference>
        </references>
      </pivotArea>
    </format>
    <format dxfId="658">
      <pivotArea dataOnly="0" labelOnly="1" outline="0" fieldPosition="0">
        <references count="2">
          <reference field="0" count="1" selected="0">
            <x v="21"/>
          </reference>
          <reference field="2" count="1">
            <x v="22"/>
          </reference>
        </references>
      </pivotArea>
    </format>
    <format dxfId="657">
      <pivotArea dataOnly="0" labelOnly="1" outline="0" fieldPosition="0">
        <references count="2">
          <reference field="0" count="1" selected="0">
            <x v="22"/>
          </reference>
          <reference field="2" count="1">
            <x v="23"/>
          </reference>
        </references>
      </pivotArea>
    </format>
    <format dxfId="656">
      <pivotArea dataOnly="0" labelOnly="1" outline="0" fieldPosition="0">
        <references count="2">
          <reference field="0" count="1" selected="0">
            <x v="23"/>
          </reference>
          <reference field="2" count="1">
            <x v="24"/>
          </reference>
        </references>
      </pivotArea>
    </format>
    <format dxfId="655">
      <pivotArea dataOnly="0" labelOnly="1" outline="0" fieldPosition="0">
        <references count="2">
          <reference field="0" count="1" selected="0">
            <x v="24"/>
          </reference>
          <reference field="2" count="1">
            <x v="26"/>
          </reference>
        </references>
      </pivotArea>
    </format>
    <format dxfId="654">
      <pivotArea dataOnly="0" labelOnly="1" outline="0" fieldPosition="0">
        <references count="2">
          <reference field="0" count="1" selected="0">
            <x v="25"/>
          </reference>
          <reference field="2" count="1">
            <x v="25"/>
          </reference>
        </references>
      </pivotArea>
    </format>
    <format dxfId="653">
      <pivotArea dataOnly="0" labelOnly="1" outline="0" fieldPosition="0">
        <references count="2">
          <reference field="0" count="1" selected="0">
            <x v="26"/>
          </reference>
          <reference field="2" count="1">
            <x v="28"/>
          </reference>
        </references>
      </pivotArea>
    </format>
    <format dxfId="652">
      <pivotArea dataOnly="0" labelOnly="1" outline="0" fieldPosition="0">
        <references count="2">
          <reference field="0" count="1" selected="0">
            <x v="27"/>
          </reference>
          <reference field="2" count="1">
            <x v="27"/>
          </reference>
        </references>
      </pivotArea>
    </format>
    <format dxfId="651">
      <pivotArea dataOnly="0" labelOnly="1" outline="0" fieldPosition="0">
        <references count="2">
          <reference field="0" count="1" selected="0">
            <x v="28"/>
          </reference>
          <reference field="2" count="1">
            <x v="29"/>
          </reference>
        </references>
      </pivotArea>
    </format>
    <format dxfId="650">
      <pivotArea dataOnly="0" labelOnly="1" outline="0" fieldPosition="0">
        <references count="2">
          <reference field="0" count="1" selected="0">
            <x v="29"/>
          </reference>
          <reference field="2" count="1">
            <x v="30"/>
          </reference>
        </references>
      </pivotArea>
    </format>
    <format dxfId="649">
      <pivotArea dataOnly="0" labelOnly="1" outline="0" fieldPosition="0">
        <references count="2">
          <reference field="0" count="1" selected="0">
            <x v="30"/>
          </reference>
          <reference field="2" count="1">
            <x v="31"/>
          </reference>
        </references>
      </pivotArea>
    </format>
    <format dxfId="648">
      <pivotArea dataOnly="0" labelOnly="1" outline="0" fieldPosition="0">
        <references count="2">
          <reference field="0" count="1" selected="0">
            <x v="31"/>
          </reference>
          <reference field="2" count="1">
            <x v="32"/>
          </reference>
        </references>
      </pivotArea>
    </format>
    <format dxfId="647">
      <pivotArea dataOnly="0" labelOnly="1" outline="0" fieldPosition="0">
        <references count="2">
          <reference field="0" count="1" selected="0">
            <x v="32"/>
          </reference>
          <reference field="2" count="1">
            <x v="33"/>
          </reference>
        </references>
      </pivotArea>
    </format>
    <format dxfId="646">
      <pivotArea dataOnly="0" labelOnly="1" outline="0" fieldPosition="0">
        <references count="2">
          <reference field="0" count="1" selected="0">
            <x v="33"/>
          </reference>
          <reference field="2" count="1">
            <x v="34"/>
          </reference>
        </references>
      </pivotArea>
    </format>
    <format dxfId="645">
      <pivotArea dataOnly="0" labelOnly="1" outline="0" fieldPosition="0">
        <references count="2">
          <reference field="0" count="1" selected="0">
            <x v="34"/>
          </reference>
          <reference field="2" count="1">
            <x v="35"/>
          </reference>
        </references>
      </pivotArea>
    </format>
    <format dxfId="644">
      <pivotArea dataOnly="0" labelOnly="1" outline="0" fieldPosition="0">
        <references count="2">
          <reference field="0" count="1" selected="0">
            <x v="35"/>
          </reference>
          <reference field="2" count="1">
            <x v="36"/>
          </reference>
        </references>
      </pivotArea>
    </format>
    <format dxfId="643">
      <pivotArea dataOnly="0" labelOnly="1" outline="0" fieldPosition="0">
        <references count="2">
          <reference field="0" count="1" selected="0">
            <x v="36"/>
          </reference>
          <reference field="2" count="1">
            <x v="37"/>
          </reference>
        </references>
      </pivotArea>
    </format>
    <format dxfId="642">
      <pivotArea dataOnly="0" labelOnly="1" outline="0" fieldPosition="0">
        <references count="2">
          <reference field="0" count="1" selected="0">
            <x v="37"/>
          </reference>
          <reference field="2" count="1">
            <x v="38"/>
          </reference>
        </references>
      </pivotArea>
    </format>
    <format dxfId="641">
      <pivotArea dataOnly="0" labelOnly="1" outline="0" fieldPosition="0">
        <references count="2">
          <reference field="0" count="1" selected="0">
            <x v="38"/>
          </reference>
          <reference field="2" count="1">
            <x v="39"/>
          </reference>
        </references>
      </pivotArea>
    </format>
    <format dxfId="640">
      <pivotArea dataOnly="0" labelOnly="1" outline="0" fieldPosition="0">
        <references count="2">
          <reference field="0" count="1" selected="0">
            <x v="39"/>
          </reference>
          <reference field="2" count="1">
            <x v="40"/>
          </reference>
        </references>
      </pivotArea>
    </format>
    <format dxfId="639">
      <pivotArea dataOnly="0" labelOnly="1" outline="0" fieldPosition="0">
        <references count="2">
          <reference field="0" count="1" selected="0">
            <x v="40"/>
          </reference>
          <reference field="2" count="1">
            <x v="41"/>
          </reference>
        </references>
      </pivotArea>
    </format>
    <format dxfId="638">
      <pivotArea dataOnly="0" labelOnly="1" outline="0" fieldPosition="0">
        <references count="2">
          <reference field="0" count="1" selected="0">
            <x v="41"/>
          </reference>
          <reference field="2" count="1">
            <x v="42"/>
          </reference>
        </references>
      </pivotArea>
    </format>
    <format dxfId="637">
      <pivotArea dataOnly="0" labelOnly="1" outline="0" fieldPosition="0">
        <references count="2">
          <reference field="0" count="1" selected="0">
            <x v="42"/>
          </reference>
          <reference field="2" count="1">
            <x v="43"/>
          </reference>
        </references>
      </pivotArea>
    </format>
    <format dxfId="636">
      <pivotArea dataOnly="0" labelOnly="1" outline="0" fieldPosition="0">
        <references count="2">
          <reference field="0" count="1" selected="0">
            <x v="43"/>
          </reference>
          <reference field="2" count="1">
            <x v="44"/>
          </reference>
        </references>
      </pivotArea>
    </format>
    <format dxfId="635">
      <pivotArea dataOnly="0" labelOnly="1" outline="0" fieldPosition="0">
        <references count="2">
          <reference field="0" count="1" selected="0">
            <x v="44"/>
          </reference>
          <reference field="2" count="1">
            <x v="45"/>
          </reference>
        </references>
      </pivotArea>
    </format>
    <format dxfId="634">
      <pivotArea dataOnly="0" labelOnly="1" outline="0" fieldPosition="0">
        <references count="2">
          <reference field="0" count="1" selected="0">
            <x v="45"/>
          </reference>
          <reference field="2" count="1">
            <x v="21"/>
          </reference>
        </references>
      </pivotArea>
    </format>
    <format dxfId="633">
      <pivotArea dataOnly="0" labelOnly="1" outline="0" fieldPosition="0">
        <references count="2">
          <reference field="0" count="1" selected="0">
            <x v="46"/>
          </reference>
          <reference field="2" count="1">
            <x v="50"/>
          </reference>
        </references>
      </pivotArea>
    </format>
    <format dxfId="632">
      <pivotArea dataOnly="0" labelOnly="1" outline="0" fieldPosition="0">
        <references count="2">
          <reference field="0" count="1" selected="0">
            <x v="47"/>
          </reference>
          <reference field="2" count="1">
            <x v="46"/>
          </reference>
        </references>
      </pivotArea>
    </format>
    <format dxfId="631">
      <pivotArea dataOnly="0" labelOnly="1" outline="0" fieldPosition="0">
        <references count="2">
          <reference field="0" count="1" selected="0">
            <x v="48"/>
          </reference>
          <reference field="2" count="1">
            <x v="47"/>
          </reference>
        </references>
      </pivotArea>
    </format>
    <format dxfId="630">
      <pivotArea dataOnly="0" labelOnly="1" outline="0" fieldPosition="0">
        <references count="2">
          <reference field="0" count="1" selected="0">
            <x v="49"/>
          </reference>
          <reference field="2" count="1">
            <x v="48"/>
          </reference>
        </references>
      </pivotArea>
    </format>
    <format dxfId="629">
      <pivotArea dataOnly="0" labelOnly="1" outline="0" fieldPosition="0">
        <references count="2">
          <reference field="0" count="1" selected="0">
            <x v="50"/>
          </reference>
          <reference field="2" count="1">
            <x v="49"/>
          </reference>
        </references>
      </pivotArea>
    </format>
    <format dxfId="628">
      <pivotArea dataOnly="0" labelOnly="1" outline="0" fieldPosition="0">
        <references count="2">
          <reference field="0" count="1" selected="0">
            <x v="51"/>
          </reference>
          <reference field="2" count="1">
            <x v="51"/>
          </reference>
        </references>
      </pivotArea>
    </format>
    <format dxfId="627">
      <pivotArea dataOnly="0" labelOnly="1" outline="0" fieldPosition="0">
        <references count="2">
          <reference field="0" count="1" selected="0">
            <x v="52"/>
          </reference>
          <reference field="2" count="1">
            <x v="52"/>
          </reference>
        </references>
      </pivotArea>
    </format>
    <format dxfId="626">
      <pivotArea dataOnly="0" labelOnly="1" outline="0" fieldPosition="0">
        <references count="2">
          <reference field="0" count="1" selected="0">
            <x v="53"/>
          </reference>
          <reference field="2" count="1">
            <x v="53"/>
          </reference>
        </references>
      </pivotArea>
    </format>
    <format dxfId="625">
      <pivotArea dataOnly="0" labelOnly="1" outline="0" fieldPosition="0">
        <references count="2">
          <reference field="0" count="1" selected="0">
            <x v="54"/>
          </reference>
          <reference field="2" count="1">
            <x v="54"/>
          </reference>
        </references>
      </pivotArea>
    </format>
    <format dxfId="624">
      <pivotArea dataOnly="0" labelOnly="1" outline="0" fieldPosition="0">
        <references count="2">
          <reference field="0" count="1" selected="0">
            <x v="55"/>
          </reference>
          <reference field="2" count="1">
            <x v="55"/>
          </reference>
        </references>
      </pivotArea>
    </format>
    <format dxfId="623">
      <pivotArea dataOnly="0" labelOnly="1" outline="0" fieldPosition="0">
        <references count="2">
          <reference field="0" count="1" selected="0">
            <x v="56"/>
          </reference>
          <reference field="2" count="1">
            <x v="56"/>
          </reference>
        </references>
      </pivotArea>
    </format>
    <format dxfId="622">
      <pivotArea dataOnly="0" labelOnly="1" outline="0" fieldPosition="0">
        <references count="2">
          <reference field="0" count="1" selected="0">
            <x v="57"/>
          </reference>
          <reference field="2" count="1">
            <x v="57"/>
          </reference>
        </references>
      </pivotArea>
    </format>
    <format dxfId="621">
      <pivotArea dataOnly="0" labelOnly="1" outline="0" fieldPosition="0">
        <references count="2">
          <reference field="0" count="1" selected="0">
            <x v="58"/>
          </reference>
          <reference field="2" count="1">
            <x v="58"/>
          </reference>
        </references>
      </pivotArea>
    </format>
    <format dxfId="620">
      <pivotArea dataOnly="0" labelOnly="1" outline="0" fieldPosition="0">
        <references count="2">
          <reference field="0" count="1" selected="0">
            <x v="59"/>
          </reference>
          <reference field="2" count="1">
            <x v="59"/>
          </reference>
        </references>
      </pivotArea>
    </format>
    <format dxfId="619">
      <pivotArea dataOnly="0" labelOnly="1" outline="0" fieldPosition="0">
        <references count="2">
          <reference field="0" count="1" selected="0">
            <x v="60"/>
          </reference>
          <reference field="2" count="1">
            <x v="60"/>
          </reference>
        </references>
      </pivotArea>
    </format>
    <format dxfId="618">
      <pivotArea dataOnly="0" labelOnly="1" outline="0" fieldPosition="0">
        <references count="2">
          <reference field="0" count="1" selected="0">
            <x v="61"/>
          </reference>
          <reference field="2" count="1">
            <x v="61"/>
          </reference>
        </references>
      </pivotArea>
    </format>
    <format dxfId="617">
      <pivotArea dataOnly="0" labelOnly="1" outline="0" fieldPosition="0">
        <references count="2">
          <reference field="0" count="1" selected="0">
            <x v="62"/>
          </reference>
          <reference field="2" count="1">
            <x v="62"/>
          </reference>
        </references>
      </pivotArea>
    </format>
    <format dxfId="616">
      <pivotArea dataOnly="0" labelOnly="1" outline="0" fieldPosition="0">
        <references count="2">
          <reference field="0" count="1" selected="0">
            <x v="63"/>
          </reference>
          <reference field="2" count="1">
            <x v="63"/>
          </reference>
        </references>
      </pivotArea>
    </format>
    <format dxfId="615">
      <pivotArea dataOnly="0" labelOnly="1" outline="0" fieldPosition="0">
        <references count="2">
          <reference field="0" count="1" selected="0">
            <x v="64"/>
          </reference>
          <reference field="2" count="1">
            <x v="64"/>
          </reference>
        </references>
      </pivotArea>
    </format>
    <format dxfId="614">
      <pivotArea dataOnly="0" labelOnly="1" outline="0" fieldPosition="0">
        <references count="3">
          <reference field="0" count="1" selected="0">
            <x v="0"/>
          </reference>
          <reference field="2" count="1" selected="0">
            <x v="0"/>
          </reference>
          <reference field="4" count="1">
            <x v="0"/>
          </reference>
        </references>
      </pivotArea>
    </format>
    <format dxfId="613">
      <pivotArea dataOnly="0" labelOnly="1" outline="0" fieldPosition="0">
        <references count="3">
          <reference field="0" count="1" selected="0">
            <x v="1"/>
          </reference>
          <reference field="2" count="1" selected="0">
            <x v="1"/>
          </reference>
          <reference field="4" count="1">
            <x v="17"/>
          </reference>
        </references>
      </pivotArea>
    </format>
    <format dxfId="612">
      <pivotArea dataOnly="0" labelOnly="1" outline="0" fieldPosition="0">
        <references count="3">
          <reference field="0" count="1" selected="0">
            <x v="2"/>
          </reference>
          <reference field="2" count="1" selected="0">
            <x v="2"/>
          </reference>
          <reference field="4" count="1">
            <x v="51"/>
          </reference>
        </references>
      </pivotArea>
    </format>
    <format dxfId="611">
      <pivotArea dataOnly="0" labelOnly="1" outline="0" fieldPosition="0">
        <references count="3">
          <reference field="0" count="1" selected="0">
            <x v="3"/>
          </reference>
          <reference field="2" count="1" selected="0">
            <x v="3"/>
          </reference>
          <reference field="4" count="1">
            <x v="13"/>
          </reference>
        </references>
      </pivotArea>
    </format>
    <format dxfId="610">
      <pivotArea dataOnly="0" labelOnly="1" outline="0" fieldPosition="0">
        <references count="3">
          <reference field="0" count="1" selected="0">
            <x v="4"/>
          </reference>
          <reference field="2" count="1" selected="0">
            <x v="4"/>
          </reference>
          <reference field="4" count="1">
            <x v="11"/>
          </reference>
        </references>
      </pivotArea>
    </format>
    <format dxfId="609">
      <pivotArea dataOnly="0" labelOnly="1" outline="0" fieldPosition="0">
        <references count="3">
          <reference field="0" count="1" selected="0">
            <x v="5"/>
          </reference>
          <reference field="2" count="1" selected="0">
            <x v="5"/>
          </reference>
          <reference field="4" count="1">
            <x v="20"/>
          </reference>
        </references>
      </pivotArea>
    </format>
    <format dxfId="608">
      <pivotArea dataOnly="0" labelOnly="1" outline="0" fieldPosition="0">
        <references count="3">
          <reference field="0" count="1" selected="0">
            <x v="6"/>
          </reference>
          <reference field="2" count="1" selected="0">
            <x v="6"/>
          </reference>
          <reference field="4" count="1">
            <x v="60"/>
          </reference>
        </references>
      </pivotArea>
    </format>
    <format dxfId="607">
      <pivotArea dataOnly="0" labelOnly="1" outline="0" fieldPosition="0">
        <references count="3">
          <reference field="0" count="1" selected="0">
            <x v="7"/>
          </reference>
          <reference field="2" count="1" selected="0">
            <x v="7"/>
          </reference>
          <reference field="4" count="1">
            <x v="14"/>
          </reference>
        </references>
      </pivotArea>
    </format>
    <format dxfId="606">
      <pivotArea dataOnly="0" labelOnly="1" outline="0" fieldPosition="0">
        <references count="3">
          <reference field="0" count="1" selected="0">
            <x v="8"/>
          </reference>
          <reference field="2" count="1" selected="0">
            <x v="8"/>
          </reference>
          <reference field="4" count="1">
            <x v="37"/>
          </reference>
        </references>
      </pivotArea>
    </format>
    <format dxfId="605">
      <pivotArea dataOnly="0" labelOnly="1" outline="0" fieldPosition="0">
        <references count="3">
          <reference field="0" count="1" selected="0">
            <x v="9"/>
          </reference>
          <reference field="2" count="1" selected="0">
            <x v="9"/>
          </reference>
          <reference field="4" count="1">
            <x v="35"/>
          </reference>
        </references>
      </pivotArea>
    </format>
    <format dxfId="604">
      <pivotArea dataOnly="0" labelOnly="1" outline="0" fieldPosition="0">
        <references count="3">
          <reference field="0" count="1" selected="0">
            <x v="10"/>
          </reference>
          <reference field="2" count="1" selected="0">
            <x v="10"/>
          </reference>
          <reference field="4" count="1">
            <x v="55"/>
          </reference>
        </references>
      </pivotArea>
    </format>
    <format dxfId="603">
      <pivotArea dataOnly="0" labelOnly="1" outline="0" fieldPosition="0">
        <references count="3">
          <reference field="0" count="1" selected="0">
            <x v="11"/>
          </reference>
          <reference field="2" count="1" selected="0">
            <x v="11"/>
          </reference>
          <reference field="4" count="1">
            <x v="10"/>
          </reference>
        </references>
      </pivotArea>
    </format>
    <format dxfId="602">
      <pivotArea dataOnly="0" labelOnly="1" outline="0" fieldPosition="0">
        <references count="3">
          <reference field="0" count="1" selected="0">
            <x v="12"/>
          </reference>
          <reference field="2" count="1" selected="0">
            <x v="12"/>
          </reference>
          <reference field="4" count="1">
            <x v="63"/>
          </reference>
        </references>
      </pivotArea>
    </format>
    <format dxfId="601">
      <pivotArea dataOnly="0" labelOnly="1" outline="0" fieldPosition="0">
        <references count="3">
          <reference field="0" count="1" selected="0">
            <x v="13"/>
          </reference>
          <reference field="2" count="1" selected="0">
            <x v="13"/>
          </reference>
          <reference field="4" count="1">
            <x v="4"/>
          </reference>
        </references>
      </pivotArea>
    </format>
    <format dxfId="600">
      <pivotArea dataOnly="0" labelOnly="1" outline="0" fieldPosition="0">
        <references count="3">
          <reference field="0" count="1" selected="0">
            <x v="14"/>
          </reference>
          <reference field="2" count="1" selected="0">
            <x v="14"/>
          </reference>
          <reference field="4" count="1">
            <x v="21"/>
          </reference>
        </references>
      </pivotArea>
    </format>
    <format dxfId="599">
      <pivotArea dataOnly="0" labelOnly="1" outline="0" fieldPosition="0">
        <references count="3">
          <reference field="0" count="1" selected="0">
            <x v="15"/>
          </reference>
          <reference field="2" count="1" selected="0">
            <x v="15"/>
          </reference>
          <reference field="4" count="1">
            <x v="28"/>
          </reference>
        </references>
      </pivotArea>
    </format>
    <format dxfId="598">
      <pivotArea dataOnly="0" labelOnly="1" outline="0" fieldPosition="0">
        <references count="3">
          <reference field="0" count="1" selected="0">
            <x v="16"/>
          </reference>
          <reference field="2" count="1" selected="0">
            <x v="16"/>
          </reference>
          <reference field="4" count="1">
            <x v="57"/>
          </reference>
        </references>
      </pivotArea>
    </format>
    <format dxfId="597">
      <pivotArea dataOnly="0" labelOnly="1" outline="0" fieldPosition="0">
        <references count="3">
          <reference field="0" count="1" selected="0">
            <x v="17"/>
          </reference>
          <reference field="2" count="1" selected="0">
            <x v="17"/>
          </reference>
          <reference field="4" count="1">
            <x v="32"/>
          </reference>
        </references>
      </pivotArea>
    </format>
    <format dxfId="596">
      <pivotArea dataOnly="0" labelOnly="1" outline="0" fieldPosition="0">
        <references count="3">
          <reference field="0" count="1" selected="0">
            <x v="18"/>
          </reference>
          <reference field="2" count="1" selected="0">
            <x v="18"/>
          </reference>
          <reference field="4" count="1">
            <x v="54"/>
          </reference>
        </references>
      </pivotArea>
    </format>
    <format dxfId="595">
      <pivotArea dataOnly="0" labelOnly="1" outline="0" fieldPosition="0">
        <references count="3">
          <reference field="0" count="1" selected="0">
            <x v="19"/>
          </reference>
          <reference field="2" count="1" selected="0">
            <x v="19"/>
          </reference>
          <reference field="4" count="1">
            <x v="62"/>
          </reference>
        </references>
      </pivotArea>
    </format>
    <format dxfId="594">
      <pivotArea dataOnly="0" labelOnly="1" outline="0" fieldPosition="0">
        <references count="3">
          <reference field="0" count="1" selected="0">
            <x v="20"/>
          </reference>
          <reference field="2" count="1" selected="0">
            <x v="20"/>
          </reference>
          <reference field="4" count="1">
            <x v="59"/>
          </reference>
        </references>
      </pivotArea>
    </format>
    <format dxfId="593">
      <pivotArea dataOnly="0" labelOnly="1" outline="0" fieldPosition="0">
        <references count="3">
          <reference field="0" count="1" selected="0">
            <x v="21"/>
          </reference>
          <reference field="2" count="1" selected="0">
            <x v="22"/>
          </reference>
          <reference field="4" count="1">
            <x v="56"/>
          </reference>
        </references>
      </pivotArea>
    </format>
    <format dxfId="592">
      <pivotArea dataOnly="0" labelOnly="1" outline="0" fieldPosition="0">
        <references count="3">
          <reference field="0" count="1" selected="0">
            <x v="22"/>
          </reference>
          <reference field="2" count="1" selected="0">
            <x v="23"/>
          </reference>
          <reference field="4" count="1">
            <x v="15"/>
          </reference>
        </references>
      </pivotArea>
    </format>
    <format dxfId="591">
      <pivotArea dataOnly="0" labelOnly="1" outline="0" fieldPosition="0">
        <references count="3">
          <reference field="0" count="1" selected="0">
            <x v="23"/>
          </reference>
          <reference field="2" count="1" selected="0">
            <x v="24"/>
          </reference>
          <reference field="4" count="1">
            <x v="53"/>
          </reference>
        </references>
      </pivotArea>
    </format>
    <format dxfId="590">
      <pivotArea dataOnly="0" labelOnly="1" outline="0" fieldPosition="0">
        <references count="3">
          <reference field="0" count="1" selected="0">
            <x v="24"/>
          </reference>
          <reference field="2" count="1" selected="0">
            <x v="26"/>
          </reference>
          <reference field="4" count="1">
            <x v="52"/>
          </reference>
        </references>
      </pivotArea>
    </format>
    <format dxfId="589">
      <pivotArea dataOnly="0" labelOnly="1" outline="0" fieldPosition="0">
        <references count="3">
          <reference field="0" count="1" selected="0">
            <x v="25"/>
          </reference>
          <reference field="2" count="1" selected="0">
            <x v="25"/>
          </reference>
          <reference field="4" count="1">
            <x v="31"/>
          </reference>
        </references>
      </pivotArea>
    </format>
    <format dxfId="588">
      <pivotArea dataOnly="0" labelOnly="1" outline="0" fieldPosition="0">
        <references count="3">
          <reference field="0" count="1" selected="0">
            <x v="26"/>
          </reference>
          <reference field="2" count="1" selected="0">
            <x v="28"/>
          </reference>
          <reference field="4" count="1">
            <x v="7"/>
          </reference>
        </references>
      </pivotArea>
    </format>
    <format dxfId="587">
      <pivotArea dataOnly="0" labelOnly="1" outline="0" fieldPosition="0">
        <references count="3">
          <reference field="0" count="1" selected="0">
            <x v="27"/>
          </reference>
          <reference field="2" count="1" selected="0">
            <x v="27"/>
          </reference>
          <reference field="4" count="1">
            <x v="58"/>
          </reference>
        </references>
      </pivotArea>
    </format>
    <format dxfId="586">
      <pivotArea dataOnly="0" labelOnly="1" outline="0" fieldPosition="0">
        <references count="3">
          <reference field="0" count="1" selected="0">
            <x v="28"/>
          </reference>
          <reference field="2" count="1" selected="0">
            <x v="29"/>
          </reference>
          <reference field="4" count="1">
            <x v="40"/>
          </reference>
        </references>
      </pivotArea>
    </format>
    <format dxfId="585">
      <pivotArea dataOnly="0" labelOnly="1" outline="0" fieldPosition="0">
        <references count="3">
          <reference field="0" count="1" selected="0">
            <x v="29"/>
          </reference>
          <reference field="2" count="1" selected="0">
            <x v="30"/>
          </reference>
          <reference field="4" count="1">
            <x v="61"/>
          </reference>
        </references>
      </pivotArea>
    </format>
    <format dxfId="584">
      <pivotArea dataOnly="0" labelOnly="1" outline="0" fieldPosition="0">
        <references count="3">
          <reference field="0" count="1" selected="0">
            <x v="30"/>
          </reference>
          <reference field="2" count="1" selected="0">
            <x v="31"/>
          </reference>
          <reference field="4" count="1">
            <x v="27"/>
          </reference>
        </references>
      </pivotArea>
    </format>
    <format dxfId="583">
      <pivotArea dataOnly="0" labelOnly="1" outline="0" fieldPosition="0">
        <references count="3">
          <reference field="0" count="1" selected="0">
            <x v="31"/>
          </reference>
          <reference field="2" count="1" selected="0">
            <x v="32"/>
          </reference>
          <reference field="4" count="1">
            <x v="47"/>
          </reference>
        </references>
      </pivotArea>
    </format>
    <format dxfId="582">
      <pivotArea dataOnly="0" labelOnly="1" outline="0" fieldPosition="0">
        <references count="3">
          <reference field="0" count="1" selected="0">
            <x v="32"/>
          </reference>
          <reference field="2" count="1" selected="0">
            <x v="33"/>
          </reference>
          <reference field="4" count="1">
            <x v="50"/>
          </reference>
        </references>
      </pivotArea>
    </format>
    <format dxfId="581">
      <pivotArea dataOnly="0" labelOnly="1" outline="0" fieldPosition="0">
        <references count="3">
          <reference field="0" count="1" selected="0">
            <x v="33"/>
          </reference>
          <reference field="2" count="1" selected="0">
            <x v="34"/>
          </reference>
          <reference field="4" count="1">
            <x v="44"/>
          </reference>
        </references>
      </pivotArea>
    </format>
    <format dxfId="580">
      <pivotArea dataOnly="0" labelOnly="1" outline="0" fieldPosition="0">
        <references count="3">
          <reference field="0" count="1" selected="0">
            <x v="34"/>
          </reference>
          <reference field="2" count="1" selected="0">
            <x v="35"/>
          </reference>
          <reference field="4" count="1">
            <x v="5"/>
          </reference>
        </references>
      </pivotArea>
    </format>
    <format dxfId="579">
      <pivotArea dataOnly="0" labelOnly="1" outline="0" fieldPosition="0">
        <references count="3">
          <reference field="0" count="1" selected="0">
            <x v="35"/>
          </reference>
          <reference field="2" count="1" selected="0">
            <x v="36"/>
          </reference>
          <reference field="4" count="1">
            <x v="3"/>
          </reference>
        </references>
      </pivotArea>
    </format>
    <format dxfId="578">
      <pivotArea dataOnly="0" labelOnly="1" outline="0" fieldPosition="0">
        <references count="3">
          <reference field="0" count="1" selected="0">
            <x v="36"/>
          </reference>
          <reference field="2" count="1" selected="0">
            <x v="37"/>
          </reference>
          <reference field="4" count="1">
            <x v="42"/>
          </reference>
        </references>
      </pivotArea>
    </format>
    <format dxfId="577">
      <pivotArea dataOnly="0" labelOnly="1" outline="0" fieldPosition="0">
        <references count="3">
          <reference field="0" count="1" selected="0">
            <x v="37"/>
          </reference>
          <reference field="2" count="1" selected="0">
            <x v="38"/>
          </reference>
          <reference field="4" count="1">
            <x v="19"/>
          </reference>
        </references>
      </pivotArea>
    </format>
    <format dxfId="576">
      <pivotArea dataOnly="0" labelOnly="1" outline="0" fieldPosition="0">
        <references count="3">
          <reference field="0" count="1" selected="0">
            <x v="38"/>
          </reference>
          <reference field="2" count="1" selected="0">
            <x v="39"/>
          </reference>
          <reference field="4" count="1">
            <x v="43"/>
          </reference>
        </references>
      </pivotArea>
    </format>
    <format dxfId="575">
      <pivotArea dataOnly="0" labelOnly="1" outline="0" fieldPosition="0">
        <references count="3">
          <reference field="0" count="1" selected="0">
            <x v="39"/>
          </reference>
          <reference field="2" count="1" selected="0">
            <x v="40"/>
          </reference>
          <reference field="4" count="1">
            <x v="41"/>
          </reference>
        </references>
      </pivotArea>
    </format>
    <format dxfId="574">
      <pivotArea dataOnly="0" labelOnly="1" outline="0" fieldPosition="0">
        <references count="3">
          <reference field="0" count="1" selected="0">
            <x v="40"/>
          </reference>
          <reference field="2" count="1" selected="0">
            <x v="41"/>
          </reference>
          <reference field="4" count="1">
            <x v="6"/>
          </reference>
        </references>
      </pivotArea>
    </format>
    <format dxfId="573">
      <pivotArea dataOnly="0" labelOnly="1" outline="0" fieldPosition="0">
        <references count="3">
          <reference field="0" count="1" selected="0">
            <x v="41"/>
          </reference>
          <reference field="2" count="1" selected="0">
            <x v="42"/>
          </reference>
          <reference field="4" count="1">
            <x v="9"/>
          </reference>
        </references>
      </pivotArea>
    </format>
    <format dxfId="572">
      <pivotArea dataOnly="0" labelOnly="1" outline="0" fieldPosition="0">
        <references count="3">
          <reference field="0" count="1" selected="0">
            <x v="42"/>
          </reference>
          <reference field="2" count="1" selected="0">
            <x v="43"/>
          </reference>
          <reference field="4" count="1">
            <x v="8"/>
          </reference>
        </references>
      </pivotArea>
    </format>
    <format dxfId="571">
      <pivotArea dataOnly="0" labelOnly="1" outline="0" fieldPosition="0">
        <references count="3">
          <reference field="0" count="1" selected="0">
            <x v="43"/>
          </reference>
          <reference field="2" count="1" selected="0">
            <x v="44"/>
          </reference>
          <reference field="4" count="1">
            <x v="33"/>
          </reference>
        </references>
      </pivotArea>
    </format>
    <format dxfId="570">
      <pivotArea dataOnly="0" labelOnly="1" outline="0" fieldPosition="0">
        <references count="3">
          <reference field="0" count="1" selected="0">
            <x v="44"/>
          </reference>
          <reference field="2" count="1" selected="0">
            <x v="45"/>
          </reference>
          <reference field="4" count="1">
            <x v="26"/>
          </reference>
        </references>
      </pivotArea>
    </format>
    <format dxfId="569">
      <pivotArea dataOnly="0" labelOnly="1" outline="0" fieldPosition="0">
        <references count="3">
          <reference field="0" count="1" selected="0">
            <x v="45"/>
          </reference>
          <reference field="2" count="1" selected="0">
            <x v="21"/>
          </reference>
          <reference field="4" count="1">
            <x v="45"/>
          </reference>
        </references>
      </pivotArea>
    </format>
    <format dxfId="568">
      <pivotArea dataOnly="0" labelOnly="1" outline="0" fieldPosition="0">
        <references count="3">
          <reference field="0" count="1" selected="0">
            <x v="46"/>
          </reference>
          <reference field="2" count="1" selected="0">
            <x v="50"/>
          </reference>
          <reference field="4" count="1">
            <x v="25"/>
          </reference>
        </references>
      </pivotArea>
    </format>
    <format dxfId="567">
      <pivotArea dataOnly="0" labelOnly="1" outline="0" fieldPosition="0">
        <references count="3">
          <reference field="0" count="1" selected="0">
            <x v="47"/>
          </reference>
          <reference field="2" count="1" selected="0">
            <x v="46"/>
          </reference>
          <reference field="4" count="1">
            <x v="16"/>
          </reference>
        </references>
      </pivotArea>
    </format>
    <format dxfId="566">
      <pivotArea dataOnly="0" labelOnly="1" outline="0" fieldPosition="0">
        <references count="3">
          <reference field="0" count="1" selected="0">
            <x v="48"/>
          </reference>
          <reference field="2" count="1" selected="0">
            <x v="47"/>
          </reference>
          <reference field="4" count="1">
            <x v="29"/>
          </reference>
        </references>
      </pivotArea>
    </format>
    <format dxfId="565">
      <pivotArea dataOnly="0" labelOnly="1" outline="0" fieldPosition="0">
        <references count="3">
          <reference field="0" count="1" selected="0">
            <x v="49"/>
          </reference>
          <reference field="2" count="1" selected="0">
            <x v="48"/>
          </reference>
          <reference field="4" count="1">
            <x v="22"/>
          </reference>
        </references>
      </pivotArea>
    </format>
    <format dxfId="564">
      <pivotArea dataOnly="0" labelOnly="1" outline="0" fieldPosition="0">
        <references count="3">
          <reference field="0" count="1" selected="0">
            <x v="50"/>
          </reference>
          <reference field="2" count="1" selected="0">
            <x v="49"/>
          </reference>
          <reference field="4" count="1">
            <x v="24"/>
          </reference>
        </references>
      </pivotArea>
    </format>
    <format dxfId="563">
      <pivotArea dataOnly="0" labelOnly="1" outline="0" fieldPosition="0">
        <references count="3">
          <reference field="0" count="1" selected="0">
            <x v="51"/>
          </reference>
          <reference field="2" count="1" selected="0">
            <x v="51"/>
          </reference>
          <reference field="4" count="1">
            <x v="30"/>
          </reference>
        </references>
      </pivotArea>
    </format>
    <format dxfId="562">
      <pivotArea dataOnly="0" labelOnly="1" outline="0" fieldPosition="0">
        <references count="3">
          <reference field="0" count="1" selected="0">
            <x v="52"/>
          </reference>
          <reference field="2" count="1" selected="0">
            <x v="52"/>
          </reference>
          <reference field="4" count="1">
            <x v="18"/>
          </reference>
        </references>
      </pivotArea>
    </format>
    <format dxfId="561">
      <pivotArea dataOnly="0" labelOnly="1" outline="0" fieldPosition="0">
        <references count="3">
          <reference field="0" count="1" selected="0">
            <x v="53"/>
          </reference>
          <reference field="2" count="1" selected="0">
            <x v="53"/>
          </reference>
          <reference field="4" count="1">
            <x v="38"/>
          </reference>
        </references>
      </pivotArea>
    </format>
    <format dxfId="560">
      <pivotArea dataOnly="0" labelOnly="1" outline="0" fieldPosition="0">
        <references count="3">
          <reference field="0" count="1" selected="0">
            <x v="54"/>
          </reference>
          <reference field="2" count="1" selected="0">
            <x v="54"/>
          </reference>
          <reference field="4" count="1">
            <x v="12"/>
          </reference>
        </references>
      </pivotArea>
    </format>
    <format dxfId="559">
      <pivotArea dataOnly="0" labelOnly="1" outline="0" fieldPosition="0">
        <references count="3">
          <reference field="0" count="1" selected="0">
            <x v="55"/>
          </reference>
          <reference field="2" count="1" selected="0">
            <x v="55"/>
          </reference>
          <reference field="4" count="1">
            <x v="46"/>
          </reference>
        </references>
      </pivotArea>
    </format>
    <format dxfId="558">
      <pivotArea dataOnly="0" labelOnly="1" outline="0" fieldPosition="0">
        <references count="3">
          <reference field="0" count="1" selected="0">
            <x v="56"/>
          </reference>
          <reference field="2" count="1" selected="0">
            <x v="56"/>
          </reference>
          <reference field="4" count="1">
            <x v="1"/>
          </reference>
        </references>
      </pivotArea>
    </format>
    <format dxfId="557">
      <pivotArea dataOnly="0" labelOnly="1" outline="0" fieldPosition="0">
        <references count="3">
          <reference field="0" count="1" selected="0">
            <x v="57"/>
          </reference>
          <reference field="2" count="1" selected="0">
            <x v="57"/>
          </reference>
          <reference field="4" count="1">
            <x v="2"/>
          </reference>
        </references>
      </pivotArea>
    </format>
    <format dxfId="556">
      <pivotArea dataOnly="0" labelOnly="1" outline="0" fieldPosition="0">
        <references count="3">
          <reference field="0" count="1" selected="0">
            <x v="58"/>
          </reference>
          <reference field="2" count="1" selected="0">
            <x v="58"/>
          </reference>
          <reference field="4" count="1">
            <x v="39"/>
          </reference>
        </references>
      </pivotArea>
    </format>
    <format dxfId="555">
      <pivotArea dataOnly="0" labelOnly="1" outline="0" fieldPosition="0">
        <references count="3">
          <reference field="0" count="1" selected="0">
            <x v="59"/>
          </reference>
          <reference field="2" count="1" selected="0">
            <x v="59"/>
          </reference>
          <reference field="4" count="1">
            <x v="48"/>
          </reference>
        </references>
      </pivotArea>
    </format>
    <format dxfId="554">
      <pivotArea dataOnly="0" labelOnly="1" outline="0" fieldPosition="0">
        <references count="3">
          <reference field="0" count="1" selected="0">
            <x v="60"/>
          </reference>
          <reference field="2" count="1" selected="0">
            <x v="60"/>
          </reference>
          <reference field="4" count="1">
            <x v="49"/>
          </reference>
        </references>
      </pivotArea>
    </format>
    <format dxfId="553">
      <pivotArea dataOnly="0" labelOnly="1" outline="0" fieldPosition="0">
        <references count="3">
          <reference field="0" count="1" selected="0">
            <x v="61"/>
          </reference>
          <reference field="2" count="1" selected="0">
            <x v="61"/>
          </reference>
          <reference field="4" count="1">
            <x v="34"/>
          </reference>
        </references>
      </pivotArea>
    </format>
    <format dxfId="552">
      <pivotArea dataOnly="0" labelOnly="1" outline="0" fieldPosition="0">
        <references count="3">
          <reference field="0" count="1" selected="0">
            <x v="62"/>
          </reference>
          <reference field="2" count="1" selected="0">
            <x v="62"/>
          </reference>
          <reference field="4" count="1">
            <x v="23"/>
          </reference>
        </references>
      </pivotArea>
    </format>
    <format dxfId="551">
      <pivotArea dataOnly="0" labelOnly="1" outline="0" fieldPosition="0">
        <references count="3">
          <reference field="0" count="1" selected="0">
            <x v="63"/>
          </reference>
          <reference field="2" count="1" selected="0">
            <x v="63"/>
          </reference>
          <reference field="4" count="1">
            <x v="36"/>
          </reference>
        </references>
      </pivotArea>
    </format>
    <format dxfId="550">
      <pivotArea dataOnly="0" labelOnly="1" outline="0" fieldPosition="0">
        <references count="3">
          <reference field="0" count="1" selected="0">
            <x v="64"/>
          </reference>
          <reference field="2" count="1" selected="0">
            <x v="64"/>
          </reference>
          <reference field="4" count="1">
            <x v="64"/>
          </reference>
        </references>
      </pivotArea>
    </format>
    <format dxfId="549">
      <pivotArea dataOnly="0" labelOnly="1" outline="0" fieldPosition="0">
        <references count="4">
          <reference field="0" count="1" selected="0">
            <x v="0"/>
          </reference>
          <reference field="2" count="1" selected="0">
            <x v="0"/>
          </reference>
          <reference field="4" count="1" selected="0">
            <x v="0"/>
          </reference>
          <reference field="5" count="1">
            <x v="0"/>
          </reference>
        </references>
      </pivotArea>
    </format>
    <format dxfId="548">
      <pivotArea dataOnly="0" labelOnly="1" outline="0" fieldPosition="0">
        <references count="4">
          <reference field="0" count="1" selected="0">
            <x v="1"/>
          </reference>
          <reference field="2" count="1" selected="0">
            <x v="1"/>
          </reference>
          <reference field="4" count="1" selected="0">
            <x v="17"/>
          </reference>
          <reference field="5" count="1">
            <x v="4"/>
          </reference>
        </references>
      </pivotArea>
    </format>
    <format dxfId="547">
      <pivotArea dataOnly="0" labelOnly="1" outline="0" fieldPosition="0">
        <references count="4">
          <reference field="0" count="1" selected="0">
            <x v="2"/>
          </reference>
          <reference field="2" count="1" selected="0">
            <x v="2"/>
          </reference>
          <reference field="4" count="1" selected="0">
            <x v="51"/>
          </reference>
          <reference field="5" count="1">
            <x v="6"/>
          </reference>
        </references>
      </pivotArea>
    </format>
    <format dxfId="546">
      <pivotArea dataOnly="0" labelOnly="1" outline="0" fieldPosition="0">
        <references count="4">
          <reference field="0" count="1" selected="0">
            <x v="3"/>
          </reference>
          <reference field="2" count="1" selected="0">
            <x v="3"/>
          </reference>
          <reference field="4" count="1" selected="0">
            <x v="13"/>
          </reference>
          <reference field="5" count="1">
            <x v="7"/>
          </reference>
        </references>
      </pivotArea>
    </format>
    <format dxfId="545">
      <pivotArea dataOnly="0" labelOnly="1" outline="0" fieldPosition="0">
        <references count="4">
          <reference field="0" count="1" selected="0">
            <x v="4"/>
          </reference>
          <reference field="2" count="1" selected="0">
            <x v="4"/>
          </reference>
          <reference field="4" count="1" selected="0">
            <x v="11"/>
          </reference>
          <reference field="5" count="1">
            <x v="34"/>
          </reference>
        </references>
      </pivotArea>
    </format>
    <format dxfId="544">
      <pivotArea dataOnly="0" labelOnly="1" outline="0" fieldPosition="0">
        <references count="4">
          <reference field="0" count="1" selected="0">
            <x v="5"/>
          </reference>
          <reference field="2" count="1" selected="0">
            <x v="5"/>
          </reference>
          <reference field="4" count="1" selected="0">
            <x v="20"/>
          </reference>
          <reference field="5" count="1">
            <x v="8"/>
          </reference>
        </references>
      </pivotArea>
    </format>
    <format dxfId="543">
      <pivotArea dataOnly="0" labelOnly="1" outline="0" fieldPosition="0">
        <references count="4">
          <reference field="0" count="1" selected="0">
            <x v="6"/>
          </reference>
          <reference field="2" count="1" selected="0">
            <x v="6"/>
          </reference>
          <reference field="4" count="1" selected="0">
            <x v="60"/>
          </reference>
          <reference field="5" count="1">
            <x v="9"/>
          </reference>
        </references>
      </pivotArea>
    </format>
    <format dxfId="542">
      <pivotArea dataOnly="0" labelOnly="1" outline="0" fieldPosition="0">
        <references count="4">
          <reference field="0" count="1" selected="0">
            <x v="7"/>
          </reference>
          <reference field="2" count="1" selected="0">
            <x v="7"/>
          </reference>
          <reference field="4" count="1" selected="0">
            <x v="14"/>
          </reference>
          <reference field="5" count="1">
            <x v="10"/>
          </reference>
        </references>
      </pivotArea>
    </format>
    <format dxfId="541">
      <pivotArea dataOnly="0" labelOnly="1" outline="0" fieldPosition="0">
        <references count="4">
          <reference field="0" count="1" selected="0">
            <x v="8"/>
          </reference>
          <reference field="2" count="1" selected="0">
            <x v="8"/>
          </reference>
          <reference field="4" count="1" selected="0">
            <x v="37"/>
          </reference>
          <reference field="5" count="1">
            <x v="12"/>
          </reference>
        </references>
      </pivotArea>
    </format>
    <format dxfId="540">
      <pivotArea dataOnly="0" labelOnly="1" outline="0" fieldPosition="0">
        <references count="4">
          <reference field="0" count="1" selected="0">
            <x v="9"/>
          </reference>
          <reference field="2" count="1" selected="0">
            <x v="9"/>
          </reference>
          <reference field="4" count="1" selected="0">
            <x v="35"/>
          </reference>
          <reference field="5" count="1">
            <x v="0"/>
          </reference>
        </references>
      </pivotArea>
    </format>
    <format dxfId="539">
      <pivotArea dataOnly="0" labelOnly="1" outline="0" fieldPosition="0">
        <references count="4">
          <reference field="0" count="1" selected="0">
            <x v="10"/>
          </reference>
          <reference field="2" count="1" selected="0">
            <x v="10"/>
          </reference>
          <reference field="4" count="1" selected="0">
            <x v="55"/>
          </reference>
          <reference field="5" count="1">
            <x v="13"/>
          </reference>
        </references>
      </pivotArea>
    </format>
    <format dxfId="538">
      <pivotArea dataOnly="0" labelOnly="1" outline="0" fieldPosition="0">
        <references count="4">
          <reference field="0" count="1" selected="0">
            <x v="11"/>
          </reference>
          <reference field="2" count="1" selected="0">
            <x v="11"/>
          </reference>
          <reference field="4" count="1" selected="0">
            <x v="10"/>
          </reference>
          <reference field="5" count="1">
            <x v="14"/>
          </reference>
        </references>
      </pivotArea>
    </format>
    <format dxfId="537">
      <pivotArea dataOnly="0" labelOnly="1" outline="0" fieldPosition="0">
        <references count="4">
          <reference field="0" count="1" selected="0">
            <x v="12"/>
          </reference>
          <reference field="2" count="1" selected="0">
            <x v="12"/>
          </reference>
          <reference field="4" count="1" selected="0">
            <x v="63"/>
          </reference>
          <reference field="5" count="1">
            <x v="15"/>
          </reference>
        </references>
      </pivotArea>
    </format>
    <format dxfId="536">
      <pivotArea dataOnly="0" labelOnly="1" outline="0" fieldPosition="0">
        <references count="4">
          <reference field="0" count="1" selected="0">
            <x v="13"/>
          </reference>
          <reference field="2" count="1" selected="0">
            <x v="13"/>
          </reference>
          <reference field="4" count="1" selected="0">
            <x v="4"/>
          </reference>
          <reference field="5" count="1">
            <x v="16"/>
          </reference>
        </references>
      </pivotArea>
    </format>
    <format dxfId="535">
      <pivotArea dataOnly="0" labelOnly="1" outline="0" fieldPosition="0">
        <references count="4">
          <reference field="0" count="1" selected="0">
            <x v="14"/>
          </reference>
          <reference field="2" count="1" selected="0">
            <x v="14"/>
          </reference>
          <reference field="4" count="1" selected="0">
            <x v="21"/>
          </reference>
          <reference field="5" count="1">
            <x v="0"/>
          </reference>
        </references>
      </pivotArea>
    </format>
    <format dxfId="534">
      <pivotArea dataOnly="0" labelOnly="1" outline="0" fieldPosition="0">
        <references count="4">
          <reference field="0" count="1" selected="0">
            <x v="15"/>
          </reference>
          <reference field="2" count="1" selected="0">
            <x v="15"/>
          </reference>
          <reference field="4" count="1" selected="0">
            <x v="28"/>
          </reference>
          <reference field="5" count="1">
            <x v="17"/>
          </reference>
        </references>
      </pivotArea>
    </format>
    <format dxfId="533">
      <pivotArea dataOnly="0" labelOnly="1" outline="0" fieldPosition="0">
        <references count="4">
          <reference field="0" count="1" selected="0">
            <x v="16"/>
          </reference>
          <reference field="2" count="1" selected="0">
            <x v="16"/>
          </reference>
          <reference field="4" count="1" selected="0">
            <x v="57"/>
          </reference>
          <reference field="5" count="1">
            <x v="18"/>
          </reference>
        </references>
      </pivotArea>
    </format>
    <format dxfId="532">
      <pivotArea dataOnly="0" labelOnly="1" outline="0" fieldPosition="0">
        <references count="4">
          <reference field="0" count="1" selected="0">
            <x v="17"/>
          </reference>
          <reference field="2" count="1" selected="0">
            <x v="17"/>
          </reference>
          <reference field="4" count="1" selected="0">
            <x v="32"/>
          </reference>
          <reference field="5" count="1">
            <x v="19"/>
          </reference>
        </references>
      </pivotArea>
    </format>
    <format dxfId="531">
      <pivotArea dataOnly="0" labelOnly="1" outline="0" fieldPosition="0">
        <references count="4">
          <reference field="0" count="1" selected="0">
            <x v="18"/>
          </reference>
          <reference field="2" count="1" selected="0">
            <x v="18"/>
          </reference>
          <reference field="4" count="1" selected="0">
            <x v="54"/>
          </reference>
          <reference field="5" count="1">
            <x v="20"/>
          </reference>
        </references>
      </pivotArea>
    </format>
    <format dxfId="530">
      <pivotArea dataOnly="0" labelOnly="1" outline="0" fieldPosition="0">
        <references count="4">
          <reference field="0" count="1" selected="0">
            <x v="19"/>
          </reference>
          <reference field="2" count="1" selected="0">
            <x v="19"/>
          </reference>
          <reference field="4" count="1" selected="0">
            <x v="62"/>
          </reference>
          <reference field="5" count="1">
            <x v="11"/>
          </reference>
        </references>
      </pivotArea>
    </format>
    <format dxfId="529">
      <pivotArea dataOnly="0" labelOnly="1" outline="0" fieldPosition="0">
        <references count="4">
          <reference field="0" count="1" selected="0">
            <x v="20"/>
          </reference>
          <reference field="2" count="1" selected="0">
            <x v="20"/>
          </reference>
          <reference field="4" count="1" selected="0">
            <x v="59"/>
          </reference>
          <reference field="5" count="1">
            <x v="21"/>
          </reference>
        </references>
      </pivotArea>
    </format>
    <format dxfId="528">
      <pivotArea dataOnly="0" labelOnly="1" outline="0" fieldPosition="0">
        <references count="4">
          <reference field="0" count="1" selected="0">
            <x v="21"/>
          </reference>
          <reference field="2" count="1" selected="0">
            <x v="22"/>
          </reference>
          <reference field="4" count="1" selected="0">
            <x v="56"/>
          </reference>
          <reference field="5" count="1">
            <x v="23"/>
          </reference>
        </references>
      </pivotArea>
    </format>
    <format dxfId="527">
      <pivotArea dataOnly="0" labelOnly="1" outline="0" fieldPosition="0">
        <references count="4">
          <reference field="0" count="1" selected="0">
            <x v="22"/>
          </reference>
          <reference field="2" count="1" selected="0">
            <x v="23"/>
          </reference>
          <reference field="4" count="1" selected="0">
            <x v="15"/>
          </reference>
          <reference field="5" count="1">
            <x v="25"/>
          </reference>
        </references>
      </pivotArea>
    </format>
    <format dxfId="526">
      <pivotArea dataOnly="0" labelOnly="1" outline="0" fieldPosition="0">
        <references count="4">
          <reference field="0" count="1" selected="0">
            <x v="23"/>
          </reference>
          <reference field="2" count="1" selected="0">
            <x v="24"/>
          </reference>
          <reference field="4" count="1" selected="0">
            <x v="53"/>
          </reference>
          <reference field="5" count="1">
            <x v="26"/>
          </reference>
        </references>
      </pivotArea>
    </format>
    <format dxfId="525">
      <pivotArea dataOnly="0" labelOnly="1" outline="0" fieldPosition="0">
        <references count="4">
          <reference field="0" count="1" selected="0">
            <x v="24"/>
          </reference>
          <reference field="2" count="1" selected="0">
            <x v="26"/>
          </reference>
          <reference field="4" count="1" selected="0">
            <x v="52"/>
          </reference>
          <reference field="5" count="1">
            <x v="27"/>
          </reference>
        </references>
      </pivotArea>
    </format>
    <format dxfId="524">
      <pivotArea dataOnly="0" labelOnly="1" outline="0" fieldPosition="0">
        <references count="4">
          <reference field="0" count="1" selected="0">
            <x v="25"/>
          </reference>
          <reference field="2" count="1" selected="0">
            <x v="25"/>
          </reference>
          <reference field="4" count="1" selected="0">
            <x v="31"/>
          </reference>
          <reference field="5" count="1">
            <x v="28"/>
          </reference>
        </references>
      </pivotArea>
    </format>
    <format dxfId="523">
      <pivotArea dataOnly="0" labelOnly="1" outline="0" fieldPosition="0">
        <references count="4">
          <reference field="0" count="1" selected="0">
            <x v="26"/>
          </reference>
          <reference field="2" count="1" selected="0">
            <x v="28"/>
          </reference>
          <reference field="4" count="1" selected="0">
            <x v="7"/>
          </reference>
          <reference field="5" count="1">
            <x v="5"/>
          </reference>
        </references>
      </pivotArea>
    </format>
    <format dxfId="522">
      <pivotArea dataOnly="0" labelOnly="1" outline="0" fieldPosition="0">
        <references count="4">
          <reference field="0" count="1" selected="0">
            <x v="27"/>
          </reference>
          <reference field="2" count="1" selected="0">
            <x v="27"/>
          </reference>
          <reference field="4" count="1" selected="0">
            <x v="58"/>
          </reference>
          <reference field="5" count="1">
            <x v="29"/>
          </reference>
        </references>
      </pivotArea>
    </format>
    <format dxfId="521">
      <pivotArea dataOnly="0" labelOnly="1" outline="0" fieldPosition="0">
        <references count="4">
          <reference field="0" count="1" selected="0">
            <x v="28"/>
          </reference>
          <reference field="2" count="1" selected="0">
            <x v="29"/>
          </reference>
          <reference field="4" count="1" selected="0">
            <x v="40"/>
          </reference>
          <reference field="5" count="1">
            <x v="30"/>
          </reference>
        </references>
      </pivotArea>
    </format>
    <format dxfId="520">
      <pivotArea dataOnly="0" labelOnly="1" outline="0" fieldPosition="0">
        <references count="4">
          <reference field="0" count="1" selected="0">
            <x v="29"/>
          </reference>
          <reference field="2" count="1" selected="0">
            <x v="30"/>
          </reference>
          <reference field="4" count="1" selected="0">
            <x v="61"/>
          </reference>
          <reference field="5" count="1">
            <x v="31"/>
          </reference>
        </references>
      </pivotArea>
    </format>
    <format dxfId="519">
      <pivotArea dataOnly="0" labelOnly="1" outline="0" fieldPosition="0">
        <references count="4">
          <reference field="0" count="1" selected="0">
            <x v="31"/>
          </reference>
          <reference field="2" count="1" selected="0">
            <x v="32"/>
          </reference>
          <reference field="4" count="1" selected="0">
            <x v="47"/>
          </reference>
          <reference field="5" count="1">
            <x v="32"/>
          </reference>
        </references>
      </pivotArea>
    </format>
    <format dxfId="518">
      <pivotArea dataOnly="0" labelOnly="1" outline="0" fieldPosition="0">
        <references count="4">
          <reference field="0" count="1" selected="0">
            <x v="32"/>
          </reference>
          <reference field="2" count="1" selected="0">
            <x v="33"/>
          </reference>
          <reference field="4" count="1" selected="0">
            <x v="50"/>
          </reference>
          <reference field="5" count="1">
            <x v="0"/>
          </reference>
        </references>
      </pivotArea>
    </format>
    <format dxfId="517">
      <pivotArea dataOnly="0" labelOnly="1" outline="0" fieldPosition="0">
        <references count="4">
          <reference field="0" count="1" selected="0">
            <x v="34"/>
          </reference>
          <reference field="2" count="1" selected="0">
            <x v="35"/>
          </reference>
          <reference field="4" count="1" selected="0">
            <x v="5"/>
          </reference>
          <reference field="5" count="1">
            <x v="33"/>
          </reference>
        </references>
      </pivotArea>
    </format>
    <format dxfId="516">
      <pivotArea dataOnly="0" labelOnly="1" outline="0" fieldPosition="0">
        <references count="4">
          <reference field="0" count="1" selected="0">
            <x v="35"/>
          </reference>
          <reference field="2" count="1" selected="0">
            <x v="36"/>
          </reference>
          <reference field="4" count="1" selected="0">
            <x v="3"/>
          </reference>
          <reference field="5" count="1">
            <x v="35"/>
          </reference>
        </references>
      </pivotArea>
    </format>
    <format dxfId="515">
      <pivotArea dataOnly="0" labelOnly="1" outline="0" fieldPosition="0">
        <references count="4">
          <reference field="0" count="1" selected="0">
            <x v="36"/>
          </reference>
          <reference field="2" count="1" selected="0">
            <x v="37"/>
          </reference>
          <reference field="4" count="1" selected="0">
            <x v="42"/>
          </reference>
          <reference field="5" count="1">
            <x v="0"/>
          </reference>
        </references>
      </pivotArea>
    </format>
    <format dxfId="514">
      <pivotArea dataOnly="0" labelOnly="1" outline="0" fieldPosition="0">
        <references count="4">
          <reference field="0" count="1" selected="0">
            <x v="37"/>
          </reference>
          <reference field="2" count="1" selected="0">
            <x v="38"/>
          </reference>
          <reference field="4" count="1" selected="0">
            <x v="19"/>
          </reference>
          <reference field="5" count="1">
            <x v="24"/>
          </reference>
        </references>
      </pivotArea>
    </format>
    <format dxfId="513">
      <pivotArea dataOnly="0" labelOnly="1" outline="0" fieldPosition="0">
        <references count="4">
          <reference field="0" count="1" selected="0">
            <x v="38"/>
          </reference>
          <reference field="2" count="1" selected="0">
            <x v="39"/>
          </reference>
          <reference field="4" count="1" selected="0">
            <x v="43"/>
          </reference>
          <reference field="5" count="1">
            <x v="36"/>
          </reference>
        </references>
      </pivotArea>
    </format>
    <format dxfId="512">
      <pivotArea dataOnly="0" labelOnly="1" outline="0" fieldPosition="0">
        <references count="4">
          <reference field="0" count="1" selected="0">
            <x v="39"/>
          </reference>
          <reference field="2" count="1" selected="0">
            <x v="40"/>
          </reference>
          <reference field="4" count="1" selected="0">
            <x v="41"/>
          </reference>
          <reference field="5" count="1">
            <x v="37"/>
          </reference>
        </references>
      </pivotArea>
    </format>
    <format dxfId="511">
      <pivotArea dataOnly="0" labelOnly="1" outline="0" fieldPosition="0">
        <references count="4">
          <reference field="0" count="1" selected="0">
            <x v="40"/>
          </reference>
          <reference field="2" count="1" selected="0">
            <x v="41"/>
          </reference>
          <reference field="4" count="1" selected="0">
            <x v="6"/>
          </reference>
          <reference field="5" count="1">
            <x v="38"/>
          </reference>
        </references>
      </pivotArea>
    </format>
    <format dxfId="510">
      <pivotArea dataOnly="0" labelOnly="1" outline="0" fieldPosition="0">
        <references count="4">
          <reference field="0" count="1" selected="0">
            <x v="41"/>
          </reference>
          <reference field="2" count="1" selected="0">
            <x v="42"/>
          </reference>
          <reference field="4" count="1" selected="0">
            <x v="9"/>
          </reference>
          <reference field="5" count="1">
            <x v="39"/>
          </reference>
        </references>
      </pivotArea>
    </format>
    <format dxfId="509">
      <pivotArea dataOnly="0" labelOnly="1" outline="0" fieldPosition="0">
        <references count="4">
          <reference field="0" count="1" selected="0">
            <x v="42"/>
          </reference>
          <reference field="2" count="1" selected="0">
            <x v="43"/>
          </reference>
          <reference field="4" count="1" selected="0">
            <x v="8"/>
          </reference>
          <reference field="5" count="1">
            <x v="40"/>
          </reference>
        </references>
      </pivotArea>
    </format>
    <format dxfId="508">
      <pivotArea dataOnly="0" labelOnly="1" outline="0" fieldPosition="0">
        <references count="4">
          <reference field="0" count="1" selected="0">
            <x v="43"/>
          </reference>
          <reference field="2" count="1" selected="0">
            <x v="44"/>
          </reference>
          <reference field="4" count="1" selected="0">
            <x v="33"/>
          </reference>
          <reference field="5" count="1">
            <x v="41"/>
          </reference>
        </references>
      </pivotArea>
    </format>
    <format dxfId="507">
      <pivotArea dataOnly="0" labelOnly="1" outline="0" fieldPosition="0">
        <references count="4">
          <reference field="0" count="1" selected="0">
            <x v="44"/>
          </reference>
          <reference field="2" count="1" selected="0">
            <x v="45"/>
          </reference>
          <reference field="4" count="1" selected="0">
            <x v="26"/>
          </reference>
          <reference field="5" count="1">
            <x v="3"/>
          </reference>
        </references>
      </pivotArea>
    </format>
    <format dxfId="506">
      <pivotArea dataOnly="0" labelOnly="1" outline="0" fieldPosition="0">
        <references count="4">
          <reference field="0" count="1" selected="0">
            <x v="45"/>
          </reference>
          <reference field="2" count="1" selected="0">
            <x v="21"/>
          </reference>
          <reference field="4" count="1" selected="0">
            <x v="45"/>
          </reference>
          <reference field="5" count="1">
            <x v="22"/>
          </reference>
        </references>
      </pivotArea>
    </format>
    <format dxfId="505">
      <pivotArea dataOnly="0" labelOnly="1" outline="0" fieldPosition="0">
        <references count="4">
          <reference field="0" count="1" selected="0">
            <x v="46"/>
          </reference>
          <reference field="2" count="1" selected="0">
            <x v="50"/>
          </reference>
          <reference field="4" count="1" selected="0">
            <x v="25"/>
          </reference>
          <reference field="5" count="1">
            <x v="46"/>
          </reference>
        </references>
      </pivotArea>
    </format>
    <format dxfId="504">
      <pivotArea dataOnly="0" labelOnly="1" outline="0" fieldPosition="0">
        <references count="4">
          <reference field="0" count="1" selected="0">
            <x v="47"/>
          </reference>
          <reference field="2" count="1" selected="0">
            <x v="46"/>
          </reference>
          <reference field="4" count="1" selected="0">
            <x v="16"/>
          </reference>
          <reference field="5" count="1">
            <x v="42"/>
          </reference>
        </references>
      </pivotArea>
    </format>
    <format dxfId="503">
      <pivotArea dataOnly="0" labelOnly="1" outline="0" fieldPosition="0">
        <references count="4">
          <reference field="0" count="1" selected="0">
            <x v="48"/>
          </reference>
          <reference field="2" count="1" selected="0">
            <x v="47"/>
          </reference>
          <reference field="4" count="1" selected="0">
            <x v="29"/>
          </reference>
          <reference field="5" count="1">
            <x v="43"/>
          </reference>
        </references>
      </pivotArea>
    </format>
    <format dxfId="502">
      <pivotArea dataOnly="0" labelOnly="1" outline="0" fieldPosition="0">
        <references count="4">
          <reference field="0" count="1" selected="0">
            <x v="49"/>
          </reference>
          <reference field="2" count="1" selected="0">
            <x v="48"/>
          </reference>
          <reference field="4" count="1" selected="0">
            <x v="22"/>
          </reference>
          <reference field="5" count="1">
            <x v="44"/>
          </reference>
        </references>
      </pivotArea>
    </format>
    <format dxfId="501">
      <pivotArea dataOnly="0" labelOnly="1" outline="0" fieldPosition="0">
        <references count="4">
          <reference field="0" count="1" selected="0">
            <x v="50"/>
          </reference>
          <reference field="2" count="1" selected="0">
            <x v="49"/>
          </reference>
          <reference field="4" count="1" selected="0">
            <x v="24"/>
          </reference>
          <reference field="5" count="1">
            <x v="45"/>
          </reference>
        </references>
      </pivotArea>
    </format>
    <format dxfId="500">
      <pivotArea dataOnly="0" labelOnly="1" outline="0" fieldPosition="0">
        <references count="4">
          <reference field="0" count="1" selected="0">
            <x v="51"/>
          </reference>
          <reference field="2" count="1" selected="0">
            <x v="51"/>
          </reference>
          <reference field="4" count="1" selected="0">
            <x v="30"/>
          </reference>
          <reference field="5" count="1">
            <x v="47"/>
          </reference>
        </references>
      </pivotArea>
    </format>
    <format dxfId="499">
      <pivotArea dataOnly="0" labelOnly="1" outline="0" fieldPosition="0">
        <references count="4">
          <reference field="0" count="1" selected="0">
            <x v="52"/>
          </reference>
          <reference field="2" count="1" selected="0">
            <x v="52"/>
          </reference>
          <reference field="4" count="1" selected="0">
            <x v="18"/>
          </reference>
          <reference field="5" count="1">
            <x v="48"/>
          </reference>
        </references>
      </pivotArea>
    </format>
    <format dxfId="498">
      <pivotArea dataOnly="0" labelOnly="1" outline="0" fieldPosition="0">
        <references count="4">
          <reference field="0" count="1" selected="0">
            <x v="53"/>
          </reference>
          <reference field="2" count="1" selected="0">
            <x v="53"/>
          </reference>
          <reference field="4" count="1" selected="0">
            <x v="38"/>
          </reference>
          <reference field="5" count="1">
            <x v="56"/>
          </reference>
        </references>
      </pivotArea>
    </format>
    <format dxfId="497">
      <pivotArea dataOnly="0" labelOnly="1" outline="0" fieldPosition="0">
        <references count="4">
          <reference field="0" count="1" selected="0">
            <x v="54"/>
          </reference>
          <reference field="2" count="1" selected="0">
            <x v="54"/>
          </reference>
          <reference field="4" count="1" selected="0">
            <x v="12"/>
          </reference>
          <reference field="5" count="1">
            <x v="49"/>
          </reference>
        </references>
      </pivotArea>
    </format>
    <format dxfId="496">
      <pivotArea dataOnly="0" labelOnly="1" outline="0" fieldPosition="0">
        <references count="4">
          <reference field="0" count="1" selected="0">
            <x v="55"/>
          </reference>
          <reference field="2" count="1" selected="0">
            <x v="55"/>
          </reference>
          <reference field="4" count="1" selected="0">
            <x v="46"/>
          </reference>
          <reference field="5" count="1">
            <x v="50"/>
          </reference>
        </references>
      </pivotArea>
    </format>
    <format dxfId="495">
      <pivotArea dataOnly="0" labelOnly="1" outline="0" fieldPosition="0">
        <references count="4">
          <reference field="0" count="1" selected="0">
            <x v="56"/>
          </reference>
          <reference field="2" count="1" selected="0">
            <x v="56"/>
          </reference>
          <reference field="4" count="1" selected="0">
            <x v="1"/>
          </reference>
          <reference field="5" count="1">
            <x v="1"/>
          </reference>
        </references>
      </pivotArea>
    </format>
    <format dxfId="494">
      <pivotArea dataOnly="0" labelOnly="1" outline="0" fieldPosition="0">
        <references count="4">
          <reference field="0" count="1" selected="0">
            <x v="57"/>
          </reference>
          <reference field="2" count="1" selected="0">
            <x v="57"/>
          </reference>
          <reference field="4" count="1" selected="0">
            <x v="2"/>
          </reference>
          <reference field="5" count="1">
            <x v="2"/>
          </reference>
        </references>
      </pivotArea>
    </format>
    <format dxfId="493">
      <pivotArea dataOnly="0" labelOnly="1" outline="0" fieldPosition="0">
        <references count="4">
          <reference field="0" count="1" selected="0">
            <x v="58"/>
          </reference>
          <reference field="2" count="1" selected="0">
            <x v="58"/>
          </reference>
          <reference field="4" count="1" selected="0">
            <x v="39"/>
          </reference>
          <reference field="5" count="1">
            <x v="0"/>
          </reference>
        </references>
      </pivotArea>
    </format>
    <format dxfId="492">
      <pivotArea dataOnly="0" labelOnly="1" outline="0" fieldPosition="0">
        <references count="4">
          <reference field="0" count="1" selected="0">
            <x v="59"/>
          </reference>
          <reference field="2" count="1" selected="0">
            <x v="59"/>
          </reference>
          <reference field="4" count="1" selected="0">
            <x v="48"/>
          </reference>
          <reference field="5" count="1">
            <x v="51"/>
          </reference>
        </references>
      </pivotArea>
    </format>
    <format dxfId="491">
      <pivotArea dataOnly="0" labelOnly="1" outline="0" fieldPosition="0">
        <references count="4">
          <reference field="0" count="1" selected="0">
            <x v="60"/>
          </reference>
          <reference field="2" count="1" selected="0">
            <x v="60"/>
          </reference>
          <reference field="4" count="1" selected="0">
            <x v="49"/>
          </reference>
          <reference field="5" count="1">
            <x v="52"/>
          </reference>
        </references>
      </pivotArea>
    </format>
    <format dxfId="490">
      <pivotArea dataOnly="0" labelOnly="1" outline="0" fieldPosition="0">
        <references count="4">
          <reference field="0" count="1" selected="0">
            <x v="61"/>
          </reference>
          <reference field="2" count="1" selected="0">
            <x v="61"/>
          </reference>
          <reference field="4" count="1" selected="0">
            <x v="34"/>
          </reference>
          <reference field="5" count="1">
            <x v="53"/>
          </reference>
        </references>
      </pivotArea>
    </format>
    <format dxfId="489">
      <pivotArea dataOnly="0" labelOnly="1" outline="0" fieldPosition="0">
        <references count="4">
          <reference field="0" count="1" selected="0">
            <x v="62"/>
          </reference>
          <reference field="2" count="1" selected="0">
            <x v="62"/>
          </reference>
          <reference field="4" count="1" selected="0">
            <x v="23"/>
          </reference>
          <reference field="5" count="1">
            <x v="54"/>
          </reference>
        </references>
      </pivotArea>
    </format>
    <format dxfId="488">
      <pivotArea dataOnly="0" labelOnly="1" outline="0" fieldPosition="0">
        <references count="4">
          <reference field="0" count="1" selected="0">
            <x v="63"/>
          </reference>
          <reference field="2" count="1" selected="0">
            <x v="63"/>
          </reference>
          <reference field="4" count="1" selected="0">
            <x v="36"/>
          </reference>
          <reference field="5" count="1">
            <x v="55"/>
          </reference>
        </references>
      </pivotArea>
    </format>
    <format dxfId="487">
      <pivotArea dataOnly="0" labelOnly="1" outline="0" fieldPosition="0">
        <references count="4">
          <reference field="0" count="1" selected="0">
            <x v="64"/>
          </reference>
          <reference field="2" count="1" selected="0">
            <x v="64"/>
          </reference>
          <reference field="4" count="1" selected="0">
            <x v="64"/>
          </reference>
          <reference field="5" count="1">
            <x v="57"/>
          </reference>
        </references>
      </pivotArea>
    </format>
    <format dxfId="486">
      <pivotArea dataOnly="0" labelOnly="1" outline="0" fieldPosition="0">
        <references count="5">
          <reference field="0" count="1" selected="0">
            <x v="0"/>
          </reference>
          <reference field="2" count="1" selected="0">
            <x v="0"/>
          </reference>
          <reference field="4" count="1" selected="0">
            <x v="0"/>
          </reference>
          <reference field="5" count="1" selected="0">
            <x v="0"/>
          </reference>
          <reference field="7" count="1">
            <x v="0"/>
          </reference>
        </references>
      </pivotArea>
    </format>
    <format dxfId="485">
      <pivotArea dataOnly="0" labelOnly="1" outline="0" fieldPosition="0">
        <references count="5">
          <reference field="0" count="1" selected="0">
            <x v="1"/>
          </reference>
          <reference field="2" count="1" selected="0">
            <x v="1"/>
          </reference>
          <reference field="4" count="1" selected="0">
            <x v="17"/>
          </reference>
          <reference field="5" count="1" selected="0">
            <x v="4"/>
          </reference>
          <reference field="7" count="1">
            <x v="14"/>
          </reference>
        </references>
      </pivotArea>
    </format>
    <format dxfId="484">
      <pivotArea dataOnly="0" labelOnly="1" outline="0" fieldPosition="0">
        <references count="5">
          <reference field="0" count="1" selected="0">
            <x v="2"/>
          </reference>
          <reference field="2" count="1" selected="0">
            <x v="2"/>
          </reference>
          <reference field="4" count="1" selected="0">
            <x v="51"/>
          </reference>
          <reference field="5" count="1" selected="0">
            <x v="6"/>
          </reference>
          <reference field="7" count="1">
            <x v="26"/>
          </reference>
        </references>
      </pivotArea>
    </format>
    <format dxfId="483">
      <pivotArea dataOnly="0" labelOnly="1" outline="0" fieldPosition="0">
        <references count="5">
          <reference field="0" count="1" selected="0">
            <x v="3"/>
          </reference>
          <reference field="2" count="1" selected="0">
            <x v="3"/>
          </reference>
          <reference field="4" count="1" selected="0">
            <x v="13"/>
          </reference>
          <reference field="5" count="1" selected="0">
            <x v="7"/>
          </reference>
          <reference field="7" count="1">
            <x v="13"/>
          </reference>
        </references>
      </pivotArea>
    </format>
    <format dxfId="482">
      <pivotArea dataOnly="0" labelOnly="1" outline="0" fieldPosition="0">
        <references count="5">
          <reference field="0" count="1" selected="0">
            <x v="4"/>
          </reference>
          <reference field="2" count="1" selected="0">
            <x v="4"/>
          </reference>
          <reference field="4" count="1" selected="0">
            <x v="11"/>
          </reference>
          <reference field="5" count="1" selected="0">
            <x v="34"/>
          </reference>
          <reference field="7" count="1">
            <x v="9"/>
          </reference>
        </references>
      </pivotArea>
    </format>
    <format dxfId="481">
      <pivotArea dataOnly="0" labelOnly="1" outline="0" fieldPosition="0">
        <references count="5">
          <reference field="0" count="1" selected="0">
            <x v="5"/>
          </reference>
          <reference field="2" count="1" selected="0">
            <x v="5"/>
          </reference>
          <reference field="4" count="1" selected="0">
            <x v="20"/>
          </reference>
          <reference field="5" count="1" selected="0">
            <x v="8"/>
          </reference>
          <reference field="7" count="1">
            <x v="11"/>
          </reference>
        </references>
      </pivotArea>
    </format>
    <format dxfId="480">
      <pivotArea dataOnly="0" labelOnly="1" outline="0" fieldPosition="0">
        <references count="5">
          <reference field="0" count="1" selected="0">
            <x v="6"/>
          </reference>
          <reference field="2" count="1" selected="0">
            <x v="6"/>
          </reference>
          <reference field="4" count="1" selected="0">
            <x v="60"/>
          </reference>
          <reference field="5" count="1" selected="0">
            <x v="9"/>
          </reference>
          <reference field="7" count="1">
            <x v="27"/>
          </reference>
        </references>
      </pivotArea>
    </format>
    <format dxfId="479">
      <pivotArea dataOnly="0" labelOnly="1" outline="0" fieldPosition="0">
        <references count="5">
          <reference field="0" count="1" selected="0">
            <x v="7"/>
          </reference>
          <reference field="2" count="1" selected="0">
            <x v="7"/>
          </reference>
          <reference field="4" count="1" selected="0">
            <x v="14"/>
          </reference>
          <reference field="5" count="1" selected="0">
            <x v="10"/>
          </reference>
          <reference field="7" count="1">
            <x v="0"/>
          </reference>
        </references>
      </pivotArea>
    </format>
    <format dxfId="478">
      <pivotArea dataOnly="0" labelOnly="1" outline="0" fieldPosition="0">
        <references count="5">
          <reference field="0" count="1" selected="0">
            <x v="8"/>
          </reference>
          <reference field="2" count="1" selected="0">
            <x v="8"/>
          </reference>
          <reference field="4" count="1" selected="0">
            <x v="37"/>
          </reference>
          <reference field="5" count="1" selected="0">
            <x v="12"/>
          </reference>
          <reference field="7" count="1">
            <x v="35"/>
          </reference>
        </references>
      </pivotArea>
    </format>
    <format dxfId="477">
      <pivotArea dataOnly="0" labelOnly="1" outline="0" fieldPosition="0">
        <references count="5">
          <reference field="0" count="1" selected="0">
            <x v="9"/>
          </reference>
          <reference field="2" count="1" selected="0">
            <x v="9"/>
          </reference>
          <reference field="4" count="1" selected="0">
            <x v="35"/>
          </reference>
          <reference field="5" count="1" selected="0">
            <x v="0"/>
          </reference>
          <reference field="7" count="1">
            <x v="25"/>
          </reference>
        </references>
      </pivotArea>
    </format>
    <format dxfId="476">
      <pivotArea dataOnly="0" labelOnly="1" outline="0" fieldPosition="0">
        <references count="5">
          <reference field="0" count="1" selected="0">
            <x v="10"/>
          </reference>
          <reference field="2" count="1" selected="0">
            <x v="10"/>
          </reference>
          <reference field="4" count="1" selected="0">
            <x v="55"/>
          </reference>
          <reference field="5" count="1" selected="0">
            <x v="13"/>
          </reference>
          <reference field="7" count="1">
            <x v="4"/>
          </reference>
        </references>
      </pivotArea>
    </format>
    <format dxfId="475">
      <pivotArea dataOnly="0" labelOnly="1" outline="0" fieldPosition="0">
        <references count="5">
          <reference field="0" count="1" selected="0">
            <x v="11"/>
          </reference>
          <reference field="2" count="1" selected="0">
            <x v="11"/>
          </reference>
          <reference field="4" count="1" selected="0">
            <x v="10"/>
          </reference>
          <reference field="5" count="1" selected="0">
            <x v="14"/>
          </reference>
          <reference field="7" count="1">
            <x v="1"/>
          </reference>
        </references>
      </pivotArea>
    </format>
    <format dxfId="474">
      <pivotArea dataOnly="0" labelOnly="1" outline="0" fieldPosition="0">
        <references count="5">
          <reference field="0" count="1" selected="0">
            <x v="12"/>
          </reference>
          <reference field="2" count="1" selected="0">
            <x v="12"/>
          </reference>
          <reference field="4" count="1" selected="0">
            <x v="63"/>
          </reference>
          <reference field="5" count="1" selected="0">
            <x v="15"/>
          </reference>
          <reference field="7" count="1">
            <x v="5"/>
          </reference>
        </references>
      </pivotArea>
    </format>
    <format dxfId="473">
      <pivotArea dataOnly="0" labelOnly="1" outline="0" fieldPosition="0">
        <references count="5">
          <reference field="0" count="1" selected="0">
            <x v="13"/>
          </reference>
          <reference field="2" count="1" selected="0">
            <x v="13"/>
          </reference>
          <reference field="4" count="1" selected="0">
            <x v="4"/>
          </reference>
          <reference field="5" count="1" selected="0">
            <x v="16"/>
          </reference>
          <reference field="7" count="1">
            <x v="54"/>
          </reference>
        </references>
      </pivotArea>
    </format>
    <format dxfId="472">
      <pivotArea dataOnly="0" labelOnly="1" outline="0" fieldPosition="0">
        <references count="5">
          <reference field="0" count="1" selected="0">
            <x v="14"/>
          </reference>
          <reference field="2" count="1" selected="0">
            <x v="14"/>
          </reference>
          <reference field="4" count="1" selected="0">
            <x v="21"/>
          </reference>
          <reference field="5" count="1" selected="0">
            <x v="0"/>
          </reference>
          <reference field="7" count="1">
            <x v="17"/>
          </reference>
        </references>
      </pivotArea>
    </format>
    <format dxfId="471">
      <pivotArea dataOnly="0" labelOnly="1" outline="0" fieldPosition="0">
        <references count="5">
          <reference field="0" count="1" selected="0">
            <x v="15"/>
          </reference>
          <reference field="2" count="1" selected="0">
            <x v="15"/>
          </reference>
          <reference field="4" count="1" selected="0">
            <x v="28"/>
          </reference>
          <reference field="5" count="1" selected="0">
            <x v="17"/>
          </reference>
          <reference field="7" count="1">
            <x v="30"/>
          </reference>
        </references>
      </pivotArea>
    </format>
    <format dxfId="470">
      <pivotArea dataOnly="0" labelOnly="1" outline="0" fieldPosition="0">
        <references count="5">
          <reference field="0" count="1" selected="0">
            <x v="16"/>
          </reference>
          <reference field="2" count="1" selected="0">
            <x v="16"/>
          </reference>
          <reference field="4" count="1" selected="0">
            <x v="57"/>
          </reference>
          <reference field="5" count="1" selected="0">
            <x v="18"/>
          </reference>
          <reference field="7" count="1">
            <x v="33"/>
          </reference>
        </references>
      </pivotArea>
    </format>
    <format dxfId="469">
      <pivotArea dataOnly="0" labelOnly="1" outline="0" fieldPosition="0">
        <references count="5">
          <reference field="0" count="1" selected="0">
            <x v="17"/>
          </reference>
          <reference field="2" count="1" selected="0">
            <x v="17"/>
          </reference>
          <reference field="4" count="1" selected="0">
            <x v="32"/>
          </reference>
          <reference field="5" count="1" selected="0">
            <x v="19"/>
          </reference>
          <reference field="7" count="1">
            <x v="51"/>
          </reference>
        </references>
      </pivotArea>
    </format>
    <format dxfId="468">
      <pivotArea dataOnly="0" labelOnly="1" outline="0" fieldPosition="0">
        <references count="5">
          <reference field="0" count="1" selected="0">
            <x v="18"/>
          </reference>
          <reference field="2" count="1" selected="0">
            <x v="18"/>
          </reference>
          <reference field="4" count="1" selected="0">
            <x v="54"/>
          </reference>
          <reference field="5" count="1" selected="0">
            <x v="20"/>
          </reference>
          <reference field="7" count="1">
            <x v="29"/>
          </reference>
        </references>
      </pivotArea>
    </format>
    <format dxfId="467">
      <pivotArea dataOnly="0" labelOnly="1" outline="0" fieldPosition="0">
        <references count="5">
          <reference field="0" count="1" selected="0">
            <x v="19"/>
          </reference>
          <reference field="2" count="1" selected="0">
            <x v="19"/>
          </reference>
          <reference field="4" count="1" selected="0">
            <x v="62"/>
          </reference>
          <reference field="5" count="1" selected="0">
            <x v="11"/>
          </reference>
          <reference field="7" count="1">
            <x v="0"/>
          </reference>
        </references>
      </pivotArea>
    </format>
    <format dxfId="466">
      <pivotArea dataOnly="0" labelOnly="1" outline="0" fieldPosition="0">
        <references count="5">
          <reference field="0" count="1" selected="0">
            <x v="20"/>
          </reference>
          <reference field="2" count="1" selected="0">
            <x v="20"/>
          </reference>
          <reference field="4" count="1" selected="0">
            <x v="59"/>
          </reference>
          <reference field="5" count="1" selected="0">
            <x v="21"/>
          </reference>
          <reference field="7" count="1">
            <x v="15"/>
          </reference>
        </references>
      </pivotArea>
    </format>
    <format dxfId="465">
      <pivotArea dataOnly="0" labelOnly="1" outline="0" fieldPosition="0">
        <references count="5">
          <reference field="0" count="1" selected="0">
            <x v="21"/>
          </reference>
          <reference field="2" count="1" selected="0">
            <x v="22"/>
          </reference>
          <reference field="4" count="1" selected="0">
            <x v="56"/>
          </reference>
          <reference field="5" count="1" selected="0">
            <x v="23"/>
          </reference>
          <reference field="7" count="1">
            <x v="0"/>
          </reference>
        </references>
      </pivotArea>
    </format>
    <format dxfId="464">
      <pivotArea dataOnly="0" labelOnly="1" outline="0" fieldPosition="0">
        <references count="5">
          <reference field="0" count="1" selected="0">
            <x v="22"/>
          </reference>
          <reference field="2" count="1" selected="0">
            <x v="23"/>
          </reference>
          <reference field="4" count="1" selected="0">
            <x v="15"/>
          </reference>
          <reference field="5" count="1" selected="0">
            <x v="25"/>
          </reference>
          <reference field="7" count="1">
            <x v="52"/>
          </reference>
        </references>
      </pivotArea>
    </format>
    <format dxfId="463">
      <pivotArea dataOnly="0" labelOnly="1" outline="0" fieldPosition="0">
        <references count="5">
          <reference field="0" count="1" selected="0">
            <x v="23"/>
          </reference>
          <reference field="2" count="1" selected="0">
            <x v="24"/>
          </reference>
          <reference field="4" count="1" selected="0">
            <x v="53"/>
          </reference>
          <reference field="5" count="1" selected="0">
            <x v="26"/>
          </reference>
          <reference field="7" count="1">
            <x v="47"/>
          </reference>
        </references>
      </pivotArea>
    </format>
    <format dxfId="462">
      <pivotArea dataOnly="0" labelOnly="1" outline="0" fieldPosition="0">
        <references count="5">
          <reference field="0" count="1" selected="0">
            <x v="24"/>
          </reference>
          <reference field="2" count="1" selected="0">
            <x v="26"/>
          </reference>
          <reference field="4" count="1" selected="0">
            <x v="52"/>
          </reference>
          <reference field="5" count="1" selected="0">
            <x v="27"/>
          </reference>
          <reference field="7" count="1">
            <x v="20"/>
          </reference>
        </references>
      </pivotArea>
    </format>
    <format dxfId="461">
      <pivotArea dataOnly="0" labelOnly="1" outline="0" fieldPosition="0">
        <references count="5">
          <reference field="0" count="1" selected="0">
            <x v="25"/>
          </reference>
          <reference field="2" count="1" selected="0">
            <x v="25"/>
          </reference>
          <reference field="4" count="1" selected="0">
            <x v="31"/>
          </reference>
          <reference field="5" count="1" selected="0">
            <x v="28"/>
          </reference>
          <reference field="7" count="1">
            <x v="0"/>
          </reference>
        </references>
      </pivotArea>
    </format>
    <format dxfId="460">
      <pivotArea dataOnly="0" labelOnly="1" outline="0" fieldPosition="0">
        <references count="5">
          <reference field="0" count="1" selected="0">
            <x v="26"/>
          </reference>
          <reference field="2" count="1" selected="0">
            <x v="28"/>
          </reference>
          <reference field="4" count="1" selected="0">
            <x v="7"/>
          </reference>
          <reference field="5" count="1" selected="0">
            <x v="5"/>
          </reference>
          <reference field="7" count="1">
            <x v="24"/>
          </reference>
        </references>
      </pivotArea>
    </format>
    <format dxfId="459">
      <pivotArea dataOnly="0" labelOnly="1" outline="0" fieldPosition="0">
        <references count="5">
          <reference field="0" count="1" selected="0">
            <x v="27"/>
          </reference>
          <reference field="2" count="1" selected="0">
            <x v="27"/>
          </reference>
          <reference field="4" count="1" selected="0">
            <x v="58"/>
          </reference>
          <reference field="5" count="1" selected="0">
            <x v="29"/>
          </reference>
          <reference field="7" count="1">
            <x v="19"/>
          </reference>
        </references>
      </pivotArea>
    </format>
    <format dxfId="458">
      <pivotArea dataOnly="0" labelOnly="1" outline="0" fieldPosition="0">
        <references count="5">
          <reference field="0" count="1" selected="0">
            <x v="28"/>
          </reference>
          <reference field="2" count="1" selected="0">
            <x v="29"/>
          </reference>
          <reference field="4" count="1" selected="0">
            <x v="40"/>
          </reference>
          <reference field="5" count="1" selected="0">
            <x v="30"/>
          </reference>
          <reference field="7" count="1">
            <x v="34"/>
          </reference>
        </references>
      </pivotArea>
    </format>
    <format dxfId="457">
      <pivotArea dataOnly="0" labelOnly="1" outline="0" fieldPosition="0">
        <references count="5">
          <reference field="0" count="1" selected="0">
            <x v="29"/>
          </reference>
          <reference field="2" count="1" selected="0">
            <x v="30"/>
          </reference>
          <reference field="4" count="1" selected="0">
            <x v="61"/>
          </reference>
          <reference field="5" count="1" selected="0">
            <x v="31"/>
          </reference>
          <reference field="7" count="1">
            <x v="53"/>
          </reference>
        </references>
      </pivotArea>
    </format>
    <format dxfId="456">
      <pivotArea dataOnly="0" labelOnly="1" outline="0" fieldPosition="0">
        <references count="5">
          <reference field="0" count="1" selected="0">
            <x v="30"/>
          </reference>
          <reference field="2" count="1" selected="0">
            <x v="31"/>
          </reference>
          <reference field="4" count="1" selected="0">
            <x v="27"/>
          </reference>
          <reference field="5" count="1" selected="0">
            <x v="31"/>
          </reference>
          <reference field="7" count="1">
            <x v="3"/>
          </reference>
        </references>
      </pivotArea>
    </format>
    <format dxfId="455">
      <pivotArea dataOnly="0" labelOnly="1" outline="0" fieldPosition="0">
        <references count="5">
          <reference field="0" count="1" selected="0">
            <x v="31"/>
          </reference>
          <reference field="2" count="1" selected="0">
            <x v="32"/>
          </reference>
          <reference field="4" count="1" selected="0">
            <x v="47"/>
          </reference>
          <reference field="5" count="1" selected="0">
            <x v="32"/>
          </reference>
          <reference field="7" count="1">
            <x v="49"/>
          </reference>
        </references>
      </pivotArea>
    </format>
    <format dxfId="454">
      <pivotArea dataOnly="0" labelOnly="1" outline="0" fieldPosition="0">
        <references count="5">
          <reference field="0" count="1" selected="0">
            <x v="32"/>
          </reference>
          <reference field="2" count="1" selected="0">
            <x v="33"/>
          </reference>
          <reference field="4" count="1" selected="0">
            <x v="50"/>
          </reference>
          <reference field="5" count="1" selected="0">
            <x v="0"/>
          </reference>
          <reference field="7" count="1">
            <x v="16"/>
          </reference>
        </references>
      </pivotArea>
    </format>
    <format dxfId="453">
      <pivotArea dataOnly="0" labelOnly="1" outline="0" fieldPosition="0">
        <references count="5">
          <reference field="0" count="1" selected="0">
            <x v="33"/>
          </reference>
          <reference field="2" count="1" selected="0">
            <x v="34"/>
          </reference>
          <reference field="4" count="1" selected="0">
            <x v="44"/>
          </reference>
          <reference field="5" count="1" selected="0">
            <x v="0"/>
          </reference>
          <reference field="7" count="1">
            <x v="2"/>
          </reference>
        </references>
      </pivotArea>
    </format>
    <format dxfId="452">
      <pivotArea dataOnly="0" labelOnly="1" outline="0" fieldPosition="0">
        <references count="5">
          <reference field="0" count="1" selected="0">
            <x v="34"/>
          </reference>
          <reference field="2" count="1" selected="0">
            <x v="35"/>
          </reference>
          <reference field="4" count="1" selected="0">
            <x v="5"/>
          </reference>
          <reference field="5" count="1" selected="0">
            <x v="33"/>
          </reference>
          <reference field="7" count="1">
            <x v="0"/>
          </reference>
        </references>
      </pivotArea>
    </format>
    <format dxfId="451">
      <pivotArea dataOnly="0" labelOnly="1" outline="0" fieldPosition="0">
        <references count="5">
          <reference field="0" count="1" selected="0">
            <x v="35"/>
          </reference>
          <reference field="2" count="1" selected="0">
            <x v="36"/>
          </reference>
          <reference field="4" count="1" selected="0">
            <x v="3"/>
          </reference>
          <reference field="5" count="1" selected="0">
            <x v="35"/>
          </reference>
          <reference field="7" count="1">
            <x v="36"/>
          </reference>
        </references>
      </pivotArea>
    </format>
    <format dxfId="450">
      <pivotArea dataOnly="0" labelOnly="1" outline="0" fieldPosition="0">
        <references count="5">
          <reference field="0" count="1" selected="0">
            <x v="36"/>
          </reference>
          <reference field="2" count="1" selected="0">
            <x v="37"/>
          </reference>
          <reference field="4" count="1" selected="0">
            <x v="42"/>
          </reference>
          <reference field="5" count="1" selected="0">
            <x v="0"/>
          </reference>
          <reference field="7" count="1">
            <x v="41"/>
          </reference>
        </references>
      </pivotArea>
    </format>
    <format dxfId="449">
      <pivotArea dataOnly="0" labelOnly="1" outline="0" fieldPosition="0">
        <references count="5">
          <reference field="0" count="1" selected="0">
            <x v="37"/>
          </reference>
          <reference field="2" count="1" selected="0">
            <x v="38"/>
          </reference>
          <reference field="4" count="1" selected="0">
            <x v="19"/>
          </reference>
          <reference field="5" count="1" selected="0">
            <x v="24"/>
          </reference>
          <reference field="7" count="1">
            <x v="45"/>
          </reference>
        </references>
      </pivotArea>
    </format>
    <format dxfId="448">
      <pivotArea dataOnly="0" labelOnly="1" outline="0" fieldPosition="0">
        <references count="5">
          <reference field="0" count="1" selected="0">
            <x v="38"/>
          </reference>
          <reference field="2" count="1" selected="0">
            <x v="39"/>
          </reference>
          <reference field="4" count="1" selected="0">
            <x v="43"/>
          </reference>
          <reference field="5" count="1" selected="0">
            <x v="36"/>
          </reference>
          <reference field="7" count="1">
            <x v="18"/>
          </reference>
        </references>
      </pivotArea>
    </format>
    <format dxfId="447">
      <pivotArea dataOnly="0" labelOnly="1" outline="0" fieldPosition="0">
        <references count="5">
          <reference field="0" count="1" selected="0">
            <x v="39"/>
          </reference>
          <reference field="2" count="1" selected="0">
            <x v="40"/>
          </reference>
          <reference field="4" count="1" selected="0">
            <x v="41"/>
          </reference>
          <reference field="5" count="1" selected="0">
            <x v="37"/>
          </reference>
          <reference field="7" count="1">
            <x v="7"/>
          </reference>
        </references>
      </pivotArea>
    </format>
    <format dxfId="446">
      <pivotArea dataOnly="0" labelOnly="1" outline="0" fieldPosition="0">
        <references count="5">
          <reference field="0" count="1" selected="0">
            <x v="40"/>
          </reference>
          <reference field="2" count="1" selected="0">
            <x v="41"/>
          </reference>
          <reference field="4" count="1" selected="0">
            <x v="6"/>
          </reference>
          <reference field="5" count="1" selected="0">
            <x v="38"/>
          </reference>
          <reference field="7" count="1">
            <x v="46"/>
          </reference>
        </references>
      </pivotArea>
    </format>
    <format dxfId="445">
      <pivotArea dataOnly="0" labelOnly="1" outline="0" fieldPosition="0">
        <references count="5">
          <reference field="0" count="1" selected="0">
            <x v="41"/>
          </reference>
          <reference field="2" count="1" selected="0">
            <x v="42"/>
          </reference>
          <reference field="4" count="1" selected="0">
            <x v="9"/>
          </reference>
          <reference field="5" count="1" selected="0">
            <x v="39"/>
          </reference>
          <reference field="7" count="1">
            <x v="8"/>
          </reference>
        </references>
      </pivotArea>
    </format>
    <format dxfId="444">
      <pivotArea dataOnly="0" labelOnly="1" outline="0" fieldPosition="0">
        <references count="5">
          <reference field="0" count="1" selected="0">
            <x v="42"/>
          </reference>
          <reference field="2" count="1" selected="0">
            <x v="43"/>
          </reference>
          <reference field="4" count="1" selected="0">
            <x v="8"/>
          </reference>
          <reference field="5" count="1" selected="0">
            <x v="40"/>
          </reference>
          <reference field="7" count="1">
            <x v="55"/>
          </reference>
        </references>
      </pivotArea>
    </format>
    <format dxfId="443">
      <pivotArea dataOnly="0" labelOnly="1" outline="0" fieldPosition="0">
        <references count="5">
          <reference field="0" count="1" selected="0">
            <x v="43"/>
          </reference>
          <reference field="2" count="1" selected="0">
            <x v="44"/>
          </reference>
          <reference field="4" count="1" selected="0">
            <x v="33"/>
          </reference>
          <reference field="5" count="1" selected="0">
            <x v="41"/>
          </reference>
          <reference field="7" count="1">
            <x v="48"/>
          </reference>
        </references>
      </pivotArea>
    </format>
    <format dxfId="442">
      <pivotArea dataOnly="0" labelOnly="1" outline="0" fieldPosition="0">
        <references count="5">
          <reference field="0" count="1" selected="0">
            <x v="44"/>
          </reference>
          <reference field="2" count="1" selected="0">
            <x v="45"/>
          </reference>
          <reference field="4" count="1" selected="0">
            <x v="26"/>
          </reference>
          <reference field="5" count="1" selected="0">
            <x v="3"/>
          </reference>
          <reference field="7" count="1">
            <x v="32"/>
          </reference>
        </references>
      </pivotArea>
    </format>
    <format dxfId="441">
      <pivotArea dataOnly="0" labelOnly="1" outline="0" fieldPosition="0">
        <references count="5">
          <reference field="0" count="1" selected="0">
            <x v="45"/>
          </reference>
          <reference field="2" count="1" selected="0">
            <x v="21"/>
          </reference>
          <reference field="4" count="1" selected="0">
            <x v="45"/>
          </reference>
          <reference field="5" count="1" selected="0">
            <x v="22"/>
          </reference>
          <reference field="7" count="1">
            <x v="22"/>
          </reference>
        </references>
      </pivotArea>
    </format>
    <format dxfId="440">
      <pivotArea dataOnly="0" labelOnly="1" outline="0" fieldPosition="0">
        <references count="5">
          <reference field="0" count="1" selected="0">
            <x v="46"/>
          </reference>
          <reference field="2" count="1" selected="0">
            <x v="50"/>
          </reference>
          <reference field="4" count="1" selected="0">
            <x v="25"/>
          </reference>
          <reference field="5" count="1" selected="0">
            <x v="46"/>
          </reference>
          <reference field="7" count="1">
            <x v="23"/>
          </reference>
        </references>
      </pivotArea>
    </format>
    <format dxfId="439">
      <pivotArea dataOnly="0" labelOnly="1" outline="0" fieldPosition="0">
        <references count="5">
          <reference field="0" count="1" selected="0">
            <x v="47"/>
          </reference>
          <reference field="2" count="1" selected="0">
            <x v="46"/>
          </reference>
          <reference field="4" count="1" selected="0">
            <x v="16"/>
          </reference>
          <reference field="5" count="1" selected="0">
            <x v="42"/>
          </reference>
          <reference field="7" count="1">
            <x v="43"/>
          </reference>
        </references>
      </pivotArea>
    </format>
    <format dxfId="438">
      <pivotArea dataOnly="0" labelOnly="1" outline="0" fieldPosition="0">
        <references count="5">
          <reference field="0" count="1" selected="0">
            <x v="48"/>
          </reference>
          <reference field="2" count="1" selected="0">
            <x v="47"/>
          </reference>
          <reference field="4" count="1" selected="0">
            <x v="29"/>
          </reference>
          <reference field="5" count="1" selected="0">
            <x v="43"/>
          </reference>
          <reference field="7" count="1">
            <x v="28"/>
          </reference>
        </references>
      </pivotArea>
    </format>
    <format dxfId="437">
      <pivotArea dataOnly="0" labelOnly="1" outline="0" fieldPosition="0">
        <references count="5">
          <reference field="0" count="1" selected="0">
            <x v="49"/>
          </reference>
          <reference field="2" count="1" selected="0">
            <x v="48"/>
          </reference>
          <reference field="4" count="1" selected="0">
            <x v="22"/>
          </reference>
          <reference field="5" count="1" selected="0">
            <x v="44"/>
          </reference>
          <reference field="7" count="1">
            <x v="50"/>
          </reference>
        </references>
      </pivotArea>
    </format>
    <format dxfId="436">
      <pivotArea dataOnly="0" labelOnly="1" outline="0" fieldPosition="0">
        <references count="5">
          <reference field="0" count="1" selected="0">
            <x v="50"/>
          </reference>
          <reference field="2" count="1" selected="0">
            <x v="49"/>
          </reference>
          <reference field="4" count="1" selected="0">
            <x v="24"/>
          </reference>
          <reference field="5" count="1" selected="0">
            <x v="45"/>
          </reference>
          <reference field="7" count="1">
            <x v="0"/>
          </reference>
        </references>
      </pivotArea>
    </format>
    <format dxfId="435">
      <pivotArea dataOnly="0" labelOnly="1" outline="0" fieldPosition="0">
        <references count="5">
          <reference field="0" count="1" selected="0">
            <x v="51"/>
          </reference>
          <reference field="2" count="1" selected="0">
            <x v="51"/>
          </reference>
          <reference field="4" count="1" selected="0">
            <x v="30"/>
          </reference>
          <reference field="5" count="1" selected="0">
            <x v="47"/>
          </reference>
          <reference field="7" count="1">
            <x v="38"/>
          </reference>
        </references>
      </pivotArea>
    </format>
    <format dxfId="434">
      <pivotArea dataOnly="0" labelOnly="1" outline="0" fieldPosition="0">
        <references count="5">
          <reference field="0" count="1" selected="0">
            <x v="52"/>
          </reference>
          <reference field="2" count="1" selected="0">
            <x v="52"/>
          </reference>
          <reference field="4" count="1" selected="0">
            <x v="18"/>
          </reference>
          <reference field="5" count="1" selected="0">
            <x v="48"/>
          </reference>
          <reference field="7" count="1">
            <x v="6"/>
          </reference>
        </references>
      </pivotArea>
    </format>
    <format dxfId="433">
      <pivotArea dataOnly="0" labelOnly="1" outline="0" fieldPosition="0">
        <references count="5">
          <reference field="0" count="1" selected="0">
            <x v="53"/>
          </reference>
          <reference field="2" count="1" selected="0">
            <x v="53"/>
          </reference>
          <reference field="4" count="1" selected="0">
            <x v="38"/>
          </reference>
          <reference field="5" count="1" selected="0">
            <x v="56"/>
          </reference>
          <reference field="7" count="1">
            <x v="0"/>
          </reference>
        </references>
      </pivotArea>
    </format>
    <format dxfId="432">
      <pivotArea dataOnly="0" labelOnly="1" outline="0" fieldPosition="0">
        <references count="5">
          <reference field="0" count="1" selected="0">
            <x v="54"/>
          </reference>
          <reference field="2" count="1" selected="0">
            <x v="54"/>
          </reference>
          <reference field="4" count="1" selected="0">
            <x v="12"/>
          </reference>
          <reference field="5" count="1" selected="0">
            <x v="49"/>
          </reference>
          <reference field="7" count="1">
            <x v="21"/>
          </reference>
        </references>
      </pivotArea>
    </format>
    <format dxfId="431">
      <pivotArea dataOnly="0" labelOnly="1" outline="0" fieldPosition="0">
        <references count="5">
          <reference field="0" count="1" selected="0">
            <x v="55"/>
          </reference>
          <reference field="2" count="1" selected="0">
            <x v="55"/>
          </reference>
          <reference field="4" count="1" selected="0">
            <x v="46"/>
          </reference>
          <reference field="5" count="1" selected="0">
            <x v="50"/>
          </reference>
          <reference field="7" count="1">
            <x v="39"/>
          </reference>
        </references>
      </pivotArea>
    </format>
    <format dxfId="430">
      <pivotArea dataOnly="0" labelOnly="1" outline="0" fieldPosition="0">
        <references count="5">
          <reference field="0" count="1" selected="0">
            <x v="56"/>
          </reference>
          <reference field="2" count="1" selected="0">
            <x v="56"/>
          </reference>
          <reference field="4" count="1" selected="0">
            <x v="1"/>
          </reference>
          <reference field="5" count="1" selected="0">
            <x v="1"/>
          </reference>
          <reference field="7" count="1">
            <x v="12"/>
          </reference>
        </references>
      </pivotArea>
    </format>
    <format dxfId="429">
      <pivotArea dataOnly="0" labelOnly="1" outline="0" fieldPosition="0">
        <references count="5">
          <reference field="0" count="1" selected="0">
            <x v="57"/>
          </reference>
          <reference field="2" count="1" selected="0">
            <x v="57"/>
          </reference>
          <reference field="4" count="1" selected="0">
            <x v="2"/>
          </reference>
          <reference field="5" count="1" selected="0">
            <x v="2"/>
          </reference>
          <reference field="7" count="1">
            <x v="42"/>
          </reference>
        </references>
      </pivotArea>
    </format>
    <format dxfId="428">
      <pivotArea dataOnly="0" labelOnly="1" outline="0" fieldPosition="0">
        <references count="5">
          <reference field="0" count="1" selected="0">
            <x v="58"/>
          </reference>
          <reference field="2" count="1" selected="0">
            <x v="58"/>
          </reference>
          <reference field="4" count="1" selected="0">
            <x v="39"/>
          </reference>
          <reference field="5" count="1" selected="0">
            <x v="0"/>
          </reference>
          <reference field="7" count="1">
            <x v="40"/>
          </reference>
        </references>
      </pivotArea>
    </format>
    <format dxfId="427">
      <pivotArea dataOnly="0" labelOnly="1" outline="0" fieldPosition="0">
        <references count="5">
          <reference field="0" count="1" selected="0">
            <x v="59"/>
          </reference>
          <reference field="2" count="1" selected="0">
            <x v="59"/>
          </reference>
          <reference field="4" count="1" selected="0">
            <x v="48"/>
          </reference>
          <reference field="5" count="1" selected="0">
            <x v="51"/>
          </reference>
          <reference field="7" count="1">
            <x v="31"/>
          </reference>
        </references>
      </pivotArea>
    </format>
    <format dxfId="426">
      <pivotArea dataOnly="0" labelOnly="1" outline="0" fieldPosition="0">
        <references count="5">
          <reference field="0" count="1" selected="0">
            <x v="60"/>
          </reference>
          <reference field="2" count="1" selected="0">
            <x v="60"/>
          </reference>
          <reference field="4" count="1" selected="0">
            <x v="49"/>
          </reference>
          <reference field="5" count="1" selected="0">
            <x v="52"/>
          </reference>
          <reference field="7" count="1">
            <x v="10"/>
          </reference>
        </references>
      </pivotArea>
    </format>
    <format dxfId="425">
      <pivotArea dataOnly="0" labelOnly="1" outline="0" fieldPosition="0">
        <references count="5">
          <reference field="0" count="1" selected="0">
            <x v="61"/>
          </reference>
          <reference field="2" count="1" selected="0">
            <x v="61"/>
          </reference>
          <reference field="4" count="1" selected="0">
            <x v="34"/>
          </reference>
          <reference field="5" count="1" selected="0">
            <x v="53"/>
          </reference>
          <reference field="7" count="1">
            <x v="0"/>
          </reference>
        </references>
      </pivotArea>
    </format>
    <format dxfId="424">
      <pivotArea dataOnly="0" labelOnly="1" outline="0" fieldPosition="0">
        <references count="5">
          <reference field="0" count="1" selected="0">
            <x v="62"/>
          </reference>
          <reference field="2" count="1" selected="0">
            <x v="62"/>
          </reference>
          <reference field="4" count="1" selected="0">
            <x v="23"/>
          </reference>
          <reference field="5" count="1" selected="0">
            <x v="54"/>
          </reference>
          <reference field="7" count="1">
            <x v="44"/>
          </reference>
        </references>
      </pivotArea>
    </format>
    <format dxfId="423">
      <pivotArea dataOnly="0" labelOnly="1" outline="0" fieldPosition="0">
        <references count="5">
          <reference field="0" count="1" selected="0">
            <x v="63"/>
          </reference>
          <reference field="2" count="1" selected="0">
            <x v="63"/>
          </reference>
          <reference field="4" count="1" selected="0">
            <x v="36"/>
          </reference>
          <reference field="5" count="1" selected="0">
            <x v="55"/>
          </reference>
          <reference field="7" count="1">
            <x v="37"/>
          </reference>
        </references>
      </pivotArea>
    </format>
    <format dxfId="422">
      <pivotArea dataOnly="0" labelOnly="1" outline="0" fieldPosition="0">
        <references count="5">
          <reference field="0" count="1" selected="0">
            <x v="64"/>
          </reference>
          <reference field="2" count="1" selected="0">
            <x v="64"/>
          </reference>
          <reference field="4" count="1" selected="0">
            <x v="64"/>
          </reference>
          <reference field="5" count="1" selected="0">
            <x v="57"/>
          </reference>
          <reference field="7" count="1">
            <x v="56"/>
          </reference>
        </references>
      </pivotArea>
    </format>
    <format dxfId="421">
      <pivotArea dataOnly="0" labelOnly="1" outline="0" fieldPosition="0">
        <references count="6">
          <reference field="0" count="1" selected="0">
            <x v="0"/>
          </reference>
          <reference field="2" count="1" selected="0">
            <x v="0"/>
          </reference>
          <reference field="4" count="1" selected="0">
            <x v="0"/>
          </reference>
          <reference field="5" count="1" selected="0">
            <x v="0"/>
          </reference>
          <reference field="7" count="1" selected="0">
            <x v="0"/>
          </reference>
          <reference field="8" count="1">
            <x v="0"/>
          </reference>
        </references>
      </pivotArea>
    </format>
    <format dxfId="420">
      <pivotArea dataOnly="0" labelOnly="1" outline="0" fieldPosition="0">
        <references count="6">
          <reference field="0" count="1" selected="0">
            <x v="1"/>
          </reference>
          <reference field="2" count="1" selected="0">
            <x v="1"/>
          </reference>
          <reference field="4" count="1" selected="0">
            <x v="17"/>
          </reference>
          <reference field="5" count="1" selected="0">
            <x v="4"/>
          </reference>
          <reference field="7" count="1" selected="0">
            <x v="14"/>
          </reference>
          <reference field="8" count="1">
            <x v="17"/>
          </reference>
        </references>
      </pivotArea>
    </format>
    <format dxfId="419">
      <pivotArea dataOnly="0" labelOnly="1" outline="0" fieldPosition="0">
        <references count="6">
          <reference field="0" count="1" selected="0">
            <x v="2"/>
          </reference>
          <reference field="2" count="1" selected="0">
            <x v="2"/>
          </reference>
          <reference field="4" count="1" selected="0">
            <x v="51"/>
          </reference>
          <reference field="5" count="1" selected="0">
            <x v="6"/>
          </reference>
          <reference field="7" count="1" selected="0">
            <x v="26"/>
          </reference>
          <reference field="8" count="1">
            <x v="25"/>
          </reference>
        </references>
      </pivotArea>
    </format>
    <format dxfId="418">
      <pivotArea dataOnly="0" labelOnly="1" outline="0" fieldPosition="0">
        <references count="6">
          <reference field="0" count="1" selected="0">
            <x v="3"/>
          </reference>
          <reference field="2" count="1" selected="0">
            <x v="3"/>
          </reference>
          <reference field="4" count="1" selected="0">
            <x v="13"/>
          </reference>
          <reference field="5" count="1" selected="0">
            <x v="7"/>
          </reference>
          <reference field="7" count="1" selected="0">
            <x v="13"/>
          </reference>
          <reference field="8" count="1">
            <x v="7"/>
          </reference>
        </references>
      </pivotArea>
    </format>
    <format dxfId="417">
      <pivotArea dataOnly="0" labelOnly="1" outline="0" fieldPosition="0">
        <references count="6">
          <reference field="0" count="1" selected="0">
            <x v="4"/>
          </reference>
          <reference field="2" count="1" selected="0">
            <x v="4"/>
          </reference>
          <reference field="4" count="1" selected="0">
            <x v="11"/>
          </reference>
          <reference field="5" count="1" selected="0">
            <x v="34"/>
          </reference>
          <reference field="7" count="1" selected="0">
            <x v="9"/>
          </reference>
          <reference field="8" count="1">
            <x v="1"/>
          </reference>
        </references>
      </pivotArea>
    </format>
    <format dxfId="416">
      <pivotArea dataOnly="0" labelOnly="1" outline="0" fieldPosition="0">
        <references count="6">
          <reference field="0" count="1" selected="0">
            <x v="5"/>
          </reference>
          <reference field="2" count="1" selected="0">
            <x v="5"/>
          </reference>
          <reference field="4" count="1" selected="0">
            <x v="20"/>
          </reference>
          <reference field="5" count="1" selected="0">
            <x v="8"/>
          </reference>
          <reference field="7" count="1" selected="0">
            <x v="11"/>
          </reference>
          <reference field="8" count="1">
            <x v="3"/>
          </reference>
        </references>
      </pivotArea>
    </format>
    <format dxfId="415">
      <pivotArea dataOnly="0" labelOnly="1" outline="0" fieldPosition="0">
        <references count="6">
          <reference field="0" count="1" selected="0">
            <x v="6"/>
          </reference>
          <reference field="2" count="1" selected="0">
            <x v="6"/>
          </reference>
          <reference field="4" count="1" selected="0">
            <x v="60"/>
          </reference>
          <reference field="5" count="1" selected="0">
            <x v="9"/>
          </reference>
          <reference field="7" count="1" selected="0">
            <x v="27"/>
          </reference>
          <reference field="8" count="1">
            <x v="0"/>
          </reference>
        </references>
      </pivotArea>
    </format>
    <format dxfId="414">
      <pivotArea dataOnly="0" labelOnly="1" outline="0" fieldPosition="0">
        <references count="6">
          <reference field="0" count="1" selected="0">
            <x v="7"/>
          </reference>
          <reference field="2" count="1" selected="0">
            <x v="7"/>
          </reference>
          <reference field="4" count="1" selected="0">
            <x v="14"/>
          </reference>
          <reference field="5" count="1" selected="0">
            <x v="10"/>
          </reference>
          <reference field="7" count="1" selected="0">
            <x v="0"/>
          </reference>
          <reference field="8" count="1">
            <x v="21"/>
          </reference>
        </references>
      </pivotArea>
    </format>
    <format dxfId="413">
      <pivotArea dataOnly="0" labelOnly="1" outline="0" fieldPosition="0">
        <references count="6">
          <reference field="0" count="1" selected="0">
            <x v="8"/>
          </reference>
          <reference field="2" count="1" selected="0">
            <x v="8"/>
          </reference>
          <reference field="4" count="1" selected="0">
            <x v="37"/>
          </reference>
          <reference field="5" count="1" selected="0">
            <x v="12"/>
          </reference>
          <reference field="7" count="1" selected="0">
            <x v="35"/>
          </reference>
          <reference field="8" count="1">
            <x v="28"/>
          </reference>
        </references>
      </pivotArea>
    </format>
    <format dxfId="412">
      <pivotArea dataOnly="0" labelOnly="1" outline="0" fieldPosition="0">
        <references count="6">
          <reference field="0" count="1" selected="0">
            <x v="9"/>
          </reference>
          <reference field="2" count="1" selected="0">
            <x v="9"/>
          </reference>
          <reference field="4" count="1" selected="0">
            <x v="35"/>
          </reference>
          <reference field="5" count="1" selected="0">
            <x v="0"/>
          </reference>
          <reference field="7" count="1" selected="0">
            <x v="25"/>
          </reference>
          <reference field="8" count="1">
            <x v="0"/>
          </reference>
        </references>
      </pivotArea>
    </format>
    <format dxfId="411">
      <pivotArea dataOnly="0" labelOnly="1" outline="0" fieldPosition="0">
        <references count="6">
          <reference field="0" count="1" selected="0">
            <x v="10"/>
          </reference>
          <reference field="2" count="1" selected="0">
            <x v="10"/>
          </reference>
          <reference field="4" count="1" selected="0">
            <x v="55"/>
          </reference>
          <reference field="5" count="1" selected="0">
            <x v="13"/>
          </reference>
          <reference field="7" count="1" selected="0">
            <x v="4"/>
          </reference>
          <reference field="8" count="1">
            <x v="11"/>
          </reference>
        </references>
      </pivotArea>
    </format>
    <format dxfId="410">
      <pivotArea dataOnly="0" labelOnly="1" outline="0" fieldPosition="0">
        <references count="6">
          <reference field="0" count="1" selected="0">
            <x v="11"/>
          </reference>
          <reference field="2" count="1" selected="0">
            <x v="11"/>
          </reference>
          <reference field="4" count="1" selected="0">
            <x v="10"/>
          </reference>
          <reference field="5" count="1" selected="0">
            <x v="14"/>
          </reference>
          <reference field="7" count="1" selected="0">
            <x v="1"/>
          </reference>
          <reference field="8" count="1">
            <x v="6"/>
          </reference>
        </references>
      </pivotArea>
    </format>
    <format dxfId="409">
      <pivotArea dataOnly="0" labelOnly="1" outline="0" fieldPosition="0">
        <references count="6">
          <reference field="0" count="1" selected="0">
            <x v="12"/>
          </reference>
          <reference field="2" count="1" selected="0">
            <x v="12"/>
          </reference>
          <reference field="4" count="1" selected="0">
            <x v="63"/>
          </reference>
          <reference field="5" count="1" selected="0">
            <x v="15"/>
          </reference>
          <reference field="7" count="1" selected="0">
            <x v="5"/>
          </reference>
          <reference field="8" count="1">
            <x v="39"/>
          </reference>
        </references>
      </pivotArea>
    </format>
    <format dxfId="408">
      <pivotArea dataOnly="0" labelOnly="1" outline="0" fieldPosition="0">
        <references count="6">
          <reference field="0" count="1" selected="0">
            <x v="13"/>
          </reference>
          <reference field="2" count="1" selected="0">
            <x v="13"/>
          </reference>
          <reference field="4" count="1" selected="0">
            <x v="4"/>
          </reference>
          <reference field="5" count="1" selected="0">
            <x v="16"/>
          </reference>
          <reference field="7" count="1" selected="0">
            <x v="54"/>
          </reference>
          <reference field="8" count="1">
            <x v="40"/>
          </reference>
        </references>
      </pivotArea>
    </format>
    <format dxfId="407">
      <pivotArea dataOnly="0" labelOnly="1" outline="0" fieldPosition="0">
        <references count="6">
          <reference field="0" count="1" selected="0">
            <x v="14"/>
          </reference>
          <reference field="2" count="1" selected="0">
            <x v="14"/>
          </reference>
          <reference field="4" count="1" selected="0">
            <x v="21"/>
          </reference>
          <reference field="5" count="1" selected="0">
            <x v="0"/>
          </reference>
          <reference field="7" count="1" selected="0">
            <x v="17"/>
          </reference>
          <reference field="8" count="1">
            <x v="0"/>
          </reference>
        </references>
      </pivotArea>
    </format>
    <format dxfId="406">
      <pivotArea dataOnly="0" labelOnly="1" outline="0" fieldPosition="0">
        <references count="6">
          <reference field="0" count="1" selected="0">
            <x v="15"/>
          </reference>
          <reference field="2" count="1" selected="0">
            <x v="15"/>
          </reference>
          <reference field="4" count="1" selected="0">
            <x v="28"/>
          </reference>
          <reference field="5" count="1" selected="0">
            <x v="17"/>
          </reference>
          <reference field="7" count="1" selected="0">
            <x v="30"/>
          </reference>
          <reference field="8" count="1">
            <x v="2"/>
          </reference>
        </references>
      </pivotArea>
    </format>
    <format dxfId="405">
      <pivotArea dataOnly="0" labelOnly="1" outline="0" fieldPosition="0">
        <references count="6">
          <reference field="0" count="1" selected="0">
            <x v="16"/>
          </reference>
          <reference field="2" count="1" selected="0">
            <x v="16"/>
          </reference>
          <reference field="4" count="1" selected="0">
            <x v="57"/>
          </reference>
          <reference field="5" count="1" selected="0">
            <x v="18"/>
          </reference>
          <reference field="7" count="1" selected="0">
            <x v="33"/>
          </reference>
          <reference field="8" count="1">
            <x v="19"/>
          </reference>
        </references>
      </pivotArea>
    </format>
    <format dxfId="404">
      <pivotArea dataOnly="0" labelOnly="1" outline="0" fieldPosition="0">
        <references count="6">
          <reference field="0" count="1" selected="0">
            <x v="17"/>
          </reference>
          <reference field="2" count="1" selected="0">
            <x v="17"/>
          </reference>
          <reference field="4" count="1" selected="0">
            <x v="32"/>
          </reference>
          <reference field="5" count="1" selected="0">
            <x v="19"/>
          </reference>
          <reference field="7" count="1" selected="0">
            <x v="51"/>
          </reference>
          <reference field="8" count="1">
            <x v="4"/>
          </reference>
        </references>
      </pivotArea>
    </format>
    <format dxfId="403">
      <pivotArea dataOnly="0" labelOnly="1" outline="0" fieldPosition="0">
        <references count="6">
          <reference field="0" count="1" selected="0">
            <x v="18"/>
          </reference>
          <reference field="2" count="1" selected="0">
            <x v="18"/>
          </reference>
          <reference field="4" count="1" selected="0">
            <x v="54"/>
          </reference>
          <reference field="5" count="1" selected="0">
            <x v="20"/>
          </reference>
          <reference field="7" count="1" selected="0">
            <x v="29"/>
          </reference>
          <reference field="8" count="1">
            <x v="15"/>
          </reference>
        </references>
      </pivotArea>
    </format>
    <format dxfId="402">
      <pivotArea dataOnly="0" labelOnly="1" outline="0" fieldPosition="0">
        <references count="6">
          <reference field="0" count="1" selected="0">
            <x v="19"/>
          </reference>
          <reference field="2" count="1" selected="0">
            <x v="19"/>
          </reference>
          <reference field="4" count="1" selected="0">
            <x v="62"/>
          </reference>
          <reference field="5" count="1" selected="0">
            <x v="11"/>
          </reference>
          <reference field="7" count="1" selected="0">
            <x v="0"/>
          </reference>
          <reference field="8" count="1">
            <x v="5"/>
          </reference>
        </references>
      </pivotArea>
    </format>
    <format dxfId="401">
      <pivotArea dataOnly="0" labelOnly="1" outline="0" fieldPosition="0">
        <references count="6">
          <reference field="0" count="1" selected="0">
            <x v="20"/>
          </reference>
          <reference field="2" count="1" selected="0">
            <x v="20"/>
          </reference>
          <reference field="4" count="1" selected="0">
            <x v="59"/>
          </reference>
          <reference field="5" count="1" selected="0">
            <x v="21"/>
          </reference>
          <reference field="7" count="1" selected="0">
            <x v="15"/>
          </reference>
          <reference field="8" count="1">
            <x v="8"/>
          </reference>
        </references>
      </pivotArea>
    </format>
    <format dxfId="400">
      <pivotArea dataOnly="0" labelOnly="1" outline="0" fieldPosition="0">
        <references count="6">
          <reference field="0" count="1" selected="0">
            <x v="21"/>
          </reference>
          <reference field="2" count="1" selected="0">
            <x v="22"/>
          </reference>
          <reference field="4" count="1" selected="0">
            <x v="56"/>
          </reference>
          <reference field="5" count="1" selected="0">
            <x v="23"/>
          </reference>
          <reference field="7" count="1" selected="0">
            <x v="0"/>
          </reference>
          <reference field="8" count="1">
            <x v="38"/>
          </reference>
        </references>
      </pivotArea>
    </format>
    <format dxfId="399">
      <pivotArea dataOnly="0" labelOnly="1" outline="0" fieldPosition="0">
        <references count="6">
          <reference field="0" count="1" selected="0">
            <x v="22"/>
          </reference>
          <reference field="2" count="1" selected="0">
            <x v="23"/>
          </reference>
          <reference field="4" count="1" selected="0">
            <x v="15"/>
          </reference>
          <reference field="5" count="1" selected="0">
            <x v="25"/>
          </reference>
          <reference field="7" count="1" selected="0">
            <x v="52"/>
          </reference>
          <reference field="8" count="1">
            <x v="32"/>
          </reference>
        </references>
      </pivotArea>
    </format>
    <format dxfId="398">
      <pivotArea dataOnly="0" labelOnly="1" outline="0" fieldPosition="0">
        <references count="6">
          <reference field="0" count="1" selected="0">
            <x v="23"/>
          </reference>
          <reference field="2" count="1" selected="0">
            <x v="24"/>
          </reference>
          <reference field="4" count="1" selected="0">
            <x v="53"/>
          </reference>
          <reference field="5" count="1" selected="0">
            <x v="26"/>
          </reference>
          <reference field="7" count="1" selected="0">
            <x v="47"/>
          </reference>
          <reference field="8" count="1">
            <x v="10"/>
          </reference>
        </references>
      </pivotArea>
    </format>
    <format dxfId="397">
      <pivotArea dataOnly="0" labelOnly="1" outline="0" fieldPosition="0">
        <references count="6">
          <reference field="0" count="1" selected="0">
            <x v="24"/>
          </reference>
          <reference field="2" count="1" selected="0">
            <x v="26"/>
          </reference>
          <reference field="4" count="1" selected="0">
            <x v="52"/>
          </reference>
          <reference field="5" count="1" selected="0">
            <x v="27"/>
          </reference>
          <reference field="7" count="1" selected="0">
            <x v="20"/>
          </reference>
          <reference field="8" count="1">
            <x v="23"/>
          </reference>
        </references>
      </pivotArea>
    </format>
    <format dxfId="396">
      <pivotArea dataOnly="0" labelOnly="1" outline="0" fieldPosition="0">
        <references count="6">
          <reference field="0" count="1" selected="0">
            <x v="25"/>
          </reference>
          <reference field="2" count="1" selected="0">
            <x v="25"/>
          </reference>
          <reference field="4" count="1" selected="0">
            <x v="31"/>
          </reference>
          <reference field="5" count="1" selected="0">
            <x v="28"/>
          </reference>
          <reference field="7" count="1" selected="0">
            <x v="0"/>
          </reference>
          <reference field="8" count="1">
            <x v="33"/>
          </reference>
        </references>
      </pivotArea>
    </format>
    <format dxfId="395">
      <pivotArea dataOnly="0" labelOnly="1" outline="0" fieldPosition="0">
        <references count="6">
          <reference field="0" count="1" selected="0">
            <x v="26"/>
          </reference>
          <reference field="2" count="1" selected="0">
            <x v="28"/>
          </reference>
          <reference field="4" count="1" selected="0">
            <x v="7"/>
          </reference>
          <reference field="5" count="1" selected="0">
            <x v="5"/>
          </reference>
          <reference field="7" count="1" selected="0">
            <x v="24"/>
          </reference>
          <reference field="8" count="1">
            <x v="0"/>
          </reference>
        </references>
      </pivotArea>
    </format>
    <format dxfId="394">
      <pivotArea dataOnly="0" labelOnly="1" outline="0" fieldPosition="0">
        <references count="6">
          <reference field="0" count="1" selected="0">
            <x v="27"/>
          </reference>
          <reference field="2" count="1" selected="0">
            <x v="27"/>
          </reference>
          <reference field="4" count="1" selected="0">
            <x v="58"/>
          </reference>
          <reference field="5" count="1" selected="0">
            <x v="29"/>
          </reference>
          <reference field="7" count="1" selected="0">
            <x v="19"/>
          </reference>
          <reference field="8" count="1">
            <x v="2"/>
          </reference>
        </references>
      </pivotArea>
    </format>
    <format dxfId="393">
      <pivotArea dataOnly="0" labelOnly="1" outline="0" fieldPosition="0">
        <references count="6">
          <reference field="0" count="1" selected="0">
            <x v="28"/>
          </reference>
          <reference field="2" count="1" selected="0">
            <x v="29"/>
          </reference>
          <reference field="4" count="1" selected="0">
            <x v="40"/>
          </reference>
          <reference field="5" count="1" selected="0">
            <x v="30"/>
          </reference>
          <reference field="7" count="1" selected="0">
            <x v="34"/>
          </reference>
          <reference field="8" count="1">
            <x v="0"/>
          </reference>
        </references>
      </pivotArea>
    </format>
    <format dxfId="392">
      <pivotArea dataOnly="0" labelOnly="1" outline="0" fieldPosition="0">
        <references count="6">
          <reference field="0" count="1" selected="0">
            <x v="29"/>
          </reference>
          <reference field="2" count="1" selected="0">
            <x v="30"/>
          </reference>
          <reference field="4" count="1" selected="0">
            <x v="61"/>
          </reference>
          <reference field="5" count="1" selected="0">
            <x v="31"/>
          </reference>
          <reference field="7" count="1" selected="0">
            <x v="53"/>
          </reference>
          <reference field="8" count="1">
            <x v="0"/>
          </reference>
        </references>
      </pivotArea>
    </format>
    <format dxfId="391">
      <pivotArea dataOnly="0" labelOnly="1" outline="0" fieldPosition="0">
        <references count="6">
          <reference field="0" count="1" selected="0">
            <x v="30"/>
          </reference>
          <reference field="2" count="1" selected="0">
            <x v="31"/>
          </reference>
          <reference field="4" count="1" selected="0">
            <x v="27"/>
          </reference>
          <reference field="5" count="1" selected="0">
            <x v="31"/>
          </reference>
          <reference field="7" count="1" selected="0">
            <x v="3"/>
          </reference>
          <reference field="8" count="1">
            <x v="0"/>
          </reference>
        </references>
      </pivotArea>
    </format>
    <format dxfId="390">
      <pivotArea dataOnly="0" labelOnly="1" outline="0" fieldPosition="0">
        <references count="6">
          <reference field="0" count="1" selected="0">
            <x v="31"/>
          </reference>
          <reference field="2" count="1" selected="0">
            <x v="32"/>
          </reference>
          <reference field="4" count="1" selected="0">
            <x v="47"/>
          </reference>
          <reference field="5" count="1" selected="0">
            <x v="32"/>
          </reference>
          <reference field="7" count="1" selected="0">
            <x v="49"/>
          </reference>
          <reference field="8" count="1">
            <x v="0"/>
          </reference>
        </references>
      </pivotArea>
    </format>
    <format dxfId="389">
      <pivotArea dataOnly="0" labelOnly="1" outline="0" fieldPosition="0">
        <references count="6">
          <reference field="0" count="1" selected="0">
            <x v="32"/>
          </reference>
          <reference field="2" count="1" selected="0">
            <x v="33"/>
          </reference>
          <reference field="4" count="1" selected="0">
            <x v="50"/>
          </reference>
          <reference field="5" count="1" selected="0">
            <x v="0"/>
          </reference>
          <reference field="7" count="1" selected="0">
            <x v="16"/>
          </reference>
          <reference field="8" count="1">
            <x v="0"/>
          </reference>
        </references>
      </pivotArea>
    </format>
    <format dxfId="388">
      <pivotArea dataOnly="0" labelOnly="1" outline="0" fieldPosition="0">
        <references count="6">
          <reference field="0" count="1" selected="0">
            <x v="33"/>
          </reference>
          <reference field="2" count="1" selected="0">
            <x v="34"/>
          </reference>
          <reference field="4" count="1" selected="0">
            <x v="44"/>
          </reference>
          <reference field="5" count="1" selected="0">
            <x v="0"/>
          </reference>
          <reference field="7" count="1" selected="0">
            <x v="2"/>
          </reference>
          <reference field="8" count="1">
            <x v="0"/>
          </reference>
        </references>
      </pivotArea>
    </format>
    <format dxfId="387">
      <pivotArea dataOnly="0" labelOnly="1" outline="0" fieldPosition="0">
        <references count="6">
          <reference field="0" count="1" selected="0">
            <x v="34"/>
          </reference>
          <reference field="2" count="1" selected="0">
            <x v="35"/>
          </reference>
          <reference field="4" count="1" selected="0">
            <x v="5"/>
          </reference>
          <reference field="5" count="1" selected="0">
            <x v="33"/>
          </reference>
          <reference field="7" count="1" selected="0">
            <x v="0"/>
          </reference>
          <reference field="8" count="1">
            <x v="37"/>
          </reference>
        </references>
      </pivotArea>
    </format>
    <format dxfId="386">
      <pivotArea dataOnly="0" labelOnly="1" outline="0" fieldPosition="0">
        <references count="6">
          <reference field="0" count="1" selected="0">
            <x v="35"/>
          </reference>
          <reference field="2" count="1" selected="0">
            <x v="36"/>
          </reference>
          <reference field="4" count="1" selected="0">
            <x v="3"/>
          </reference>
          <reference field="5" count="1" selected="0">
            <x v="35"/>
          </reference>
          <reference field="7" count="1" selected="0">
            <x v="36"/>
          </reference>
          <reference field="8" count="1">
            <x v="34"/>
          </reference>
        </references>
      </pivotArea>
    </format>
    <format dxfId="385">
      <pivotArea dataOnly="0" labelOnly="1" outline="0" fieldPosition="0">
        <references count="6">
          <reference field="0" count="1" selected="0">
            <x v="36"/>
          </reference>
          <reference field="2" count="1" selected="0">
            <x v="37"/>
          </reference>
          <reference field="4" count="1" selected="0">
            <x v="42"/>
          </reference>
          <reference field="5" count="1" selected="0">
            <x v="0"/>
          </reference>
          <reference field="7" count="1" selected="0">
            <x v="41"/>
          </reference>
          <reference field="8" count="1">
            <x v="0"/>
          </reference>
        </references>
      </pivotArea>
    </format>
    <format dxfId="384">
      <pivotArea dataOnly="0" labelOnly="1" outline="0" fieldPosition="0">
        <references count="6">
          <reference field="0" count="1" selected="0">
            <x v="37"/>
          </reference>
          <reference field="2" count="1" selected="0">
            <x v="38"/>
          </reference>
          <reference field="4" count="1" selected="0">
            <x v="19"/>
          </reference>
          <reference field="5" count="1" selected="0">
            <x v="24"/>
          </reference>
          <reference field="7" count="1" selected="0">
            <x v="45"/>
          </reference>
          <reference field="8" count="1">
            <x v="20"/>
          </reference>
        </references>
      </pivotArea>
    </format>
    <format dxfId="383">
      <pivotArea dataOnly="0" labelOnly="1" outline="0" fieldPosition="0">
        <references count="6">
          <reference field="0" count="1" selected="0">
            <x v="38"/>
          </reference>
          <reference field="2" count="1" selected="0">
            <x v="39"/>
          </reference>
          <reference field="4" count="1" selected="0">
            <x v="43"/>
          </reference>
          <reference field="5" count="1" selected="0">
            <x v="36"/>
          </reference>
          <reference field="7" count="1" selected="0">
            <x v="18"/>
          </reference>
          <reference field="8" count="1">
            <x v="20"/>
          </reference>
        </references>
      </pivotArea>
    </format>
    <format dxfId="382">
      <pivotArea dataOnly="0" labelOnly="1" outline="0" fieldPosition="0">
        <references count="6">
          <reference field="0" count="1" selected="0">
            <x v="39"/>
          </reference>
          <reference field="2" count="1" selected="0">
            <x v="40"/>
          </reference>
          <reference field="4" count="1" selected="0">
            <x v="41"/>
          </reference>
          <reference field="5" count="1" selected="0">
            <x v="37"/>
          </reference>
          <reference field="7" count="1" selected="0">
            <x v="7"/>
          </reference>
          <reference field="8" count="1">
            <x v="0"/>
          </reference>
        </references>
      </pivotArea>
    </format>
    <format dxfId="381">
      <pivotArea dataOnly="0" labelOnly="1" outline="0" fieldPosition="0">
        <references count="6">
          <reference field="0" count="1" selected="0">
            <x v="40"/>
          </reference>
          <reference field="2" count="1" selected="0">
            <x v="41"/>
          </reference>
          <reference field="4" count="1" selected="0">
            <x v="6"/>
          </reference>
          <reference field="5" count="1" selected="0">
            <x v="38"/>
          </reference>
          <reference field="7" count="1" selected="0">
            <x v="46"/>
          </reference>
          <reference field="8" count="1">
            <x v="26"/>
          </reference>
        </references>
      </pivotArea>
    </format>
    <format dxfId="380">
      <pivotArea dataOnly="0" labelOnly="1" outline="0" fieldPosition="0">
        <references count="6">
          <reference field="0" count="1" selected="0">
            <x v="41"/>
          </reference>
          <reference field="2" count="1" selected="0">
            <x v="42"/>
          </reference>
          <reference field="4" count="1" selected="0">
            <x v="9"/>
          </reference>
          <reference field="5" count="1" selected="0">
            <x v="39"/>
          </reference>
          <reference field="7" count="1" selected="0">
            <x v="8"/>
          </reference>
          <reference field="8" count="1">
            <x v="12"/>
          </reference>
        </references>
      </pivotArea>
    </format>
    <format dxfId="379">
      <pivotArea dataOnly="0" labelOnly="1" outline="0" fieldPosition="0">
        <references count="6">
          <reference field="0" count="1" selected="0">
            <x v="42"/>
          </reference>
          <reference field="2" count="1" selected="0">
            <x v="43"/>
          </reference>
          <reference field="4" count="1" selected="0">
            <x v="8"/>
          </reference>
          <reference field="5" count="1" selected="0">
            <x v="40"/>
          </reference>
          <reference field="7" count="1" selected="0">
            <x v="55"/>
          </reference>
          <reference field="8" count="1">
            <x v="29"/>
          </reference>
        </references>
      </pivotArea>
    </format>
    <format dxfId="378">
      <pivotArea dataOnly="0" labelOnly="1" outline="0" fieldPosition="0">
        <references count="6">
          <reference field="0" count="1" selected="0">
            <x v="43"/>
          </reference>
          <reference field="2" count="1" selected="0">
            <x v="44"/>
          </reference>
          <reference field="4" count="1" selected="0">
            <x v="33"/>
          </reference>
          <reference field="5" count="1" selected="0">
            <x v="41"/>
          </reference>
          <reference field="7" count="1" selected="0">
            <x v="48"/>
          </reference>
          <reference field="8" count="1">
            <x v="9"/>
          </reference>
        </references>
      </pivotArea>
    </format>
    <format dxfId="377">
      <pivotArea dataOnly="0" labelOnly="1" outline="0" fieldPosition="0">
        <references count="6">
          <reference field="0" count="1" selected="0">
            <x v="44"/>
          </reference>
          <reference field="2" count="1" selected="0">
            <x v="45"/>
          </reference>
          <reference field="4" count="1" selected="0">
            <x v="26"/>
          </reference>
          <reference field="5" count="1" selected="0">
            <x v="3"/>
          </reference>
          <reference field="7" count="1" selected="0">
            <x v="32"/>
          </reference>
          <reference field="8" count="1">
            <x v="24"/>
          </reference>
        </references>
      </pivotArea>
    </format>
    <format dxfId="376">
      <pivotArea dataOnly="0" labelOnly="1" outline="0" fieldPosition="0">
        <references count="6">
          <reference field="0" count="1" selected="0">
            <x v="45"/>
          </reference>
          <reference field="2" count="1" selected="0">
            <x v="21"/>
          </reference>
          <reference field="4" count="1" selected="0">
            <x v="45"/>
          </reference>
          <reference field="5" count="1" selected="0">
            <x v="22"/>
          </reference>
          <reference field="7" count="1" selected="0">
            <x v="22"/>
          </reference>
          <reference field="8" count="1">
            <x v="0"/>
          </reference>
        </references>
      </pivotArea>
    </format>
    <format dxfId="375">
      <pivotArea dataOnly="0" labelOnly="1" outline="0" fieldPosition="0">
        <references count="6">
          <reference field="0" count="1" selected="0">
            <x v="46"/>
          </reference>
          <reference field="2" count="1" selected="0">
            <x v="50"/>
          </reference>
          <reference field="4" count="1" selected="0">
            <x v="25"/>
          </reference>
          <reference field="5" count="1" selected="0">
            <x v="46"/>
          </reference>
          <reference field="7" count="1" selected="0">
            <x v="23"/>
          </reference>
          <reference field="8" count="1">
            <x v="0"/>
          </reference>
        </references>
      </pivotArea>
    </format>
    <format dxfId="374">
      <pivotArea dataOnly="0" labelOnly="1" outline="0" fieldPosition="0">
        <references count="6">
          <reference field="0" count="1" selected="0">
            <x v="47"/>
          </reference>
          <reference field="2" count="1" selected="0">
            <x v="46"/>
          </reference>
          <reference field="4" count="1" selected="0">
            <x v="16"/>
          </reference>
          <reference field="5" count="1" selected="0">
            <x v="42"/>
          </reference>
          <reference field="7" count="1" selected="0">
            <x v="43"/>
          </reference>
          <reference field="8" count="1">
            <x v="31"/>
          </reference>
        </references>
      </pivotArea>
    </format>
    <format dxfId="373">
      <pivotArea dataOnly="0" labelOnly="1" outline="0" fieldPosition="0">
        <references count="6">
          <reference field="0" count="1" selected="0">
            <x v="48"/>
          </reference>
          <reference field="2" count="1" selected="0">
            <x v="47"/>
          </reference>
          <reference field="4" count="1" selected="0">
            <x v="29"/>
          </reference>
          <reference field="5" count="1" selected="0">
            <x v="43"/>
          </reference>
          <reference field="7" count="1" selected="0">
            <x v="28"/>
          </reference>
          <reference field="8" count="1">
            <x v="18"/>
          </reference>
        </references>
      </pivotArea>
    </format>
    <format dxfId="372">
      <pivotArea dataOnly="0" labelOnly="1" outline="0" fieldPosition="0">
        <references count="6">
          <reference field="0" count="1" selected="0">
            <x v="49"/>
          </reference>
          <reference field="2" count="1" selected="0">
            <x v="48"/>
          </reference>
          <reference field="4" count="1" selected="0">
            <x v="22"/>
          </reference>
          <reference field="5" count="1" selected="0">
            <x v="44"/>
          </reference>
          <reference field="7" count="1" selected="0">
            <x v="50"/>
          </reference>
          <reference field="8" count="1">
            <x v="0"/>
          </reference>
        </references>
      </pivotArea>
    </format>
    <format dxfId="371">
      <pivotArea dataOnly="0" labelOnly="1" outline="0" fieldPosition="0">
        <references count="6">
          <reference field="0" count="1" selected="0">
            <x v="50"/>
          </reference>
          <reference field="2" count="1" selected="0">
            <x v="49"/>
          </reference>
          <reference field="4" count="1" selected="0">
            <x v="24"/>
          </reference>
          <reference field="5" count="1" selected="0">
            <x v="45"/>
          </reference>
          <reference field="7" count="1" selected="0">
            <x v="0"/>
          </reference>
          <reference field="8" count="1">
            <x v="2"/>
          </reference>
        </references>
      </pivotArea>
    </format>
    <format dxfId="370">
      <pivotArea dataOnly="0" labelOnly="1" outline="0" fieldPosition="0">
        <references count="6">
          <reference field="0" count="1" selected="0">
            <x v="51"/>
          </reference>
          <reference field="2" count="1" selected="0">
            <x v="51"/>
          </reference>
          <reference field="4" count="1" selected="0">
            <x v="30"/>
          </reference>
          <reference field="5" count="1" selected="0">
            <x v="47"/>
          </reference>
          <reference field="7" count="1" selected="0">
            <x v="38"/>
          </reference>
          <reference field="8" count="1">
            <x v="16"/>
          </reference>
        </references>
      </pivotArea>
    </format>
    <format dxfId="369">
      <pivotArea dataOnly="0" labelOnly="1" outline="0" fieldPosition="0">
        <references count="6">
          <reference field="0" count="1" selected="0">
            <x v="52"/>
          </reference>
          <reference field="2" count="1" selected="0">
            <x v="52"/>
          </reference>
          <reference field="4" count="1" selected="0">
            <x v="18"/>
          </reference>
          <reference field="5" count="1" selected="0">
            <x v="48"/>
          </reference>
          <reference field="7" count="1" selected="0">
            <x v="6"/>
          </reference>
          <reference field="8" count="1">
            <x v="22"/>
          </reference>
        </references>
      </pivotArea>
    </format>
    <format dxfId="368">
      <pivotArea dataOnly="0" labelOnly="1" outline="0" fieldPosition="0">
        <references count="6">
          <reference field="0" count="1" selected="0">
            <x v="53"/>
          </reference>
          <reference field="2" count="1" selected="0">
            <x v="53"/>
          </reference>
          <reference field="4" count="1" selected="0">
            <x v="38"/>
          </reference>
          <reference field="5" count="1" selected="0">
            <x v="56"/>
          </reference>
          <reference field="7" count="1" selected="0">
            <x v="0"/>
          </reference>
          <reference field="8" count="1">
            <x v="14"/>
          </reference>
        </references>
      </pivotArea>
    </format>
    <format dxfId="367">
      <pivotArea dataOnly="0" labelOnly="1" outline="0" fieldPosition="0">
        <references count="6">
          <reference field="0" count="1" selected="0">
            <x v="54"/>
          </reference>
          <reference field="2" count="1" selected="0">
            <x v="54"/>
          </reference>
          <reference field="4" count="1" selected="0">
            <x v="12"/>
          </reference>
          <reference field="5" count="1" selected="0">
            <x v="49"/>
          </reference>
          <reference field="7" count="1" selected="0">
            <x v="21"/>
          </reference>
          <reference field="8" count="1">
            <x v="13"/>
          </reference>
        </references>
      </pivotArea>
    </format>
    <format dxfId="366">
      <pivotArea dataOnly="0" labelOnly="1" outline="0" fieldPosition="0">
        <references count="6">
          <reference field="0" count="1" selected="0">
            <x v="55"/>
          </reference>
          <reference field="2" count="1" selected="0">
            <x v="55"/>
          </reference>
          <reference field="4" count="1" selected="0">
            <x v="46"/>
          </reference>
          <reference field="5" count="1" selected="0">
            <x v="50"/>
          </reference>
          <reference field="7" count="1" selected="0">
            <x v="39"/>
          </reference>
          <reference field="8" count="1">
            <x v="35"/>
          </reference>
        </references>
      </pivotArea>
    </format>
    <format dxfId="365">
      <pivotArea dataOnly="0" labelOnly="1" outline="0" fieldPosition="0">
        <references count="6">
          <reference field="0" count="1" selected="0">
            <x v="56"/>
          </reference>
          <reference field="2" count="1" selected="0">
            <x v="56"/>
          </reference>
          <reference field="4" count="1" selected="0">
            <x v="1"/>
          </reference>
          <reference field="5" count="1" selected="0">
            <x v="1"/>
          </reference>
          <reference field="7" count="1" selected="0">
            <x v="12"/>
          </reference>
          <reference field="8" count="1">
            <x v="0"/>
          </reference>
        </references>
      </pivotArea>
    </format>
    <format dxfId="364">
      <pivotArea dataOnly="0" labelOnly="1" outline="0" fieldPosition="0">
        <references count="6">
          <reference field="0" count="1" selected="0">
            <x v="57"/>
          </reference>
          <reference field="2" count="1" selected="0">
            <x v="57"/>
          </reference>
          <reference field="4" count="1" selected="0">
            <x v="2"/>
          </reference>
          <reference field="5" count="1" selected="0">
            <x v="2"/>
          </reference>
          <reference field="7" count="1" selected="0">
            <x v="42"/>
          </reference>
          <reference field="8" count="1">
            <x v="2"/>
          </reference>
        </references>
      </pivotArea>
    </format>
    <format dxfId="363">
      <pivotArea dataOnly="0" labelOnly="1" outline="0" fieldPosition="0">
        <references count="6">
          <reference field="0" count="1" selected="0">
            <x v="58"/>
          </reference>
          <reference field="2" count="1" selected="0">
            <x v="58"/>
          </reference>
          <reference field="4" count="1" selected="0">
            <x v="39"/>
          </reference>
          <reference field="5" count="1" selected="0">
            <x v="0"/>
          </reference>
          <reference field="7" count="1" selected="0">
            <x v="40"/>
          </reference>
          <reference field="8" count="1">
            <x v="0"/>
          </reference>
        </references>
      </pivotArea>
    </format>
    <format dxfId="362">
      <pivotArea dataOnly="0" labelOnly="1" outline="0" fieldPosition="0">
        <references count="6">
          <reference field="0" count="1" selected="0">
            <x v="59"/>
          </reference>
          <reference field="2" count="1" selected="0">
            <x v="59"/>
          </reference>
          <reference field="4" count="1" selected="0">
            <x v="48"/>
          </reference>
          <reference field="5" count="1" selected="0">
            <x v="51"/>
          </reference>
          <reference field="7" count="1" selected="0">
            <x v="31"/>
          </reference>
          <reference field="8" count="1">
            <x v="2"/>
          </reference>
        </references>
      </pivotArea>
    </format>
    <format dxfId="361">
      <pivotArea dataOnly="0" labelOnly="1" outline="0" fieldPosition="0">
        <references count="6">
          <reference field="0" count="1" selected="0">
            <x v="60"/>
          </reference>
          <reference field="2" count="1" selected="0">
            <x v="60"/>
          </reference>
          <reference field="4" count="1" selected="0">
            <x v="49"/>
          </reference>
          <reference field="5" count="1" selected="0">
            <x v="52"/>
          </reference>
          <reference field="7" count="1" selected="0">
            <x v="10"/>
          </reference>
          <reference field="8" count="1">
            <x v="36"/>
          </reference>
        </references>
      </pivotArea>
    </format>
    <format dxfId="360">
      <pivotArea dataOnly="0" labelOnly="1" outline="0" fieldPosition="0">
        <references count="6">
          <reference field="0" count="1" selected="0">
            <x v="61"/>
          </reference>
          <reference field="2" count="1" selected="0">
            <x v="61"/>
          </reference>
          <reference field="4" count="1" selected="0">
            <x v="34"/>
          </reference>
          <reference field="5" count="1" selected="0">
            <x v="53"/>
          </reference>
          <reference field="7" count="1" selected="0">
            <x v="0"/>
          </reference>
          <reference field="8" count="1">
            <x v="0"/>
          </reference>
        </references>
      </pivotArea>
    </format>
    <format dxfId="359">
      <pivotArea dataOnly="0" labelOnly="1" outline="0" fieldPosition="0">
        <references count="6">
          <reference field="0" count="1" selected="0">
            <x v="62"/>
          </reference>
          <reference field="2" count="1" selected="0">
            <x v="62"/>
          </reference>
          <reference field="4" count="1" selected="0">
            <x v="23"/>
          </reference>
          <reference field="5" count="1" selected="0">
            <x v="54"/>
          </reference>
          <reference field="7" count="1" selected="0">
            <x v="44"/>
          </reference>
          <reference field="8" count="1">
            <x v="27"/>
          </reference>
        </references>
      </pivotArea>
    </format>
    <format dxfId="358">
      <pivotArea dataOnly="0" labelOnly="1" outline="0" fieldPosition="0">
        <references count="6">
          <reference field="0" count="1" selected="0">
            <x v="63"/>
          </reference>
          <reference field="2" count="1" selected="0">
            <x v="63"/>
          </reference>
          <reference field="4" count="1" selected="0">
            <x v="36"/>
          </reference>
          <reference field="5" count="1" selected="0">
            <x v="55"/>
          </reference>
          <reference field="7" count="1" selected="0">
            <x v="37"/>
          </reference>
          <reference field="8" count="1">
            <x v="30"/>
          </reference>
        </references>
      </pivotArea>
    </format>
    <format dxfId="357">
      <pivotArea dataOnly="0" labelOnly="1" outline="0" fieldPosition="0">
        <references count="6">
          <reference field="0" count="1" selected="0">
            <x v="64"/>
          </reference>
          <reference field="2" count="1" selected="0">
            <x v="64"/>
          </reference>
          <reference field="4" count="1" selected="0">
            <x v="64"/>
          </reference>
          <reference field="5" count="1" selected="0">
            <x v="57"/>
          </reference>
          <reference field="7" count="1" selected="0">
            <x v="56"/>
          </reference>
          <reference field="8" count="1">
            <x v="41"/>
          </reference>
        </references>
      </pivotArea>
    </format>
    <format dxfId="356">
      <pivotArea dataOnly="0" labelOnly="1" grandCol="1" outline="0" fieldPosition="0"/>
    </format>
    <format dxfId="355">
      <pivotArea type="all" dataOnly="0" outline="0" fieldPosition="0"/>
    </format>
    <format dxfId="354">
      <pivotArea outline="0" collapsedLevelsAreSubtotals="1" fieldPosition="0"/>
    </format>
    <format dxfId="353">
      <pivotArea type="origin" dataOnly="0" labelOnly="1" outline="0" fieldPosition="0"/>
    </format>
    <format dxfId="352">
      <pivotArea field="19" type="button" dataOnly="0" labelOnly="1" outline="0"/>
    </format>
    <format dxfId="351">
      <pivotArea type="topRight" dataOnly="0" labelOnly="1" outline="0" fieldPosition="0"/>
    </format>
    <format dxfId="350">
      <pivotArea field="0" type="button" dataOnly="0" labelOnly="1" outline="0" axis="axisRow" fieldPosition="0"/>
    </format>
    <format dxfId="349">
      <pivotArea field="2" type="button" dataOnly="0" labelOnly="1" outline="0" axis="axisRow" fieldPosition="1"/>
    </format>
    <format dxfId="348">
      <pivotArea field="4" type="button" dataOnly="0" labelOnly="1" outline="0" axis="axisRow" fieldPosition="2"/>
    </format>
    <format dxfId="347">
      <pivotArea field="5" type="button" dataOnly="0" labelOnly="1" outline="0" axis="axisRow" fieldPosition="3"/>
    </format>
    <format dxfId="346">
      <pivotArea field="7" type="button" dataOnly="0" labelOnly="1" outline="0" axis="axisRow" fieldPosition="4"/>
    </format>
    <format dxfId="345">
      <pivotArea field="8" type="button" dataOnly="0" labelOnly="1" outline="0" axis="axisRow" fieldPosition="5"/>
    </format>
    <format dxfId="344">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3">
      <pivotArea dataOnly="0" labelOnly="1" outline="0" fieldPosition="0">
        <references count="1">
          <reference field="0" count="15">
            <x v="50"/>
            <x v="51"/>
            <x v="52"/>
            <x v="53"/>
            <x v="54"/>
            <x v="55"/>
            <x v="56"/>
            <x v="57"/>
            <x v="58"/>
            <x v="59"/>
            <x v="60"/>
            <x v="61"/>
            <x v="62"/>
            <x v="63"/>
            <x v="64"/>
          </reference>
        </references>
      </pivotArea>
    </format>
    <format dxfId="342">
      <pivotArea dataOnly="0" labelOnly="1" grandRow="1" outline="0" fieldPosition="0"/>
    </format>
    <format dxfId="341">
      <pivotArea dataOnly="0" labelOnly="1" outline="0" fieldPosition="0">
        <references count="2">
          <reference field="0" count="1" selected="0">
            <x v="0"/>
          </reference>
          <reference field="2" count="1">
            <x v="0"/>
          </reference>
        </references>
      </pivotArea>
    </format>
    <format dxfId="340">
      <pivotArea dataOnly="0" labelOnly="1" outline="0" fieldPosition="0">
        <references count="2">
          <reference field="0" count="1" selected="0">
            <x v="1"/>
          </reference>
          <reference field="2" count="1">
            <x v="1"/>
          </reference>
        </references>
      </pivotArea>
    </format>
    <format dxfId="339">
      <pivotArea dataOnly="0" labelOnly="1" outline="0" fieldPosition="0">
        <references count="2">
          <reference field="0" count="1" selected="0">
            <x v="2"/>
          </reference>
          <reference field="2" count="1">
            <x v="2"/>
          </reference>
        </references>
      </pivotArea>
    </format>
    <format dxfId="338">
      <pivotArea dataOnly="0" labelOnly="1" outline="0" fieldPosition="0">
        <references count="2">
          <reference field="0" count="1" selected="0">
            <x v="3"/>
          </reference>
          <reference field="2" count="1">
            <x v="3"/>
          </reference>
        </references>
      </pivotArea>
    </format>
    <format dxfId="337">
      <pivotArea dataOnly="0" labelOnly="1" outline="0" fieldPosition="0">
        <references count="2">
          <reference field="0" count="1" selected="0">
            <x v="4"/>
          </reference>
          <reference field="2" count="1">
            <x v="4"/>
          </reference>
        </references>
      </pivotArea>
    </format>
    <format dxfId="336">
      <pivotArea dataOnly="0" labelOnly="1" outline="0" fieldPosition="0">
        <references count="2">
          <reference field="0" count="1" selected="0">
            <x v="5"/>
          </reference>
          <reference field="2" count="1">
            <x v="5"/>
          </reference>
        </references>
      </pivotArea>
    </format>
    <format dxfId="335">
      <pivotArea dataOnly="0" labelOnly="1" outline="0" fieldPosition="0">
        <references count="2">
          <reference field="0" count="1" selected="0">
            <x v="6"/>
          </reference>
          <reference field="2" count="1">
            <x v="6"/>
          </reference>
        </references>
      </pivotArea>
    </format>
    <format dxfId="334">
      <pivotArea dataOnly="0" labelOnly="1" outline="0" fieldPosition="0">
        <references count="2">
          <reference field="0" count="1" selected="0">
            <x v="7"/>
          </reference>
          <reference field="2" count="1">
            <x v="7"/>
          </reference>
        </references>
      </pivotArea>
    </format>
    <format dxfId="333">
      <pivotArea dataOnly="0" labelOnly="1" outline="0" fieldPosition="0">
        <references count="2">
          <reference field="0" count="1" selected="0">
            <x v="8"/>
          </reference>
          <reference field="2" count="1">
            <x v="8"/>
          </reference>
        </references>
      </pivotArea>
    </format>
    <format dxfId="332">
      <pivotArea dataOnly="0" labelOnly="1" outline="0" fieldPosition="0">
        <references count="2">
          <reference field="0" count="1" selected="0">
            <x v="9"/>
          </reference>
          <reference field="2" count="1">
            <x v="9"/>
          </reference>
        </references>
      </pivotArea>
    </format>
    <format dxfId="331">
      <pivotArea dataOnly="0" labelOnly="1" outline="0" fieldPosition="0">
        <references count="2">
          <reference field="0" count="1" selected="0">
            <x v="10"/>
          </reference>
          <reference field="2" count="1">
            <x v="10"/>
          </reference>
        </references>
      </pivotArea>
    </format>
    <format dxfId="330">
      <pivotArea dataOnly="0" labelOnly="1" outline="0" fieldPosition="0">
        <references count="2">
          <reference field="0" count="1" selected="0">
            <x v="11"/>
          </reference>
          <reference field="2" count="1">
            <x v="11"/>
          </reference>
        </references>
      </pivotArea>
    </format>
    <format dxfId="329">
      <pivotArea dataOnly="0" labelOnly="1" outline="0" fieldPosition="0">
        <references count="2">
          <reference field="0" count="1" selected="0">
            <x v="12"/>
          </reference>
          <reference field="2" count="1">
            <x v="12"/>
          </reference>
        </references>
      </pivotArea>
    </format>
    <format dxfId="328">
      <pivotArea dataOnly="0" labelOnly="1" outline="0" fieldPosition="0">
        <references count="2">
          <reference field="0" count="1" selected="0">
            <x v="13"/>
          </reference>
          <reference field="2" count="1">
            <x v="13"/>
          </reference>
        </references>
      </pivotArea>
    </format>
    <format dxfId="327">
      <pivotArea dataOnly="0" labelOnly="1" outline="0" fieldPosition="0">
        <references count="2">
          <reference field="0" count="1" selected="0">
            <x v="14"/>
          </reference>
          <reference field="2" count="1">
            <x v="14"/>
          </reference>
        </references>
      </pivotArea>
    </format>
    <format dxfId="326">
      <pivotArea dataOnly="0" labelOnly="1" outline="0" fieldPosition="0">
        <references count="2">
          <reference field="0" count="1" selected="0">
            <x v="15"/>
          </reference>
          <reference field="2" count="1">
            <x v="15"/>
          </reference>
        </references>
      </pivotArea>
    </format>
    <format dxfId="325">
      <pivotArea dataOnly="0" labelOnly="1" outline="0" fieldPosition="0">
        <references count="2">
          <reference field="0" count="1" selected="0">
            <x v="16"/>
          </reference>
          <reference field="2" count="1">
            <x v="16"/>
          </reference>
        </references>
      </pivotArea>
    </format>
    <format dxfId="324">
      <pivotArea dataOnly="0" labelOnly="1" outline="0" fieldPosition="0">
        <references count="2">
          <reference field="0" count="1" selected="0">
            <x v="17"/>
          </reference>
          <reference field="2" count="1">
            <x v="17"/>
          </reference>
        </references>
      </pivotArea>
    </format>
    <format dxfId="323">
      <pivotArea dataOnly="0" labelOnly="1" outline="0" fieldPosition="0">
        <references count="2">
          <reference field="0" count="1" selected="0">
            <x v="18"/>
          </reference>
          <reference field="2" count="1">
            <x v="18"/>
          </reference>
        </references>
      </pivotArea>
    </format>
    <format dxfId="322">
      <pivotArea dataOnly="0" labelOnly="1" outline="0" fieldPosition="0">
        <references count="2">
          <reference field="0" count="1" selected="0">
            <x v="19"/>
          </reference>
          <reference field="2" count="1">
            <x v="19"/>
          </reference>
        </references>
      </pivotArea>
    </format>
    <format dxfId="321">
      <pivotArea dataOnly="0" labelOnly="1" outline="0" fieldPosition="0">
        <references count="2">
          <reference field="0" count="1" selected="0">
            <x v="20"/>
          </reference>
          <reference field="2" count="1">
            <x v="20"/>
          </reference>
        </references>
      </pivotArea>
    </format>
    <format dxfId="320">
      <pivotArea dataOnly="0" labelOnly="1" outline="0" fieldPosition="0">
        <references count="2">
          <reference field="0" count="1" selected="0">
            <x v="21"/>
          </reference>
          <reference field="2" count="1">
            <x v="22"/>
          </reference>
        </references>
      </pivotArea>
    </format>
    <format dxfId="319">
      <pivotArea dataOnly="0" labelOnly="1" outline="0" fieldPosition="0">
        <references count="2">
          <reference field="0" count="1" selected="0">
            <x v="22"/>
          </reference>
          <reference field="2" count="1">
            <x v="23"/>
          </reference>
        </references>
      </pivotArea>
    </format>
    <format dxfId="318">
      <pivotArea dataOnly="0" labelOnly="1" outline="0" fieldPosition="0">
        <references count="2">
          <reference field="0" count="1" selected="0">
            <x v="23"/>
          </reference>
          <reference field="2" count="1">
            <x v="24"/>
          </reference>
        </references>
      </pivotArea>
    </format>
    <format dxfId="317">
      <pivotArea dataOnly="0" labelOnly="1" outline="0" fieldPosition="0">
        <references count="2">
          <reference field="0" count="1" selected="0">
            <x v="24"/>
          </reference>
          <reference field="2" count="1">
            <x v="26"/>
          </reference>
        </references>
      </pivotArea>
    </format>
    <format dxfId="316">
      <pivotArea dataOnly="0" labelOnly="1" outline="0" fieldPosition="0">
        <references count="2">
          <reference field="0" count="1" selected="0">
            <x v="25"/>
          </reference>
          <reference field="2" count="1">
            <x v="25"/>
          </reference>
        </references>
      </pivotArea>
    </format>
    <format dxfId="315">
      <pivotArea dataOnly="0" labelOnly="1" outline="0" fieldPosition="0">
        <references count="2">
          <reference field="0" count="1" selected="0">
            <x v="26"/>
          </reference>
          <reference field="2" count="1">
            <x v="28"/>
          </reference>
        </references>
      </pivotArea>
    </format>
    <format dxfId="314">
      <pivotArea dataOnly="0" labelOnly="1" outline="0" fieldPosition="0">
        <references count="2">
          <reference field="0" count="1" selected="0">
            <x v="27"/>
          </reference>
          <reference field="2" count="1">
            <x v="27"/>
          </reference>
        </references>
      </pivotArea>
    </format>
    <format dxfId="313">
      <pivotArea dataOnly="0" labelOnly="1" outline="0" fieldPosition="0">
        <references count="2">
          <reference field="0" count="1" selected="0">
            <x v="28"/>
          </reference>
          <reference field="2" count="1">
            <x v="29"/>
          </reference>
        </references>
      </pivotArea>
    </format>
    <format dxfId="312">
      <pivotArea dataOnly="0" labelOnly="1" outline="0" fieldPosition="0">
        <references count="2">
          <reference field="0" count="1" selected="0">
            <x v="29"/>
          </reference>
          <reference field="2" count="1">
            <x v="30"/>
          </reference>
        </references>
      </pivotArea>
    </format>
    <format dxfId="311">
      <pivotArea dataOnly="0" labelOnly="1" outline="0" fieldPosition="0">
        <references count="2">
          <reference field="0" count="1" selected="0">
            <x v="30"/>
          </reference>
          <reference field="2" count="1">
            <x v="31"/>
          </reference>
        </references>
      </pivotArea>
    </format>
    <format dxfId="310">
      <pivotArea dataOnly="0" labelOnly="1" outline="0" fieldPosition="0">
        <references count="2">
          <reference field="0" count="1" selected="0">
            <x v="31"/>
          </reference>
          <reference field="2" count="1">
            <x v="32"/>
          </reference>
        </references>
      </pivotArea>
    </format>
    <format dxfId="309">
      <pivotArea dataOnly="0" labelOnly="1" outline="0" fieldPosition="0">
        <references count="2">
          <reference field="0" count="1" selected="0">
            <x v="32"/>
          </reference>
          <reference field="2" count="1">
            <x v="33"/>
          </reference>
        </references>
      </pivotArea>
    </format>
    <format dxfId="308">
      <pivotArea dataOnly="0" labelOnly="1" outline="0" fieldPosition="0">
        <references count="2">
          <reference field="0" count="1" selected="0">
            <x v="33"/>
          </reference>
          <reference field="2" count="1">
            <x v="34"/>
          </reference>
        </references>
      </pivotArea>
    </format>
    <format dxfId="307">
      <pivotArea dataOnly="0" labelOnly="1" outline="0" fieldPosition="0">
        <references count="2">
          <reference field="0" count="1" selected="0">
            <x v="34"/>
          </reference>
          <reference field="2" count="1">
            <x v="35"/>
          </reference>
        </references>
      </pivotArea>
    </format>
    <format dxfId="306">
      <pivotArea dataOnly="0" labelOnly="1" outline="0" fieldPosition="0">
        <references count="2">
          <reference field="0" count="1" selected="0">
            <x v="35"/>
          </reference>
          <reference field="2" count="1">
            <x v="36"/>
          </reference>
        </references>
      </pivotArea>
    </format>
    <format dxfId="305">
      <pivotArea dataOnly="0" labelOnly="1" outline="0" fieldPosition="0">
        <references count="2">
          <reference field="0" count="1" selected="0">
            <x v="36"/>
          </reference>
          <reference field="2" count="1">
            <x v="37"/>
          </reference>
        </references>
      </pivotArea>
    </format>
    <format dxfId="304">
      <pivotArea dataOnly="0" labelOnly="1" outline="0" fieldPosition="0">
        <references count="2">
          <reference field="0" count="1" selected="0">
            <x v="37"/>
          </reference>
          <reference field="2" count="1">
            <x v="38"/>
          </reference>
        </references>
      </pivotArea>
    </format>
    <format dxfId="303">
      <pivotArea dataOnly="0" labelOnly="1" outline="0" fieldPosition="0">
        <references count="2">
          <reference field="0" count="1" selected="0">
            <x v="38"/>
          </reference>
          <reference field="2" count="1">
            <x v="39"/>
          </reference>
        </references>
      </pivotArea>
    </format>
    <format dxfId="302">
      <pivotArea dataOnly="0" labelOnly="1" outline="0" fieldPosition="0">
        <references count="2">
          <reference field="0" count="1" selected="0">
            <x v="39"/>
          </reference>
          <reference field="2" count="1">
            <x v="40"/>
          </reference>
        </references>
      </pivotArea>
    </format>
    <format dxfId="301">
      <pivotArea dataOnly="0" labelOnly="1" outline="0" fieldPosition="0">
        <references count="2">
          <reference field="0" count="1" selected="0">
            <x v="40"/>
          </reference>
          <reference field="2" count="1">
            <x v="41"/>
          </reference>
        </references>
      </pivotArea>
    </format>
    <format dxfId="300">
      <pivotArea dataOnly="0" labelOnly="1" outline="0" fieldPosition="0">
        <references count="2">
          <reference field="0" count="1" selected="0">
            <x v="41"/>
          </reference>
          <reference field="2" count="1">
            <x v="42"/>
          </reference>
        </references>
      </pivotArea>
    </format>
    <format dxfId="299">
      <pivotArea dataOnly="0" labelOnly="1" outline="0" fieldPosition="0">
        <references count="2">
          <reference field="0" count="1" selected="0">
            <x v="42"/>
          </reference>
          <reference field="2" count="1">
            <x v="43"/>
          </reference>
        </references>
      </pivotArea>
    </format>
    <format dxfId="298">
      <pivotArea dataOnly="0" labelOnly="1" outline="0" fieldPosition="0">
        <references count="2">
          <reference field="0" count="1" selected="0">
            <x v="43"/>
          </reference>
          <reference field="2" count="1">
            <x v="44"/>
          </reference>
        </references>
      </pivotArea>
    </format>
    <format dxfId="297">
      <pivotArea dataOnly="0" labelOnly="1" outline="0" fieldPosition="0">
        <references count="2">
          <reference field="0" count="1" selected="0">
            <x v="44"/>
          </reference>
          <reference field="2" count="1">
            <x v="45"/>
          </reference>
        </references>
      </pivotArea>
    </format>
    <format dxfId="296">
      <pivotArea dataOnly="0" labelOnly="1" outline="0" fieldPosition="0">
        <references count="2">
          <reference field="0" count="1" selected="0">
            <x v="45"/>
          </reference>
          <reference field="2" count="1">
            <x v="21"/>
          </reference>
        </references>
      </pivotArea>
    </format>
    <format dxfId="295">
      <pivotArea dataOnly="0" labelOnly="1" outline="0" fieldPosition="0">
        <references count="2">
          <reference field="0" count="1" selected="0">
            <x v="46"/>
          </reference>
          <reference field="2" count="1">
            <x v="50"/>
          </reference>
        </references>
      </pivotArea>
    </format>
    <format dxfId="294">
      <pivotArea dataOnly="0" labelOnly="1" outline="0" fieldPosition="0">
        <references count="2">
          <reference field="0" count="1" selected="0">
            <x v="47"/>
          </reference>
          <reference field="2" count="1">
            <x v="46"/>
          </reference>
        </references>
      </pivotArea>
    </format>
    <format dxfId="293">
      <pivotArea dataOnly="0" labelOnly="1" outline="0" fieldPosition="0">
        <references count="2">
          <reference field="0" count="1" selected="0">
            <x v="48"/>
          </reference>
          <reference field="2" count="1">
            <x v="47"/>
          </reference>
        </references>
      </pivotArea>
    </format>
    <format dxfId="292">
      <pivotArea dataOnly="0" labelOnly="1" outline="0" fieldPosition="0">
        <references count="2">
          <reference field="0" count="1" selected="0">
            <x v="49"/>
          </reference>
          <reference field="2" count="1">
            <x v="48"/>
          </reference>
        </references>
      </pivotArea>
    </format>
    <format dxfId="291">
      <pivotArea dataOnly="0" labelOnly="1" outline="0" fieldPosition="0">
        <references count="2">
          <reference field="0" count="1" selected="0">
            <x v="50"/>
          </reference>
          <reference field="2" count="1">
            <x v="49"/>
          </reference>
        </references>
      </pivotArea>
    </format>
    <format dxfId="290">
      <pivotArea dataOnly="0" labelOnly="1" outline="0" fieldPosition="0">
        <references count="2">
          <reference field="0" count="1" selected="0">
            <x v="51"/>
          </reference>
          <reference field="2" count="1">
            <x v="51"/>
          </reference>
        </references>
      </pivotArea>
    </format>
    <format dxfId="289">
      <pivotArea dataOnly="0" labelOnly="1" outline="0" fieldPosition="0">
        <references count="2">
          <reference field="0" count="1" selected="0">
            <x v="52"/>
          </reference>
          <reference field="2" count="1">
            <x v="52"/>
          </reference>
        </references>
      </pivotArea>
    </format>
    <format dxfId="288">
      <pivotArea dataOnly="0" labelOnly="1" outline="0" fieldPosition="0">
        <references count="2">
          <reference field="0" count="1" selected="0">
            <x v="53"/>
          </reference>
          <reference field="2" count="1">
            <x v="53"/>
          </reference>
        </references>
      </pivotArea>
    </format>
    <format dxfId="287">
      <pivotArea dataOnly="0" labelOnly="1" outline="0" fieldPosition="0">
        <references count="2">
          <reference field="0" count="1" selected="0">
            <x v="54"/>
          </reference>
          <reference field="2" count="1">
            <x v="54"/>
          </reference>
        </references>
      </pivotArea>
    </format>
    <format dxfId="286">
      <pivotArea dataOnly="0" labelOnly="1" outline="0" fieldPosition="0">
        <references count="2">
          <reference field="0" count="1" selected="0">
            <x v="55"/>
          </reference>
          <reference field="2" count="1">
            <x v="55"/>
          </reference>
        </references>
      </pivotArea>
    </format>
    <format dxfId="285">
      <pivotArea dataOnly="0" labelOnly="1" outline="0" fieldPosition="0">
        <references count="2">
          <reference field="0" count="1" selected="0">
            <x v="56"/>
          </reference>
          <reference field="2" count="1">
            <x v="56"/>
          </reference>
        </references>
      </pivotArea>
    </format>
    <format dxfId="284">
      <pivotArea dataOnly="0" labelOnly="1" outline="0" fieldPosition="0">
        <references count="2">
          <reference field="0" count="1" selected="0">
            <x v="57"/>
          </reference>
          <reference field="2" count="1">
            <x v="57"/>
          </reference>
        </references>
      </pivotArea>
    </format>
    <format dxfId="283">
      <pivotArea dataOnly="0" labelOnly="1" outline="0" fieldPosition="0">
        <references count="2">
          <reference field="0" count="1" selected="0">
            <x v="58"/>
          </reference>
          <reference field="2" count="1">
            <x v="58"/>
          </reference>
        </references>
      </pivotArea>
    </format>
    <format dxfId="282">
      <pivotArea dataOnly="0" labelOnly="1" outline="0" fieldPosition="0">
        <references count="2">
          <reference field="0" count="1" selected="0">
            <x v="59"/>
          </reference>
          <reference field="2" count="1">
            <x v="59"/>
          </reference>
        </references>
      </pivotArea>
    </format>
    <format dxfId="281">
      <pivotArea dataOnly="0" labelOnly="1" outline="0" fieldPosition="0">
        <references count="2">
          <reference field="0" count="1" selected="0">
            <x v="60"/>
          </reference>
          <reference field="2" count="1">
            <x v="60"/>
          </reference>
        </references>
      </pivotArea>
    </format>
    <format dxfId="280">
      <pivotArea dataOnly="0" labelOnly="1" outline="0" fieldPosition="0">
        <references count="2">
          <reference field="0" count="1" selected="0">
            <x v="61"/>
          </reference>
          <reference field="2" count="1">
            <x v="61"/>
          </reference>
        </references>
      </pivotArea>
    </format>
    <format dxfId="279">
      <pivotArea dataOnly="0" labelOnly="1" outline="0" fieldPosition="0">
        <references count="2">
          <reference field="0" count="1" selected="0">
            <x v="62"/>
          </reference>
          <reference field="2" count="1">
            <x v="62"/>
          </reference>
        </references>
      </pivotArea>
    </format>
    <format dxfId="278">
      <pivotArea dataOnly="0" labelOnly="1" outline="0" fieldPosition="0">
        <references count="2">
          <reference field="0" count="1" selected="0">
            <x v="63"/>
          </reference>
          <reference field="2" count="1">
            <x v="63"/>
          </reference>
        </references>
      </pivotArea>
    </format>
    <format dxfId="277">
      <pivotArea dataOnly="0" labelOnly="1" outline="0" fieldPosition="0">
        <references count="2">
          <reference field="0" count="1" selected="0">
            <x v="64"/>
          </reference>
          <reference field="2" count="1">
            <x v="64"/>
          </reference>
        </references>
      </pivotArea>
    </format>
    <format dxfId="276">
      <pivotArea dataOnly="0" labelOnly="1" outline="0" fieldPosition="0">
        <references count="3">
          <reference field="0" count="1" selected="0">
            <x v="0"/>
          </reference>
          <reference field="2" count="1" selected="0">
            <x v="0"/>
          </reference>
          <reference field="4" count="1">
            <x v="0"/>
          </reference>
        </references>
      </pivotArea>
    </format>
    <format dxfId="275">
      <pivotArea dataOnly="0" labelOnly="1" outline="0" fieldPosition="0">
        <references count="3">
          <reference field="0" count="1" selected="0">
            <x v="1"/>
          </reference>
          <reference field="2" count="1" selected="0">
            <x v="1"/>
          </reference>
          <reference field="4" count="1">
            <x v="17"/>
          </reference>
        </references>
      </pivotArea>
    </format>
    <format dxfId="274">
      <pivotArea dataOnly="0" labelOnly="1" outline="0" fieldPosition="0">
        <references count="3">
          <reference field="0" count="1" selected="0">
            <x v="2"/>
          </reference>
          <reference field="2" count="1" selected="0">
            <x v="2"/>
          </reference>
          <reference field="4" count="1">
            <x v="51"/>
          </reference>
        </references>
      </pivotArea>
    </format>
    <format dxfId="273">
      <pivotArea dataOnly="0" labelOnly="1" outline="0" fieldPosition="0">
        <references count="3">
          <reference field="0" count="1" selected="0">
            <x v="3"/>
          </reference>
          <reference field="2" count="1" selected="0">
            <x v="3"/>
          </reference>
          <reference field="4" count="1">
            <x v="13"/>
          </reference>
        </references>
      </pivotArea>
    </format>
    <format dxfId="272">
      <pivotArea dataOnly="0" labelOnly="1" outline="0" fieldPosition="0">
        <references count="3">
          <reference field="0" count="1" selected="0">
            <x v="4"/>
          </reference>
          <reference field="2" count="1" selected="0">
            <x v="4"/>
          </reference>
          <reference field="4" count="1">
            <x v="11"/>
          </reference>
        </references>
      </pivotArea>
    </format>
    <format dxfId="271">
      <pivotArea dataOnly="0" labelOnly="1" outline="0" fieldPosition="0">
        <references count="3">
          <reference field="0" count="1" selected="0">
            <x v="5"/>
          </reference>
          <reference field="2" count="1" selected="0">
            <x v="5"/>
          </reference>
          <reference field="4" count="1">
            <x v="20"/>
          </reference>
        </references>
      </pivotArea>
    </format>
    <format dxfId="270">
      <pivotArea dataOnly="0" labelOnly="1" outline="0" fieldPosition="0">
        <references count="3">
          <reference field="0" count="1" selected="0">
            <x v="6"/>
          </reference>
          <reference field="2" count="1" selected="0">
            <x v="6"/>
          </reference>
          <reference field="4" count="1">
            <x v="60"/>
          </reference>
        </references>
      </pivotArea>
    </format>
    <format dxfId="269">
      <pivotArea dataOnly="0" labelOnly="1" outline="0" fieldPosition="0">
        <references count="3">
          <reference field="0" count="1" selected="0">
            <x v="7"/>
          </reference>
          <reference field="2" count="1" selected="0">
            <x v="7"/>
          </reference>
          <reference field="4" count="1">
            <x v="14"/>
          </reference>
        </references>
      </pivotArea>
    </format>
    <format dxfId="268">
      <pivotArea dataOnly="0" labelOnly="1" outline="0" fieldPosition="0">
        <references count="3">
          <reference field="0" count="1" selected="0">
            <x v="8"/>
          </reference>
          <reference field="2" count="1" selected="0">
            <x v="8"/>
          </reference>
          <reference field="4" count="1">
            <x v="37"/>
          </reference>
        </references>
      </pivotArea>
    </format>
    <format dxfId="267">
      <pivotArea dataOnly="0" labelOnly="1" outline="0" fieldPosition="0">
        <references count="3">
          <reference field="0" count="1" selected="0">
            <x v="9"/>
          </reference>
          <reference field="2" count="1" selected="0">
            <x v="9"/>
          </reference>
          <reference field="4" count="1">
            <x v="35"/>
          </reference>
        </references>
      </pivotArea>
    </format>
    <format dxfId="266">
      <pivotArea dataOnly="0" labelOnly="1" outline="0" fieldPosition="0">
        <references count="3">
          <reference field="0" count="1" selected="0">
            <x v="10"/>
          </reference>
          <reference field="2" count="1" selected="0">
            <x v="10"/>
          </reference>
          <reference field="4" count="1">
            <x v="55"/>
          </reference>
        </references>
      </pivotArea>
    </format>
    <format dxfId="265">
      <pivotArea dataOnly="0" labelOnly="1" outline="0" fieldPosition="0">
        <references count="3">
          <reference field="0" count="1" selected="0">
            <x v="11"/>
          </reference>
          <reference field="2" count="1" selected="0">
            <x v="11"/>
          </reference>
          <reference field="4" count="1">
            <x v="10"/>
          </reference>
        </references>
      </pivotArea>
    </format>
    <format dxfId="264">
      <pivotArea dataOnly="0" labelOnly="1" outline="0" fieldPosition="0">
        <references count="3">
          <reference field="0" count="1" selected="0">
            <x v="12"/>
          </reference>
          <reference field="2" count="1" selected="0">
            <x v="12"/>
          </reference>
          <reference field="4" count="1">
            <x v="63"/>
          </reference>
        </references>
      </pivotArea>
    </format>
    <format dxfId="263">
      <pivotArea dataOnly="0" labelOnly="1" outline="0" fieldPosition="0">
        <references count="3">
          <reference field="0" count="1" selected="0">
            <x v="13"/>
          </reference>
          <reference field="2" count="1" selected="0">
            <x v="13"/>
          </reference>
          <reference field="4" count="1">
            <x v="4"/>
          </reference>
        </references>
      </pivotArea>
    </format>
    <format dxfId="262">
      <pivotArea dataOnly="0" labelOnly="1" outline="0" fieldPosition="0">
        <references count="3">
          <reference field="0" count="1" selected="0">
            <x v="14"/>
          </reference>
          <reference field="2" count="1" selected="0">
            <x v="14"/>
          </reference>
          <reference field="4" count="1">
            <x v="21"/>
          </reference>
        </references>
      </pivotArea>
    </format>
    <format dxfId="261">
      <pivotArea dataOnly="0" labelOnly="1" outline="0" fieldPosition="0">
        <references count="3">
          <reference field="0" count="1" selected="0">
            <x v="15"/>
          </reference>
          <reference field="2" count="1" selected="0">
            <x v="15"/>
          </reference>
          <reference field="4" count="1">
            <x v="28"/>
          </reference>
        </references>
      </pivotArea>
    </format>
    <format dxfId="260">
      <pivotArea dataOnly="0" labelOnly="1" outline="0" fieldPosition="0">
        <references count="3">
          <reference field="0" count="1" selected="0">
            <x v="16"/>
          </reference>
          <reference field="2" count="1" selected="0">
            <x v="16"/>
          </reference>
          <reference field="4" count="1">
            <x v="57"/>
          </reference>
        </references>
      </pivotArea>
    </format>
    <format dxfId="259">
      <pivotArea dataOnly="0" labelOnly="1" outline="0" fieldPosition="0">
        <references count="3">
          <reference field="0" count="1" selected="0">
            <x v="17"/>
          </reference>
          <reference field="2" count="1" selected="0">
            <x v="17"/>
          </reference>
          <reference field="4" count="1">
            <x v="32"/>
          </reference>
        </references>
      </pivotArea>
    </format>
    <format dxfId="258">
      <pivotArea dataOnly="0" labelOnly="1" outline="0" fieldPosition="0">
        <references count="3">
          <reference field="0" count="1" selected="0">
            <x v="18"/>
          </reference>
          <reference field="2" count="1" selected="0">
            <x v="18"/>
          </reference>
          <reference field="4" count="1">
            <x v="54"/>
          </reference>
        </references>
      </pivotArea>
    </format>
    <format dxfId="257">
      <pivotArea dataOnly="0" labelOnly="1" outline="0" fieldPosition="0">
        <references count="3">
          <reference field="0" count="1" selected="0">
            <x v="19"/>
          </reference>
          <reference field="2" count="1" selected="0">
            <x v="19"/>
          </reference>
          <reference field="4" count="1">
            <x v="62"/>
          </reference>
        </references>
      </pivotArea>
    </format>
    <format dxfId="256">
      <pivotArea dataOnly="0" labelOnly="1" outline="0" fieldPosition="0">
        <references count="3">
          <reference field="0" count="1" selected="0">
            <x v="20"/>
          </reference>
          <reference field="2" count="1" selected="0">
            <x v="20"/>
          </reference>
          <reference field="4" count="1">
            <x v="59"/>
          </reference>
        </references>
      </pivotArea>
    </format>
    <format dxfId="255">
      <pivotArea dataOnly="0" labelOnly="1" outline="0" fieldPosition="0">
        <references count="3">
          <reference field="0" count="1" selected="0">
            <x v="21"/>
          </reference>
          <reference field="2" count="1" selected="0">
            <x v="22"/>
          </reference>
          <reference field="4" count="1">
            <x v="56"/>
          </reference>
        </references>
      </pivotArea>
    </format>
    <format dxfId="254">
      <pivotArea dataOnly="0" labelOnly="1" outline="0" fieldPosition="0">
        <references count="3">
          <reference field="0" count="1" selected="0">
            <x v="22"/>
          </reference>
          <reference field="2" count="1" selected="0">
            <x v="23"/>
          </reference>
          <reference field="4" count="1">
            <x v="15"/>
          </reference>
        </references>
      </pivotArea>
    </format>
    <format dxfId="253">
      <pivotArea dataOnly="0" labelOnly="1" outline="0" fieldPosition="0">
        <references count="3">
          <reference field="0" count="1" selected="0">
            <x v="23"/>
          </reference>
          <reference field="2" count="1" selected="0">
            <x v="24"/>
          </reference>
          <reference field="4" count="1">
            <x v="53"/>
          </reference>
        </references>
      </pivotArea>
    </format>
    <format dxfId="252">
      <pivotArea dataOnly="0" labelOnly="1" outline="0" fieldPosition="0">
        <references count="3">
          <reference field="0" count="1" selected="0">
            <x v="24"/>
          </reference>
          <reference field="2" count="1" selected="0">
            <x v="26"/>
          </reference>
          <reference field="4" count="1">
            <x v="52"/>
          </reference>
        </references>
      </pivotArea>
    </format>
    <format dxfId="251">
      <pivotArea dataOnly="0" labelOnly="1" outline="0" fieldPosition="0">
        <references count="3">
          <reference field="0" count="1" selected="0">
            <x v="25"/>
          </reference>
          <reference field="2" count="1" selected="0">
            <x v="25"/>
          </reference>
          <reference field="4" count="1">
            <x v="31"/>
          </reference>
        </references>
      </pivotArea>
    </format>
    <format dxfId="250">
      <pivotArea dataOnly="0" labelOnly="1" outline="0" fieldPosition="0">
        <references count="3">
          <reference field="0" count="1" selected="0">
            <x v="26"/>
          </reference>
          <reference field="2" count="1" selected="0">
            <x v="28"/>
          </reference>
          <reference field="4" count="1">
            <x v="7"/>
          </reference>
        </references>
      </pivotArea>
    </format>
    <format dxfId="249">
      <pivotArea dataOnly="0" labelOnly="1" outline="0" fieldPosition="0">
        <references count="3">
          <reference field="0" count="1" selected="0">
            <x v="27"/>
          </reference>
          <reference field="2" count="1" selected="0">
            <x v="27"/>
          </reference>
          <reference field="4" count="1">
            <x v="58"/>
          </reference>
        </references>
      </pivotArea>
    </format>
    <format dxfId="248">
      <pivotArea dataOnly="0" labelOnly="1" outline="0" fieldPosition="0">
        <references count="3">
          <reference field="0" count="1" selected="0">
            <x v="28"/>
          </reference>
          <reference field="2" count="1" selected="0">
            <x v="29"/>
          </reference>
          <reference field="4" count="1">
            <x v="40"/>
          </reference>
        </references>
      </pivotArea>
    </format>
    <format dxfId="247">
      <pivotArea dataOnly="0" labelOnly="1" outline="0" fieldPosition="0">
        <references count="3">
          <reference field="0" count="1" selected="0">
            <x v="29"/>
          </reference>
          <reference field="2" count="1" selected="0">
            <x v="30"/>
          </reference>
          <reference field="4" count="1">
            <x v="61"/>
          </reference>
        </references>
      </pivotArea>
    </format>
    <format dxfId="246">
      <pivotArea dataOnly="0" labelOnly="1" outline="0" fieldPosition="0">
        <references count="3">
          <reference field="0" count="1" selected="0">
            <x v="30"/>
          </reference>
          <reference field="2" count="1" selected="0">
            <x v="31"/>
          </reference>
          <reference field="4" count="1">
            <x v="27"/>
          </reference>
        </references>
      </pivotArea>
    </format>
    <format dxfId="245">
      <pivotArea dataOnly="0" labelOnly="1" outline="0" fieldPosition="0">
        <references count="3">
          <reference field="0" count="1" selected="0">
            <x v="31"/>
          </reference>
          <reference field="2" count="1" selected="0">
            <x v="32"/>
          </reference>
          <reference field="4" count="1">
            <x v="47"/>
          </reference>
        </references>
      </pivotArea>
    </format>
    <format dxfId="244">
      <pivotArea dataOnly="0" labelOnly="1" outline="0" fieldPosition="0">
        <references count="3">
          <reference field="0" count="1" selected="0">
            <x v="32"/>
          </reference>
          <reference field="2" count="1" selected="0">
            <x v="33"/>
          </reference>
          <reference field="4" count="1">
            <x v="50"/>
          </reference>
        </references>
      </pivotArea>
    </format>
    <format dxfId="243">
      <pivotArea dataOnly="0" labelOnly="1" outline="0" fieldPosition="0">
        <references count="3">
          <reference field="0" count="1" selected="0">
            <x v="33"/>
          </reference>
          <reference field="2" count="1" selected="0">
            <x v="34"/>
          </reference>
          <reference field="4" count="1">
            <x v="44"/>
          </reference>
        </references>
      </pivotArea>
    </format>
    <format dxfId="242">
      <pivotArea dataOnly="0" labelOnly="1" outline="0" fieldPosition="0">
        <references count="3">
          <reference field="0" count="1" selected="0">
            <x v="34"/>
          </reference>
          <reference field="2" count="1" selected="0">
            <x v="35"/>
          </reference>
          <reference field="4" count="1">
            <x v="5"/>
          </reference>
        </references>
      </pivotArea>
    </format>
    <format dxfId="241">
      <pivotArea dataOnly="0" labelOnly="1" outline="0" fieldPosition="0">
        <references count="3">
          <reference field="0" count="1" selected="0">
            <x v="35"/>
          </reference>
          <reference field="2" count="1" selected="0">
            <x v="36"/>
          </reference>
          <reference field="4" count="1">
            <x v="3"/>
          </reference>
        </references>
      </pivotArea>
    </format>
    <format dxfId="240">
      <pivotArea dataOnly="0" labelOnly="1" outline="0" fieldPosition="0">
        <references count="3">
          <reference field="0" count="1" selected="0">
            <x v="36"/>
          </reference>
          <reference field="2" count="1" selected="0">
            <x v="37"/>
          </reference>
          <reference field="4" count="1">
            <x v="42"/>
          </reference>
        </references>
      </pivotArea>
    </format>
    <format dxfId="239">
      <pivotArea dataOnly="0" labelOnly="1" outline="0" fieldPosition="0">
        <references count="3">
          <reference field="0" count="1" selected="0">
            <x v="37"/>
          </reference>
          <reference field="2" count="1" selected="0">
            <x v="38"/>
          </reference>
          <reference field="4" count="1">
            <x v="19"/>
          </reference>
        </references>
      </pivotArea>
    </format>
    <format dxfId="238">
      <pivotArea dataOnly="0" labelOnly="1" outline="0" fieldPosition="0">
        <references count="3">
          <reference field="0" count="1" selected="0">
            <x v="38"/>
          </reference>
          <reference field="2" count="1" selected="0">
            <x v="39"/>
          </reference>
          <reference field="4" count="1">
            <x v="43"/>
          </reference>
        </references>
      </pivotArea>
    </format>
    <format dxfId="237">
      <pivotArea dataOnly="0" labelOnly="1" outline="0" fieldPosition="0">
        <references count="3">
          <reference field="0" count="1" selected="0">
            <x v="39"/>
          </reference>
          <reference field="2" count="1" selected="0">
            <x v="40"/>
          </reference>
          <reference field="4" count="1">
            <x v="41"/>
          </reference>
        </references>
      </pivotArea>
    </format>
    <format dxfId="236">
      <pivotArea dataOnly="0" labelOnly="1" outline="0" fieldPosition="0">
        <references count="3">
          <reference field="0" count="1" selected="0">
            <x v="40"/>
          </reference>
          <reference field="2" count="1" selected="0">
            <x v="41"/>
          </reference>
          <reference field="4" count="1">
            <x v="6"/>
          </reference>
        </references>
      </pivotArea>
    </format>
    <format dxfId="235">
      <pivotArea dataOnly="0" labelOnly="1" outline="0" fieldPosition="0">
        <references count="3">
          <reference field="0" count="1" selected="0">
            <x v="41"/>
          </reference>
          <reference field="2" count="1" selected="0">
            <x v="42"/>
          </reference>
          <reference field="4" count="1">
            <x v="9"/>
          </reference>
        </references>
      </pivotArea>
    </format>
    <format dxfId="234">
      <pivotArea dataOnly="0" labelOnly="1" outline="0" fieldPosition="0">
        <references count="3">
          <reference field="0" count="1" selected="0">
            <x v="42"/>
          </reference>
          <reference field="2" count="1" selected="0">
            <x v="43"/>
          </reference>
          <reference field="4" count="1">
            <x v="8"/>
          </reference>
        </references>
      </pivotArea>
    </format>
    <format dxfId="233">
      <pivotArea dataOnly="0" labelOnly="1" outline="0" fieldPosition="0">
        <references count="3">
          <reference field="0" count="1" selected="0">
            <x v="43"/>
          </reference>
          <reference field="2" count="1" selected="0">
            <x v="44"/>
          </reference>
          <reference field="4" count="1">
            <x v="33"/>
          </reference>
        </references>
      </pivotArea>
    </format>
    <format dxfId="232">
      <pivotArea dataOnly="0" labelOnly="1" outline="0" fieldPosition="0">
        <references count="3">
          <reference field="0" count="1" selected="0">
            <x v="44"/>
          </reference>
          <reference field="2" count="1" selected="0">
            <x v="45"/>
          </reference>
          <reference field="4" count="1">
            <x v="26"/>
          </reference>
        </references>
      </pivotArea>
    </format>
    <format dxfId="231">
      <pivotArea dataOnly="0" labelOnly="1" outline="0" fieldPosition="0">
        <references count="3">
          <reference field="0" count="1" selected="0">
            <x v="45"/>
          </reference>
          <reference field="2" count="1" selected="0">
            <x v="21"/>
          </reference>
          <reference field="4" count="1">
            <x v="45"/>
          </reference>
        </references>
      </pivotArea>
    </format>
    <format dxfId="230">
      <pivotArea dataOnly="0" labelOnly="1" outline="0" fieldPosition="0">
        <references count="3">
          <reference field="0" count="1" selected="0">
            <x v="46"/>
          </reference>
          <reference field="2" count="1" selected="0">
            <x v="50"/>
          </reference>
          <reference field="4" count="1">
            <x v="25"/>
          </reference>
        </references>
      </pivotArea>
    </format>
    <format dxfId="229">
      <pivotArea dataOnly="0" labelOnly="1" outline="0" fieldPosition="0">
        <references count="3">
          <reference field="0" count="1" selected="0">
            <x v="47"/>
          </reference>
          <reference field="2" count="1" selected="0">
            <x v="46"/>
          </reference>
          <reference field="4" count="1">
            <x v="16"/>
          </reference>
        </references>
      </pivotArea>
    </format>
    <format dxfId="228">
      <pivotArea dataOnly="0" labelOnly="1" outline="0" fieldPosition="0">
        <references count="3">
          <reference field="0" count="1" selected="0">
            <x v="48"/>
          </reference>
          <reference field="2" count="1" selected="0">
            <x v="47"/>
          </reference>
          <reference field="4" count="1">
            <x v="29"/>
          </reference>
        </references>
      </pivotArea>
    </format>
    <format dxfId="227">
      <pivotArea dataOnly="0" labelOnly="1" outline="0" fieldPosition="0">
        <references count="3">
          <reference field="0" count="1" selected="0">
            <x v="49"/>
          </reference>
          <reference field="2" count="1" selected="0">
            <x v="48"/>
          </reference>
          <reference field="4" count="1">
            <x v="22"/>
          </reference>
        </references>
      </pivotArea>
    </format>
    <format dxfId="226">
      <pivotArea dataOnly="0" labelOnly="1" outline="0" fieldPosition="0">
        <references count="3">
          <reference field="0" count="1" selected="0">
            <x v="50"/>
          </reference>
          <reference field="2" count="1" selected="0">
            <x v="49"/>
          </reference>
          <reference field="4" count="1">
            <x v="24"/>
          </reference>
        </references>
      </pivotArea>
    </format>
    <format dxfId="225">
      <pivotArea dataOnly="0" labelOnly="1" outline="0" fieldPosition="0">
        <references count="3">
          <reference field="0" count="1" selected="0">
            <x v="51"/>
          </reference>
          <reference field="2" count="1" selected="0">
            <x v="51"/>
          </reference>
          <reference field="4" count="1">
            <x v="30"/>
          </reference>
        </references>
      </pivotArea>
    </format>
    <format dxfId="224">
      <pivotArea dataOnly="0" labelOnly="1" outline="0" fieldPosition="0">
        <references count="3">
          <reference field="0" count="1" selected="0">
            <x v="52"/>
          </reference>
          <reference field="2" count="1" selected="0">
            <x v="52"/>
          </reference>
          <reference field="4" count="1">
            <x v="18"/>
          </reference>
        </references>
      </pivotArea>
    </format>
    <format dxfId="223">
      <pivotArea dataOnly="0" labelOnly="1" outline="0" fieldPosition="0">
        <references count="3">
          <reference field="0" count="1" selected="0">
            <x v="53"/>
          </reference>
          <reference field="2" count="1" selected="0">
            <x v="53"/>
          </reference>
          <reference field="4" count="1">
            <x v="38"/>
          </reference>
        </references>
      </pivotArea>
    </format>
    <format dxfId="222">
      <pivotArea dataOnly="0" labelOnly="1" outline="0" fieldPosition="0">
        <references count="3">
          <reference field="0" count="1" selected="0">
            <x v="54"/>
          </reference>
          <reference field="2" count="1" selected="0">
            <x v="54"/>
          </reference>
          <reference field="4" count="1">
            <x v="12"/>
          </reference>
        </references>
      </pivotArea>
    </format>
    <format dxfId="221">
      <pivotArea dataOnly="0" labelOnly="1" outline="0" fieldPosition="0">
        <references count="3">
          <reference field="0" count="1" selected="0">
            <x v="55"/>
          </reference>
          <reference field="2" count="1" selected="0">
            <x v="55"/>
          </reference>
          <reference field="4" count="1">
            <x v="46"/>
          </reference>
        </references>
      </pivotArea>
    </format>
    <format dxfId="220">
      <pivotArea dataOnly="0" labelOnly="1" outline="0" fieldPosition="0">
        <references count="3">
          <reference field="0" count="1" selected="0">
            <x v="56"/>
          </reference>
          <reference field="2" count="1" selected="0">
            <x v="56"/>
          </reference>
          <reference field="4" count="1">
            <x v="1"/>
          </reference>
        </references>
      </pivotArea>
    </format>
    <format dxfId="219">
      <pivotArea dataOnly="0" labelOnly="1" outline="0" fieldPosition="0">
        <references count="3">
          <reference field="0" count="1" selected="0">
            <x v="57"/>
          </reference>
          <reference field="2" count="1" selected="0">
            <x v="57"/>
          </reference>
          <reference field="4" count="1">
            <x v="2"/>
          </reference>
        </references>
      </pivotArea>
    </format>
    <format dxfId="218">
      <pivotArea dataOnly="0" labelOnly="1" outline="0" fieldPosition="0">
        <references count="3">
          <reference field="0" count="1" selected="0">
            <x v="58"/>
          </reference>
          <reference field="2" count="1" selected="0">
            <x v="58"/>
          </reference>
          <reference field="4" count="1">
            <x v="39"/>
          </reference>
        </references>
      </pivotArea>
    </format>
    <format dxfId="217">
      <pivotArea dataOnly="0" labelOnly="1" outline="0" fieldPosition="0">
        <references count="3">
          <reference field="0" count="1" selected="0">
            <x v="59"/>
          </reference>
          <reference field="2" count="1" selected="0">
            <x v="59"/>
          </reference>
          <reference field="4" count="1">
            <x v="48"/>
          </reference>
        </references>
      </pivotArea>
    </format>
    <format dxfId="216">
      <pivotArea dataOnly="0" labelOnly="1" outline="0" fieldPosition="0">
        <references count="3">
          <reference field="0" count="1" selected="0">
            <x v="60"/>
          </reference>
          <reference field="2" count="1" selected="0">
            <x v="60"/>
          </reference>
          <reference field="4" count="1">
            <x v="49"/>
          </reference>
        </references>
      </pivotArea>
    </format>
    <format dxfId="215">
      <pivotArea dataOnly="0" labelOnly="1" outline="0" fieldPosition="0">
        <references count="3">
          <reference field="0" count="1" selected="0">
            <x v="61"/>
          </reference>
          <reference field="2" count="1" selected="0">
            <x v="61"/>
          </reference>
          <reference field="4" count="1">
            <x v="34"/>
          </reference>
        </references>
      </pivotArea>
    </format>
    <format dxfId="214">
      <pivotArea dataOnly="0" labelOnly="1" outline="0" fieldPosition="0">
        <references count="3">
          <reference field="0" count="1" selected="0">
            <x v="62"/>
          </reference>
          <reference field="2" count="1" selected="0">
            <x v="62"/>
          </reference>
          <reference field="4" count="1">
            <x v="23"/>
          </reference>
        </references>
      </pivotArea>
    </format>
    <format dxfId="213">
      <pivotArea dataOnly="0" labelOnly="1" outline="0" fieldPosition="0">
        <references count="3">
          <reference field="0" count="1" selected="0">
            <x v="63"/>
          </reference>
          <reference field="2" count="1" selected="0">
            <x v="63"/>
          </reference>
          <reference field="4" count="1">
            <x v="36"/>
          </reference>
        </references>
      </pivotArea>
    </format>
    <format dxfId="212">
      <pivotArea dataOnly="0" labelOnly="1" outline="0" fieldPosition="0">
        <references count="3">
          <reference field="0" count="1" selected="0">
            <x v="64"/>
          </reference>
          <reference field="2" count="1" selected="0">
            <x v="64"/>
          </reference>
          <reference field="4" count="1">
            <x v="64"/>
          </reference>
        </references>
      </pivotArea>
    </format>
    <format dxfId="211">
      <pivotArea dataOnly="0" labelOnly="1" outline="0" fieldPosition="0">
        <references count="4">
          <reference field="0" count="1" selected="0">
            <x v="0"/>
          </reference>
          <reference field="2" count="1" selected="0">
            <x v="0"/>
          </reference>
          <reference field="4" count="1" selected="0">
            <x v="0"/>
          </reference>
          <reference field="5" count="1">
            <x v="0"/>
          </reference>
        </references>
      </pivotArea>
    </format>
    <format dxfId="210">
      <pivotArea dataOnly="0" labelOnly="1" outline="0" fieldPosition="0">
        <references count="4">
          <reference field="0" count="1" selected="0">
            <x v="1"/>
          </reference>
          <reference field="2" count="1" selected="0">
            <x v="1"/>
          </reference>
          <reference field="4" count="1" selected="0">
            <x v="17"/>
          </reference>
          <reference field="5" count="1">
            <x v="4"/>
          </reference>
        </references>
      </pivotArea>
    </format>
    <format dxfId="209">
      <pivotArea dataOnly="0" labelOnly="1" outline="0" fieldPosition="0">
        <references count="4">
          <reference field="0" count="1" selected="0">
            <x v="2"/>
          </reference>
          <reference field="2" count="1" selected="0">
            <x v="2"/>
          </reference>
          <reference field="4" count="1" selected="0">
            <x v="51"/>
          </reference>
          <reference field="5" count="1">
            <x v="6"/>
          </reference>
        </references>
      </pivotArea>
    </format>
    <format dxfId="208">
      <pivotArea dataOnly="0" labelOnly="1" outline="0" fieldPosition="0">
        <references count="4">
          <reference field="0" count="1" selected="0">
            <x v="3"/>
          </reference>
          <reference field="2" count="1" selected="0">
            <x v="3"/>
          </reference>
          <reference field="4" count="1" selected="0">
            <x v="13"/>
          </reference>
          <reference field="5" count="1">
            <x v="7"/>
          </reference>
        </references>
      </pivotArea>
    </format>
    <format dxfId="207">
      <pivotArea dataOnly="0" labelOnly="1" outline="0" fieldPosition="0">
        <references count="4">
          <reference field="0" count="1" selected="0">
            <x v="4"/>
          </reference>
          <reference field="2" count="1" selected="0">
            <x v="4"/>
          </reference>
          <reference field="4" count="1" selected="0">
            <x v="11"/>
          </reference>
          <reference field="5" count="1">
            <x v="34"/>
          </reference>
        </references>
      </pivotArea>
    </format>
    <format dxfId="206">
      <pivotArea dataOnly="0" labelOnly="1" outline="0" fieldPosition="0">
        <references count="4">
          <reference field="0" count="1" selected="0">
            <x v="5"/>
          </reference>
          <reference field="2" count="1" selected="0">
            <x v="5"/>
          </reference>
          <reference field="4" count="1" selected="0">
            <x v="20"/>
          </reference>
          <reference field="5" count="1">
            <x v="8"/>
          </reference>
        </references>
      </pivotArea>
    </format>
    <format dxfId="205">
      <pivotArea dataOnly="0" labelOnly="1" outline="0" fieldPosition="0">
        <references count="4">
          <reference field="0" count="1" selected="0">
            <x v="6"/>
          </reference>
          <reference field="2" count="1" selected="0">
            <x v="6"/>
          </reference>
          <reference field="4" count="1" selected="0">
            <x v="60"/>
          </reference>
          <reference field="5" count="1">
            <x v="9"/>
          </reference>
        </references>
      </pivotArea>
    </format>
    <format dxfId="204">
      <pivotArea dataOnly="0" labelOnly="1" outline="0" fieldPosition="0">
        <references count="4">
          <reference field="0" count="1" selected="0">
            <x v="7"/>
          </reference>
          <reference field="2" count="1" selected="0">
            <x v="7"/>
          </reference>
          <reference field="4" count="1" selected="0">
            <x v="14"/>
          </reference>
          <reference field="5" count="1">
            <x v="10"/>
          </reference>
        </references>
      </pivotArea>
    </format>
    <format dxfId="203">
      <pivotArea dataOnly="0" labelOnly="1" outline="0" fieldPosition="0">
        <references count="4">
          <reference field="0" count="1" selected="0">
            <x v="8"/>
          </reference>
          <reference field="2" count="1" selected="0">
            <x v="8"/>
          </reference>
          <reference field="4" count="1" selected="0">
            <x v="37"/>
          </reference>
          <reference field="5" count="1">
            <x v="12"/>
          </reference>
        </references>
      </pivotArea>
    </format>
    <format dxfId="202">
      <pivotArea dataOnly="0" labelOnly="1" outline="0" fieldPosition="0">
        <references count="4">
          <reference field="0" count="1" selected="0">
            <x v="9"/>
          </reference>
          <reference field="2" count="1" selected="0">
            <x v="9"/>
          </reference>
          <reference field="4" count="1" selected="0">
            <x v="35"/>
          </reference>
          <reference field="5" count="1">
            <x v="0"/>
          </reference>
        </references>
      </pivotArea>
    </format>
    <format dxfId="201">
      <pivotArea dataOnly="0" labelOnly="1" outline="0" fieldPosition="0">
        <references count="4">
          <reference field="0" count="1" selected="0">
            <x v="10"/>
          </reference>
          <reference field="2" count="1" selected="0">
            <x v="10"/>
          </reference>
          <reference field="4" count="1" selected="0">
            <x v="55"/>
          </reference>
          <reference field="5" count="1">
            <x v="13"/>
          </reference>
        </references>
      </pivotArea>
    </format>
    <format dxfId="200">
      <pivotArea dataOnly="0" labelOnly="1" outline="0" fieldPosition="0">
        <references count="4">
          <reference field="0" count="1" selected="0">
            <x v="11"/>
          </reference>
          <reference field="2" count="1" selected="0">
            <x v="11"/>
          </reference>
          <reference field="4" count="1" selected="0">
            <x v="10"/>
          </reference>
          <reference field="5" count="1">
            <x v="14"/>
          </reference>
        </references>
      </pivotArea>
    </format>
    <format dxfId="199">
      <pivotArea dataOnly="0" labelOnly="1" outline="0" fieldPosition="0">
        <references count="4">
          <reference field="0" count="1" selected="0">
            <x v="12"/>
          </reference>
          <reference field="2" count="1" selected="0">
            <x v="12"/>
          </reference>
          <reference field="4" count="1" selected="0">
            <x v="63"/>
          </reference>
          <reference field="5" count="1">
            <x v="15"/>
          </reference>
        </references>
      </pivotArea>
    </format>
    <format dxfId="198">
      <pivotArea dataOnly="0" labelOnly="1" outline="0" fieldPosition="0">
        <references count="4">
          <reference field="0" count="1" selected="0">
            <x v="13"/>
          </reference>
          <reference field="2" count="1" selected="0">
            <x v="13"/>
          </reference>
          <reference field="4" count="1" selected="0">
            <x v="4"/>
          </reference>
          <reference field="5" count="1">
            <x v="16"/>
          </reference>
        </references>
      </pivotArea>
    </format>
    <format dxfId="197">
      <pivotArea dataOnly="0" labelOnly="1" outline="0" fieldPosition="0">
        <references count="4">
          <reference field="0" count="1" selected="0">
            <x v="14"/>
          </reference>
          <reference field="2" count="1" selected="0">
            <x v="14"/>
          </reference>
          <reference field="4" count="1" selected="0">
            <x v="21"/>
          </reference>
          <reference field="5" count="1">
            <x v="0"/>
          </reference>
        </references>
      </pivotArea>
    </format>
    <format dxfId="196">
      <pivotArea dataOnly="0" labelOnly="1" outline="0" fieldPosition="0">
        <references count="4">
          <reference field="0" count="1" selected="0">
            <x v="15"/>
          </reference>
          <reference field="2" count="1" selected="0">
            <x v="15"/>
          </reference>
          <reference field="4" count="1" selected="0">
            <x v="28"/>
          </reference>
          <reference field="5" count="1">
            <x v="17"/>
          </reference>
        </references>
      </pivotArea>
    </format>
    <format dxfId="195">
      <pivotArea dataOnly="0" labelOnly="1" outline="0" fieldPosition="0">
        <references count="4">
          <reference field="0" count="1" selected="0">
            <x v="16"/>
          </reference>
          <reference field="2" count="1" selected="0">
            <x v="16"/>
          </reference>
          <reference field="4" count="1" selected="0">
            <x v="57"/>
          </reference>
          <reference field="5" count="1">
            <x v="18"/>
          </reference>
        </references>
      </pivotArea>
    </format>
    <format dxfId="194">
      <pivotArea dataOnly="0" labelOnly="1" outline="0" fieldPosition="0">
        <references count="4">
          <reference field="0" count="1" selected="0">
            <x v="17"/>
          </reference>
          <reference field="2" count="1" selected="0">
            <x v="17"/>
          </reference>
          <reference field="4" count="1" selected="0">
            <x v="32"/>
          </reference>
          <reference field="5" count="1">
            <x v="19"/>
          </reference>
        </references>
      </pivotArea>
    </format>
    <format dxfId="193">
      <pivotArea dataOnly="0" labelOnly="1" outline="0" fieldPosition="0">
        <references count="4">
          <reference field="0" count="1" selected="0">
            <x v="18"/>
          </reference>
          <reference field="2" count="1" selected="0">
            <x v="18"/>
          </reference>
          <reference field="4" count="1" selected="0">
            <x v="54"/>
          </reference>
          <reference field="5" count="1">
            <x v="20"/>
          </reference>
        </references>
      </pivotArea>
    </format>
    <format dxfId="192">
      <pivotArea dataOnly="0" labelOnly="1" outline="0" fieldPosition="0">
        <references count="4">
          <reference field="0" count="1" selected="0">
            <x v="19"/>
          </reference>
          <reference field="2" count="1" selected="0">
            <x v="19"/>
          </reference>
          <reference field="4" count="1" selected="0">
            <x v="62"/>
          </reference>
          <reference field="5" count="1">
            <x v="11"/>
          </reference>
        </references>
      </pivotArea>
    </format>
    <format dxfId="191">
      <pivotArea dataOnly="0" labelOnly="1" outline="0" fieldPosition="0">
        <references count="4">
          <reference field="0" count="1" selected="0">
            <x v="20"/>
          </reference>
          <reference field="2" count="1" selected="0">
            <x v="20"/>
          </reference>
          <reference field="4" count="1" selected="0">
            <x v="59"/>
          </reference>
          <reference field="5" count="1">
            <x v="21"/>
          </reference>
        </references>
      </pivotArea>
    </format>
    <format dxfId="190">
      <pivotArea dataOnly="0" labelOnly="1" outline="0" fieldPosition="0">
        <references count="4">
          <reference field="0" count="1" selected="0">
            <x v="21"/>
          </reference>
          <reference field="2" count="1" selected="0">
            <x v="22"/>
          </reference>
          <reference field="4" count="1" selected="0">
            <x v="56"/>
          </reference>
          <reference field="5" count="1">
            <x v="23"/>
          </reference>
        </references>
      </pivotArea>
    </format>
    <format dxfId="189">
      <pivotArea dataOnly="0" labelOnly="1" outline="0" fieldPosition="0">
        <references count="4">
          <reference field="0" count="1" selected="0">
            <x v="22"/>
          </reference>
          <reference field="2" count="1" selected="0">
            <x v="23"/>
          </reference>
          <reference field="4" count="1" selected="0">
            <x v="15"/>
          </reference>
          <reference field="5" count="1">
            <x v="25"/>
          </reference>
        </references>
      </pivotArea>
    </format>
    <format dxfId="188">
      <pivotArea dataOnly="0" labelOnly="1" outline="0" fieldPosition="0">
        <references count="4">
          <reference field="0" count="1" selected="0">
            <x v="23"/>
          </reference>
          <reference field="2" count="1" selected="0">
            <x v="24"/>
          </reference>
          <reference field="4" count="1" selected="0">
            <x v="53"/>
          </reference>
          <reference field="5" count="1">
            <x v="26"/>
          </reference>
        </references>
      </pivotArea>
    </format>
    <format dxfId="187">
      <pivotArea dataOnly="0" labelOnly="1" outline="0" fieldPosition="0">
        <references count="4">
          <reference field="0" count="1" selected="0">
            <x v="24"/>
          </reference>
          <reference field="2" count="1" selected="0">
            <x v="26"/>
          </reference>
          <reference field="4" count="1" selected="0">
            <x v="52"/>
          </reference>
          <reference field="5" count="1">
            <x v="27"/>
          </reference>
        </references>
      </pivotArea>
    </format>
    <format dxfId="186">
      <pivotArea dataOnly="0" labelOnly="1" outline="0" fieldPosition="0">
        <references count="4">
          <reference field="0" count="1" selected="0">
            <x v="25"/>
          </reference>
          <reference field="2" count="1" selected="0">
            <x v="25"/>
          </reference>
          <reference field="4" count="1" selected="0">
            <x v="31"/>
          </reference>
          <reference field="5" count="1">
            <x v="28"/>
          </reference>
        </references>
      </pivotArea>
    </format>
    <format dxfId="185">
      <pivotArea dataOnly="0" labelOnly="1" outline="0" fieldPosition="0">
        <references count="4">
          <reference field="0" count="1" selected="0">
            <x v="26"/>
          </reference>
          <reference field="2" count="1" selected="0">
            <x v="28"/>
          </reference>
          <reference field="4" count="1" selected="0">
            <x v="7"/>
          </reference>
          <reference field="5" count="1">
            <x v="5"/>
          </reference>
        </references>
      </pivotArea>
    </format>
    <format dxfId="184">
      <pivotArea dataOnly="0" labelOnly="1" outline="0" fieldPosition="0">
        <references count="4">
          <reference field="0" count="1" selected="0">
            <x v="27"/>
          </reference>
          <reference field="2" count="1" selected="0">
            <x v="27"/>
          </reference>
          <reference field="4" count="1" selected="0">
            <x v="58"/>
          </reference>
          <reference field="5" count="1">
            <x v="29"/>
          </reference>
        </references>
      </pivotArea>
    </format>
    <format dxfId="183">
      <pivotArea dataOnly="0" labelOnly="1" outline="0" fieldPosition="0">
        <references count="4">
          <reference field="0" count="1" selected="0">
            <x v="28"/>
          </reference>
          <reference field="2" count="1" selected="0">
            <x v="29"/>
          </reference>
          <reference field="4" count="1" selected="0">
            <x v="40"/>
          </reference>
          <reference field="5" count="1">
            <x v="30"/>
          </reference>
        </references>
      </pivotArea>
    </format>
    <format dxfId="182">
      <pivotArea dataOnly="0" labelOnly="1" outline="0" fieldPosition="0">
        <references count="4">
          <reference field="0" count="1" selected="0">
            <x v="29"/>
          </reference>
          <reference field="2" count="1" selected="0">
            <x v="30"/>
          </reference>
          <reference field="4" count="1" selected="0">
            <x v="61"/>
          </reference>
          <reference field="5" count="1">
            <x v="31"/>
          </reference>
        </references>
      </pivotArea>
    </format>
    <format dxfId="181">
      <pivotArea dataOnly="0" labelOnly="1" outline="0" fieldPosition="0">
        <references count="4">
          <reference field="0" count="1" selected="0">
            <x v="31"/>
          </reference>
          <reference field="2" count="1" selected="0">
            <x v="32"/>
          </reference>
          <reference field="4" count="1" selected="0">
            <x v="47"/>
          </reference>
          <reference field="5" count="1">
            <x v="32"/>
          </reference>
        </references>
      </pivotArea>
    </format>
    <format dxfId="180">
      <pivotArea dataOnly="0" labelOnly="1" outline="0" fieldPosition="0">
        <references count="4">
          <reference field="0" count="1" selected="0">
            <x v="32"/>
          </reference>
          <reference field="2" count="1" selected="0">
            <x v="33"/>
          </reference>
          <reference field="4" count="1" selected="0">
            <x v="50"/>
          </reference>
          <reference field="5" count="1">
            <x v="0"/>
          </reference>
        </references>
      </pivotArea>
    </format>
    <format dxfId="179">
      <pivotArea dataOnly="0" labelOnly="1" outline="0" fieldPosition="0">
        <references count="4">
          <reference field="0" count="1" selected="0">
            <x v="34"/>
          </reference>
          <reference field="2" count="1" selected="0">
            <x v="35"/>
          </reference>
          <reference field="4" count="1" selected="0">
            <x v="5"/>
          </reference>
          <reference field="5" count="1">
            <x v="33"/>
          </reference>
        </references>
      </pivotArea>
    </format>
    <format dxfId="178">
      <pivotArea dataOnly="0" labelOnly="1" outline="0" fieldPosition="0">
        <references count="4">
          <reference field="0" count="1" selected="0">
            <x v="35"/>
          </reference>
          <reference field="2" count="1" selected="0">
            <x v="36"/>
          </reference>
          <reference field="4" count="1" selected="0">
            <x v="3"/>
          </reference>
          <reference field="5" count="1">
            <x v="35"/>
          </reference>
        </references>
      </pivotArea>
    </format>
    <format dxfId="177">
      <pivotArea dataOnly="0" labelOnly="1" outline="0" fieldPosition="0">
        <references count="4">
          <reference field="0" count="1" selected="0">
            <x v="36"/>
          </reference>
          <reference field="2" count="1" selected="0">
            <x v="37"/>
          </reference>
          <reference field="4" count="1" selected="0">
            <x v="42"/>
          </reference>
          <reference field="5" count="1">
            <x v="0"/>
          </reference>
        </references>
      </pivotArea>
    </format>
    <format dxfId="176">
      <pivotArea dataOnly="0" labelOnly="1" outline="0" fieldPosition="0">
        <references count="4">
          <reference field="0" count="1" selected="0">
            <x v="37"/>
          </reference>
          <reference field="2" count="1" selected="0">
            <x v="38"/>
          </reference>
          <reference field="4" count="1" selected="0">
            <x v="19"/>
          </reference>
          <reference field="5" count="1">
            <x v="24"/>
          </reference>
        </references>
      </pivotArea>
    </format>
    <format dxfId="175">
      <pivotArea dataOnly="0" labelOnly="1" outline="0" fieldPosition="0">
        <references count="4">
          <reference field="0" count="1" selected="0">
            <x v="38"/>
          </reference>
          <reference field="2" count="1" selected="0">
            <x v="39"/>
          </reference>
          <reference field="4" count="1" selected="0">
            <x v="43"/>
          </reference>
          <reference field="5" count="1">
            <x v="36"/>
          </reference>
        </references>
      </pivotArea>
    </format>
    <format dxfId="174">
      <pivotArea dataOnly="0" labelOnly="1" outline="0" fieldPosition="0">
        <references count="4">
          <reference field="0" count="1" selected="0">
            <x v="39"/>
          </reference>
          <reference field="2" count="1" selected="0">
            <x v="40"/>
          </reference>
          <reference field="4" count="1" selected="0">
            <x v="41"/>
          </reference>
          <reference field="5" count="1">
            <x v="37"/>
          </reference>
        </references>
      </pivotArea>
    </format>
    <format dxfId="173">
      <pivotArea dataOnly="0" labelOnly="1" outline="0" fieldPosition="0">
        <references count="4">
          <reference field="0" count="1" selected="0">
            <x v="40"/>
          </reference>
          <reference field="2" count="1" selected="0">
            <x v="41"/>
          </reference>
          <reference field="4" count="1" selected="0">
            <x v="6"/>
          </reference>
          <reference field="5" count="1">
            <x v="38"/>
          </reference>
        </references>
      </pivotArea>
    </format>
    <format dxfId="172">
      <pivotArea dataOnly="0" labelOnly="1" outline="0" fieldPosition="0">
        <references count="4">
          <reference field="0" count="1" selected="0">
            <x v="41"/>
          </reference>
          <reference field="2" count="1" selected="0">
            <x v="42"/>
          </reference>
          <reference field="4" count="1" selected="0">
            <x v="9"/>
          </reference>
          <reference field="5" count="1">
            <x v="39"/>
          </reference>
        </references>
      </pivotArea>
    </format>
    <format dxfId="171">
      <pivotArea dataOnly="0" labelOnly="1" outline="0" fieldPosition="0">
        <references count="4">
          <reference field="0" count="1" selected="0">
            <x v="42"/>
          </reference>
          <reference field="2" count="1" selected="0">
            <x v="43"/>
          </reference>
          <reference field="4" count="1" selected="0">
            <x v="8"/>
          </reference>
          <reference field="5" count="1">
            <x v="40"/>
          </reference>
        </references>
      </pivotArea>
    </format>
    <format dxfId="170">
      <pivotArea dataOnly="0" labelOnly="1" outline="0" fieldPosition="0">
        <references count="4">
          <reference field="0" count="1" selected="0">
            <x v="43"/>
          </reference>
          <reference field="2" count="1" selected="0">
            <x v="44"/>
          </reference>
          <reference field="4" count="1" selected="0">
            <x v="33"/>
          </reference>
          <reference field="5" count="1">
            <x v="41"/>
          </reference>
        </references>
      </pivotArea>
    </format>
    <format dxfId="169">
      <pivotArea dataOnly="0" labelOnly="1" outline="0" fieldPosition="0">
        <references count="4">
          <reference field="0" count="1" selected="0">
            <x v="44"/>
          </reference>
          <reference field="2" count="1" selected="0">
            <x v="45"/>
          </reference>
          <reference field="4" count="1" selected="0">
            <x v="26"/>
          </reference>
          <reference field="5" count="1">
            <x v="3"/>
          </reference>
        </references>
      </pivotArea>
    </format>
    <format dxfId="168">
      <pivotArea dataOnly="0" labelOnly="1" outline="0" fieldPosition="0">
        <references count="4">
          <reference field="0" count="1" selected="0">
            <x v="45"/>
          </reference>
          <reference field="2" count="1" selected="0">
            <x v="21"/>
          </reference>
          <reference field="4" count="1" selected="0">
            <x v="45"/>
          </reference>
          <reference field="5" count="1">
            <x v="22"/>
          </reference>
        </references>
      </pivotArea>
    </format>
    <format dxfId="167">
      <pivotArea dataOnly="0" labelOnly="1" outline="0" fieldPosition="0">
        <references count="4">
          <reference field="0" count="1" selected="0">
            <x v="46"/>
          </reference>
          <reference field="2" count="1" selected="0">
            <x v="50"/>
          </reference>
          <reference field="4" count="1" selected="0">
            <x v="25"/>
          </reference>
          <reference field="5" count="1">
            <x v="46"/>
          </reference>
        </references>
      </pivotArea>
    </format>
    <format dxfId="166">
      <pivotArea dataOnly="0" labelOnly="1" outline="0" fieldPosition="0">
        <references count="4">
          <reference field="0" count="1" selected="0">
            <x v="47"/>
          </reference>
          <reference field="2" count="1" selected="0">
            <x v="46"/>
          </reference>
          <reference field="4" count="1" selected="0">
            <x v="16"/>
          </reference>
          <reference field="5" count="1">
            <x v="42"/>
          </reference>
        </references>
      </pivotArea>
    </format>
    <format dxfId="165">
      <pivotArea dataOnly="0" labelOnly="1" outline="0" fieldPosition="0">
        <references count="4">
          <reference field="0" count="1" selected="0">
            <x v="48"/>
          </reference>
          <reference field="2" count="1" selected="0">
            <x v="47"/>
          </reference>
          <reference field="4" count="1" selected="0">
            <x v="29"/>
          </reference>
          <reference field="5" count="1">
            <x v="43"/>
          </reference>
        </references>
      </pivotArea>
    </format>
    <format dxfId="164">
      <pivotArea dataOnly="0" labelOnly="1" outline="0" fieldPosition="0">
        <references count="4">
          <reference field="0" count="1" selected="0">
            <x v="49"/>
          </reference>
          <reference field="2" count="1" selected="0">
            <x v="48"/>
          </reference>
          <reference field="4" count="1" selected="0">
            <x v="22"/>
          </reference>
          <reference field="5" count="1">
            <x v="44"/>
          </reference>
        </references>
      </pivotArea>
    </format>
    <format dxfId="163">
      <pivotArea dataOnly="0" labelOnly="1" outline="0" fieldPosition="0">
        <references count="4">
          <reference field="0" count="1" selected="0">
            <x v="50"/>
          </reference>
          <reference field="2" count="1" selected="0">
            <x v="49"/>
          </reference>
          <reference field="4" count="1" selected="0">
            <x v="24"/>
          </reference>
          <reference field="5" count="1">
            <x v="45"/>
          </reference>
        </references>
      </pivotArea>
    </format>
    <format dxfId="162">
      <pivotArea dataOnly="0" labelOnly="1" outline="0" fieldPosition="0">
        <references count="4">
          <reference field="0" count="1" selected="0">
            <x v="51"/>
          </reference>
          <reference field="2" count="1" selected="0">
            <x v="51"/>
          </reference>
          <reference field="4" count="1" selected="0">
            <x v="30"/>
          </reference>
          <reference field="5" count="1">
            <x v="47"/>
          </reference>
        </references>
      </pivotArea>
    </format>
    <format dxfId="161">
      <pivotArea dataOnly="0" labelOnly="1" outline="0" fieldPosition="0">
        <references count="4">
          <reference field="0" count="1" selected="0">
            <x v="52"/>
          </reference>
          <reference field="2" count="1" selected="0">
            <x v="52"/>
          </reference>
          <reference field="4" count="1" selected="0">
            <x v="18"/>
          </reference>
          <reference field="5" count="1">
            <x v="48"/>
          </reference>
        </references>
      </pivotArea>
    </format>
    <format dxfId="160">
      <pivotArea dataOnly="0" labelOnly="1" outline="0" fieldPosition="0">
        <references count="4">
          <reference field="0" count="1" selected="0">
            <x v="53"/>
          </reference>
          <reference field="2" count="1" selected="0">
            <x v="53"/>
          </reference>
          <reference field="4" count="1" selected="0">
            <x v="38"/>
          </reference>
          <reference field="5" count="1">
            <x v="56"/>
          </reference>
        </references>
      </pivotArea>
    </format>
    <format dxfId="159">
      <pivotArea dataOnly="0" labelOnly="1" outline="0" fieldPosition="0">
        <references count="4">
          <reference field="0" count="1" selected="0">
            <x v="54"/>
          </reference>
          <reference field="2" count="1" selected="0">
            <x v="54"/>
          </reference>
          <reference field="4" count="1" selected="0">
            <x v="12"/>
          </reference>
          <reference field="5" count="1">
            <x v="49"/>
          </reference>
        </references>
      </pivotArea>
    </format>
    <format dxfId="158">
      <pivotArea dataOnly="0" labelOnly="1" outline="0" fieldPosition="0">
        <references count="4">
          <reference field="0" count="1" selected="0">
            <x v="55"/>
          </reference>
          <reference field="2" count="1" selected="0">
            <x v="55"/>
          </reference>
          <reference field="4" count="1" selected="0">
            <x v="46"/>
          </reference>
          <reference field="5" count="1">
            <x v="50"/>
          </reference>
        </references>
      </pivotArea>
    </format>
    <format dxfId="157">
      <pivotArea dataOnly="0" labelOnly="1" outline="0" fieldPosition="0">
        <references count="4">
          <reference field="0" count="1" selected="0">
            <x v="56"/>
          </reference>
          <reference field="2" count="1" selected="0">
            <x v="56"/>
          </reference>
          <reference field="4" count="1" selected="0">
            <x v="1"/>
          </reference>
          <reference field="5" count="1">
            <x v="1"/>
          </reference>
        </references>
      </pivotArea>
    </format>
    <format dxfId="156">
      <pivotArea dataOnly="0" labelOnly="1" outline="0" fieldPosition="0">
        <references count="4">
          <reference field="0" count="1" selected="0">
            <x v="57"/>
          </reference>
          <reference field="2" count="1" selected="0">
            <x v="57"/>
          </reference>
          <reference field="4" count="1" selected="0">
            <x v="2"/>
          </reference>
          <reference field="5" count="1">
            <x v="2"/>
          </reference>
        </references>
      </pivotArea>
    </format>
    <format dxfId="155">
      <pivotArea dataOnly="0" labelOnly="1" outline="0" fieldPosition="0">
        <references count="4">
          <reference field="0" count="1" selected="0">
            <x v="58"/>
          </reference>
          <reference field="2" count="1" selected="0">
            <x v="58"/>
          </reference>
          <reference field="4" count="1" selected="0">
            <x v="39"/>
          </reference>
          <reference field="5" count="1">
            <x v="0"/>
          </reference>
        </references>
      </pivotArea>
    </format>
    <format dxfId="154">
      <pivotArea dataOnly="0" labelOnly="1" outline="0" fieldPosition="0">
        <references count="4">
          <reference field="0" count="1" selected="0">
            <x v="59"/>
          </reference>
          <reference field="2" count="1" selected="0">
            <x v="59"/>
          </reference>
          <reference field="4" count="1" selected="0">
            <x v="48"/>
          </reference>
          <reference field="5" count="1">
            <x v="51"/>
          </reference>
        </references>
      </pivotArea>
    </format>
    <format dxfId="153">
      <pivotArea dataOnly="0" labelOnly="1" outline="0" fieldPosition="0">
        <references count="4">
          <reference field="0" count="1" selected="0">
            <x v="60"/>
          </reference>
          <reference field="2" count="1" selected="0">
            <x v="60"/>
          </reference>
          <reference field="4" count="1" selected="0">
            <x v="49"/>
          </reference>
          <reference field="5" count="1">
            <x v="52"/>
          </reference>
        </references>
      </pivotArea>
    </format>
    <format dxfId="152">
      <pivotArea dataOnly="0" labelOnly="1" outline="0" fieldPosition="0">
        <references count="4">
          <reference field="0" count="1" selected="0">
            <x v="61"/>
          </reference>
          <reference field="2" count="1" selected="0">
            <x v="61"/>
          </reference>
          <reference field="4" count="1" selected="0">
            <x v="34"/>
          </reference>
          <reference field="5" count="1">
            <x v="53"/>
          </reference>
        </references>
      </pivotArea>
    </format>
    <format dxfId="151">
      <pivotArea dataOnly="0" labelOnly="1" outline="0" fieldPosition="0">
        <references count="4">
          <reference field="0" count="1" selected="0">
            <x v="62"/>
          </reference>
          <reference field="2" count="1" selected="0">
            <x v="62"/>
          </reference>
          <reference field="4" count="1" selected="0">
            <x v="23"/>
          </reference>
          <reference field="5" count="1">
            <x v="54"/>
          </reference>
        </references>
      </pivotArea>
    </format>
    <format dxfId="150">
      <pivotArea dataOnly="0" labelOnly="1" outline="0" fieldPosition="0">
        <references count="4">
          <reference field="0" count="1" selected="0">
            <x v="63"/>
          </reference>
          <reference field="2" count="1" selected="0">
            <x v="63"/>
          </reference>
          <reference field="4" count="1" selected="0">
            <x v="36"/>
          </reference>
          <reference field="5" count="1">
            <x v="55"/>
          </reference>
        </references>
      </pivotArea>
    </format>
    <format dxfId="149">
      <pivotArea dataOnly="0" labelOnly="1" outline="0" fieldPosition="0">
        <references count="4">
          <reference field="0" count="1" selected="0">
            <x v="64"/>
          </reference>
          <reference field="2" count="1" selected="0">
            <x v="64"/>
          </reference>
          <reference field="4" count="1" selected="0">
            <x v="64"/>
          </reference>
          <reference field="5" count="1">
            <x v="57"/>
          </reference>
        </references>
      </pivotArea>
    </format>
    <format dxfId="148">
      <pivotArea dataOnly="0" labelOnly="1" outline="0" fieldPosition="0">
        <references count="5">
          <reference field="0" count="1" selected="0">
            <x v="0"/>
          </reference>
          <reference field="2" count="1" selected="0">
            <x v="0"/>
          </reference>
          <reference field="4" count="1" selected="0">
            <x v="0"/>
          </reference>
          <reference field="5" count="1" selected="0">
            <x v="0"/>
          </reference>
          <reference field="7" count="1">
            <x v="0"/>
          </reference>
        </references>
      </pivotArea>
    </format>
    <format dxfId="147">
      <pivotArea dataOnly="0" labelOnly="1" outline="0" fieldPosition="0">
        <references count="5">
          <reference field="0" count="1" selected="0">
            <x v="1"/>
          </reference>
          <reference field="2" count="1" selected="0">
            <x v="1"/>
          </reference>
          <reference field="4" count="1" selected="0">
            <x v="17"/>
          </reference>
          <reference field="5" count="1" selected="0">
            <x v="4"/>
          </reference>
          <reference field="7" count="1">
            <x v="14"/>
          </reference>
        </references>
      </pivotArea>
    </format>
    <format dxfId="146">
      <pivotArea dataOnly="0" labelOnly="1" outline="0" fieldPosition="0">
        <references count="5">
          <reference field="0" count="1" selected="0">
            <x v="2"/>
          </reference>
          <reference field="2" count="1" selected="0">
            <x v="2"/>
          </reference>
          <reference field="4" count="1" selected="0">
            <x v="51"/>
          </reference>
          <reference field="5" count="1" selected="0">
            <x v="6"/>
          </reference>
          <reference field="7" count="1">
            <x v="26"/>
          </reference>
        </references>
      </pivotArea>
    </format>
    <format dxfId="145">
      <pivotArea dataOnly="0" labelOnly="1" outline="0" fieldPosition="0">
        <references count="5">
          <reference field="0" count="1" selected="0">
            <x v="3"/>
          </reference>
          <reference field="2" count="1" selected="0">
            <x v="3"/>
          </reference>
          <reference field="4" count="1" selected="0">
            <x v="13"/>
          </reference>
          <reference field="5" count="1" selected="0">
            <x v="7"/>
          </reference>
          <reference field="7" count="1">
            <x v="13"/>
          </reference>
        </references>
      </pivotArea>
    </format>
    <format dxfId="144">
      <pivotArea dataOnly="0" labelOnly="1" outline="0" fieldPosition="0">
        <references count="5">
          <reference field="0" count="1" selected="0">
            <x v="4"/>
          </reference>
          <reference field="2" count="1" selected="0">
            <x v="4"/>
          </reference>
          <reference field="4" count="1" selected="0">
            <x v="11"/>
          </reference>
          <reference field="5" count="1" selected="0">
            <x v="34"/>
          </reference>
          <reference field="7" count="1">
            <x v="9"/>
          </reference>
        </references>
      </pivotArea>
    </format>
    <format dxfId="143">
      <pivotArea dataOnly="0" labelOnly="1" outline="0" fieldPosition="0">
        <references count="5">
          <reference field="0" count="1" selected="0">
            <x v="5"/>
          </reference>
          <reference field="2" count="1" selected="0">
            <x v="5"/>
          </reference>
          <reference field="4" count="1" selected="0">
            <x v="20"/>
          </reference>
          <reference field="5" count="1" selected="0">
            <x v="8"/>
          </reference>
          <reference field="7" count="1">
            <x v="11"/>
          </reference>
        </references>
      </pivotArea>
    </format>
    <format dxfId="142">
      <pivotArea dataOnly="0" labelOnly="1" outline="0" fieldPosition="0">
        <references count="5">
          <reference field="0" count="1" selected="0">
            <x v="6"/>
          </reference>
          <reference field="2" count="1" selected="0">
            <x v="6"/>
          </reference>
          <reference field="4" count="1" selected="0">
            <x v="60"/>
          </reference>
          <reference field="5" count="1" selected="0">
            <x v="9"/>
          </reference>
          <reference field="7" count="1">
            <x v="27"/>
          </reference>
        </references>
      </pivotArea>
    </format>
    <format dxfId="141">
      <pivotArea dataOnly="0" labelOnly="1" outline="0" fieldPosition="0">
        <references count="5">
          <reference field="0" count="1" selected="0">
            <x v="7"/>
          </reference>
          <reference field="2" count="1" selected="0">
            <x v="7"/>
          </reference>
          <reference field="4" count="1" selected="0">
            <x v="14"/>
          </reference>
          <reference field="5" count="1" selected="0">
            <x v="10"/>
          </reference>
          <reference field="7" count="1">
            <x v="0"/>
          </reference>
        </references>
      </pivotArea>
    </format>
    <format dxfId="140">
      <pivotArea dataOnly="0" labelOnly="1" outline="0" fieldPosition="0">
        <references count="5">
          <reference field="0" count="1" selected="0">
            <x v="8"/>
          </reference>
          <reference field="2" count="1" selected="0">
            <x v="8"/>
          </reference>
          <reference field="4" count="1" selected="0">
            <x v="37"/>
          </reference>
          <reference field="5" count="1" selected="0">
            <x v="12"/>
          </reference>
          <reference field="7" count="1">
            <x v="35"/>
          </reference>
        </references>
      </pivotArea>
    </format>
    <format dxfId="139">
      <pivotArea dataOnly="0" labelOnly="1" outline="0" fieldPosition="0">
        <references count="5">
          <reference field="0" count="1" selected="0">
            <x v="9"/>
          </reference>
          <reference field="2" count="1" selected="0">
            <x v="9"/>
          </reference>
          <reference field="4" count="1" selected="0">
            <x v="35"/>
          </reference>
          <reference field="5" count="1" selected="0">
            <x v="0"/>
          </reference>
          <reference field="7" count="1">
            <x v="25"/>
          </reference>
        </references>
      </pivotArea>
    </format>
    <format dxfId="138">
      <pivotArea dataOnly="0" labelOnly="1" outline="0" fieldPosition="0">
        <references count="5">
          <reference field="0" count="1" selected="0">
            <x v="10"/>
          </reference>
          <reference field="2" count="1" selected="0">
            <x v="10"/>
          </reference>
          <reference field="4" count="1" selected="0">
            <x v="55"/>
          </reference>
          <reference field="5" count="1" selected="0">
            <x v="13"/>
          </reference>
          <reference field="7" count="1">
            <x v="4"/>
          </reference>
        </references>
      </pivotArea>
    </format>
    <format dxfId="137">
      <pivotArea dataOnly="0" labelOnly="1" outline="0" fieldPosition="0">
        <references count="5">
          <reference field="0" count="1" selected="0">
            <x v="11"/>
          </reference>
          <reference field="2" count="1" selected="0">
            <x v="11"/>
          </reference>
          <reference field="4" count="1" selected="0">
            <x v="10"/>
          </reference>
          <reference field="5" count="1" selected="0">
            <x v="14"/>
          </reference>
          <reference field="7" count="1">
            <x v="1"/>
          </reference>
        </references>
      </pivotArea>
    </format>
    <format dxfId="136">
      <pivotArea dataOnly="0" labelOnly="1" outline="0" fieldPosition="0">
        <references count="5">
          <reference field="0" count="1" selected="0">
            <x v="12"/>
          </reference>
          <reference field="2" count="1" selected="0">
            <x v="12"/>
          </reference>
          <reference field="4" count="1" selected="0">
            <x v="63"/>
          </reference>
          <reference field="5" count="1" selected="0">
            <x v="15"/>
          </reference>
          <reference field="7" count="1">
            <x v="5"/>
          </reference>
        </references>
      </pivotArea>
    </format>
    <format dxfId="135">
      <pivotArea dataOnly="0" labelOnly="1" outline="0" fieldPosition="0">
        <references count="5">
          <reference field="0" count="1" selected="0">
            <x v="13"/>
          </reference>
          <reference field="2" count="1" selected="0">
            <x v="13"/>
          </reference>
          <reference field="4" count="1" selected="0">
            <x v="4"/>
          </reference>
          <reference field="5" count="1" selected="0">
            <x v="16"/>
          </reference>
          <reference field="7" count="1">
            <x v="54"/>
          </reference>
        </references>
      </pivotArea>
    </format>
    <format dxfId="134">
      <pivotArea dataOnly="0" labelOnly="1" outline="0" fieldPosition="0">
        <references count="5">
          <reference field="0" count="1" selected="0">
            <x v="14"/>
          </reference>
          <reference field="2" count="1" selected="0">
            <x v="14"/>
          </reference>
          <reference field="4" count="1" selected="0">
            <x v="21"/>
          </reference>
          <reference field="5" count="1" selected="0">
            <x v="0"/>
          </reference>
          <reference field="7" count="1">
            <x v="17"/>
          </reference>
        </references>
      </pivotArea>
    </format>
    <format dxfId="133">
      <pivotArea dataOnly="0" labelOnly="1" outline="0" fieldPosition="0">
        <references count="5">
          <reference field="0" count="1" selected="0">
            <x v="15"/>
          </reference>
          <reference field="2" count="1" selected="0">
            <x v="15"/>
          </reference>
          <reference field="4" count="1" selected="0">
            <x v="28"/>
          </reference>
          <reference field="5" count="1" selected="0">
            <x v="17"/>
          </reference>
          <reference field="7" count="1">
            <x v="30"/>
          </reference>
        </references>
      </pivotArea>
    </format>
    <format dxfId="132">
      <pivotArea dataOnly="0" labelOnly="1" outline="0" fieldPosition="0">
        <references count="5">
          <reference field="0" count="1" selected="0">
            <x v="16"/>
          </reference>
          <reference field="2" count="1" selected="0">
            <x v="16"/>
          </reference>
          <reference field="4" count="1" selected="0">
            <x v="57"/>
          </reference>
          <reference field="5" count="1" selected="0">
            <x v="18"/>
          </reference>
          <reference field="7" count="1">
            <x v="33"/>
          </reference>
        </references>
      </pivotArea>
    </format>
    <format dxfId="131">
      <pivotArea dataOnly="0" labelOnly="1" outline="0" fieldPosition="0">
        <references count="5">
          <reference field="0" count="1" selected="0">
            <x v="17"/>
          </reference>
          <reference field="2" count="1" selected="0">
            <x v="17"/>
          </reference>
          <reference field="4" count="1" selected="0">
            <x v="32"/>
          </reference>
          <reference field="5" count="1" selected="0">
            <x v="19"/>
          </reference>
          <reference field="7" count="1">
            <x v="51"/>
          </reference>
        </references>
      </pivotArea>
    </format>
    <format dxfId="130">
      <pivotArea dataOnly="0" labelOnly="1" outline="0" fieldPosition="0">
        <references count="5">
          <reference field="0" count="1" selected="0">
            <x v="18"/>
          </reference>
          <reference field="2" count="1" selected="0">
            <x v="18"/>
          </reference>
          <reference field="4" count="1" selected="0">
            <x v="54"/>
          </reference>
          <reference field="5" count="1" selected="0">
            <x v="20"/>
          </reference>
          <reference field="7" count="1">
            <x v="29"/>
          </reference>
        </references>
      </pivotArea>
    </format>
    <format dxfId="129">
      <pivotArea dataOnly="0" labelOnly="1" outline="0" fieldPosition="0">
        <references count="5">
          <reference field="0" count="1" selected="0">
            <x v="19"/>
          </reference>
          <reference field="2" count="1" selected="0">
            <x v="19"/>
          </reference>
          <reference field="4" count="1" selected="0">
            <x v="62"/>
          </reference>
          <reference field="5" count="1" selected="0">
            <x v="11"/>
          </reference>
          <reference field="7" count="1">
            <x v="0"/>
          </reference>
        </references>
      </pivotArea>
    </format>
    <format dxfId="128">
      <pivotArea dataOnly="0" labelOnly="1" outline="0" fieldPosition="0">
        <references count="5">
          <reference field="0" count="1" selected="0">
            <x v="20"/>
          </reference>
          <reference field="2" count="1" selected="0">
            <x v="20"/>
          </reference>
          <reference field="4" count="1" selected="0">
            <x v="59"/>
          </reference>
          <reference field="5" count="1" selected="0">
            <x v="21"/>
          </reference>
          <reference field="7" count="1">
            <x v="15"/>
          </reference>
        </references>
      </pivotArea>
    </format>
    <format dxfId="127">
      <pivotArea dataOnly="0" labelOnly="1" outline="0" fieldPosition="0">
        <references count="5">
          <reference field="0" count="1" selected="0">
            <x v="21"/>
          </reference>
          <reference field="2" count="1" selected="0">
            <x v="22"/>
          </reference>
          <reference field="4" count="1" selected="0">
            <x v="56"/>
          </reference>
          <reference field="5" count="1" selected="0">
            <x v="23"/>
          </reference>
          <reference field="7" count="1">
            <x v="0"/>
          </reference>
        </references>
      </pivotArea>
    </format>
    <format dxfId="126">
      <pivotArea dataOnly="0" labelOnly="1" outline="0" fieldPosition="0">
        <references count="5">
          <reference field="0" count="1" selected="0">
            <x v="22"/>
          </reference>
          <reference field="2" count="1" selected="0">
            <x v="23"/>
          </reference>
          <reference field="4" count="1" selected="0">
            <x v="15"/>
          </reference>
          <reference field="5" count="1" selected="0">
            <x v="25"/>
          </reference>
          <reference field="7" count="1">
            <x v="52"/>
          </reference>
        </references>
      </pivotArea>
    </format>
    <format dxfId="125">
      <pivotArea dataOnly="0" labelOnly="1" outline="0" fieldPosition="0">
        <references count="5">
          <reference field="0" count="1" selected="0">
            <x v="23"/>
          </reference>
          <reference field="2" count="1" selected="0">
            <x v="24"/>
          </reference>
          <reference field="4" count="1" selected="0">
            <x v="53"/>
          </reference>
          <reference field="5" count="1" selected="0">
            <x v="26"/>
          </reference>
          <reference field="7" count="1">
            <x v="47"/>
          </reference>
        </references>
      </pivotArea>
    </format>
    <format dxfId="124">
      <pivotArea dataOnly="0" labelOnly="1" outline="0" fieldPosition="0">
        <references count="5">
          <reference field="0" count="1" selected="0">
            <x v="24"/>
          </reference>
          <reference field="2" count="1" selected="0">
            <x v="26"/>
          </reference>
          <reference field="4" count="1" selected="0">
            <x v="52"/>
          </reference>
          <reference field="5" count="1" selected="0">
            <x v="27"/>
          </reference>
          <reference field="7" count="1">
            <x v="20"/>
          </reference>
        </references>
      </pivotArea>
    </format>
    <format dxfId="123">
      <pivotArea dataOnly="0" labelOnly="1" outline="0" fieldPosition="0">
        <references count="5">
          <reference field="0" count="1" selected="0">
            <x v="25"/>
          </reference>
          <reference field="2" count="1" selected="0">
            <x v="25"/>
          </reference>
          <reference field="4" count="1" selected="0">
            <x v="31"/>
          </reference>
          <reference field="5" count="1" selected="0">
            <x v="28"/>
          </reference>
          <reference field="7" count="1">
            <x v="0"/>
          </reference>
        </references>
      </pivotArea>
    </format>
    <format dxfId="122">
      <pivotArea dataOnly="0" labelOnly="1" outline="0" fieldPosition="0">
        <references count="5">
          <reference field="0" count="1" selected="0">
            <x v="26"/>
          </reference>
          <reference field="2" count="1" selected="0">
            <x v="28"/>
          </reference>
          <reference field="4" count="1" selected="0">
            <x v="7"/>
          </reference>
          <reference field="5" count="1" selected="0">
            <x v="5"/>
          </reference>
          <reference field="7" count="1">
            <x v="24"/>
          </reference>
        </references>
      </pivotArea>
    </format>
    <format dxfId="121">
      <pivotArea dataOnly="0" labelOnly="1" outline="0" fieldPosition="0">
        <references count="5">
          <reference field="0" count="1" selected="0">
            <x v="27"/>
          </reference>
          <reference field="2" count="1" selected="0">
            <x v="27"/>
          </reference>
          <reference field="4" count="1" selected="0">
            <x v="58"/>
          </reference>
          <reference field="5" count="1" selected="0">
            <x v="29"/>
          </reference>
          <reference field="7" count="1">
            <x v="19"/>
          </reference>
        </references>
      </pivotArea>
    </format>
    <format dxfId="120">
      <pivotArea dataOnly="0" labelOnly="1" outline="0" fieldPosition="0">
        <references count="5">
          <reference field="0" count="1" selected="0">
            <x v="28"/>
          </reference>
          <reference field="2" count="1" selected="0">
            <x v="29"/>
          </reference>
          <reference field="4" count="1" selected="0">
            <x v="40"/>
          </reference>
          <reference field="5" count="1" selected="0">
            <x v="30"/>
          </reference>
          <reference field="7" count="1">
            <x v="34"/>
          </reference>
        </references>
      </pivotArea>
    </format>
    <format dxfId="119">
      <pivotArea dataOnly="0" labelOnly="1" outline="0" fieldPosition="0">
        <references count="5">
          <reference field="0" count="1" selected="0">
            <x v="29"/>
          </reference>
          <reference field="2" count="1" selected="0">
            <x v="30"/>
          </reference>
          <reference field="4" count="1" selected="0">
            <x v="61"/>
          </reference>
          <reference field="5" count="1" selected="0">
            <x v="31"/>
          </reference>
          <reference field="7" count="1">
            <x v="53"/>
          </reference>
        </references>
      </pivotArea>
    </format>
    <format dxfId="118">
      <pivotArea dataOnly="0" labelOnly="1" outline="0" fieldPosition="0">
        <references count="5">
          <reference field="0" count="1" selected="0">
            <x v="30"/>
          </reference>
          <reference field="2" count="1" selected="0">
            <x v="31"/>
          </reference>
          <reference field="4" count="1" selected="0">
            <x v="27"/>
          </reference>
          <reference field="5" count="1" selected="0">
            <x v="31"/>
          </reference>
          <reference field="7" count="1">
            <x v="3"/>
          </reference>
        </references>
      </pivotArea>
    </format>
    <format dxfId="117">
      <pivotArea dataOnly="0" labelOnly="1" outline="0" fieldPosition="0">
        <references count="5">
          <reference field="0" count="1" selected="0">
            <x v="31"/>
          </reference>
          <reference field="2" count="1" selected="0">
            <x v="32"/>
          </reference>
          <reference field="4" count="1" selected="0">
            <x v="47"/>
          </reference>
          <reference field="5" count="1" selected="0">
            <x v="32"/>
          </reference>
          <reference field="7" count="1">
            <x v="49"/>
          </reference>
        </references>
      </pivotArea>
    </format>
    <format dxfId="116">
      <pivotArea dataOnly="0" labelOnly="1" outline="0" fieldPosition="0">
        <references count="5">
          <reference field="0" count="1" selected="0">
            <x v="32"/>
          </reference>
          <reference field="2" count="1" selected="0">
            <x v="33"/>
          </reference>
          <reference field="4" count="1" selected="0">
            <x v="50"/>
          </reference>
          <reference field="5" count="1" selected="0">
            <x v="0"/>
          </reference>
          <reference field="7" count="1">
            <x v="16"/>
          </reference>
        </references>
      </pivotArea>
    </format>
    <format dxfId="115">
      <pivotArea dataOnly="0" labelOnly="1" outline="0" fieldPosition="0">
        <references count="5">
          <reference field="0" count="1" selected="0">
            <x v="33"/>
          </reference>
          <reference field="2" count="1" selected="0">
            <x v="34"/>
          </reference>
          <reference field="4" count="1" selected="0">
            <x v="44"/>
          </reference>
          <reference field="5" count="1" selected="0">
            <x v="0"/>
          </reference>
          <reference field="7" count="1">
            <x v="2"/>
          </reference>
        </references>
      </pivotArea>
    </format>
    <format dxfId="114">
      <pivotArea dataOnly="0" labelOnly="1" outline="0" fieldPosition="0">
        <references count="5">
          <reference field="0" count="1" selected="0">
            <x v="34"/>
          </reference>
          <reference field="2" count="1" selected="0">
            <x v="35"/>
          </reference>
          <reference field="4" count="1" selected="0">
            <x v="5"/>
          </reference>
          <reference field="5" count="1" selected="0">
            <x v="33"/>
          </reference>
          <reference field="7" count="1">
            <x v="0"/>
          </reference>
        </references>
      </pivotArea>
    </format>
    <format dxfId="113">
      <pivotArea dataOnly="0" labelOnly="1" outline="0" fieldPosition="0">
        <references count="5">
          <reference field="0" count="1" selected="0">
            <x v="35"/>
          </reference>
          <reference field="2" count="1" selected="0">
            <x v="36"/>
          </reference>
          <reference field="4" count="1" selected="0">
            <x v="3"/>
          </reference>
          <reference field="5" count="1" selected="0">
            <x v="35"/>
          </reference>
          <reference field="7" count="1">
            <x v="36"/>
          </reference>
        </references>
      </pivotArea>
    </format>
    <format dxfId="112">
      <pivotArea dataOnly="0" labelOnly="1" outline="0" fieldPosition="0">
        <references count="5">
          <reference field="0" count="1" selected="0">
            <x v="36"/>
          </reference>
          <reference field="2" count="1" selected="0">
            <x v="37"/>
          </reference>
          <reference field="4" count="1" selected="0">
            <x v="42"/>
          </reference>
          <reference field="5" count="1" selected="0">
            <x v="0"/>
          </reference>
          <reference field="7" count="1">
            <x v="41"/>
          </reference>
        </references>
      </pivotArea>
    </format>
    <format dxfId="111">
      <pivotArea dataOnly="0" labelOnly="1" outline="0" fieldPosition="0">
        <references count="5">
          <reference field="0" count="1" selected="0">
            <x v="37"/>
          </reference>
          <reference field="2" count="1" selected="0">
            <x v="38"/>
          </reference>
          <reference field="4" count="1" selected="0">
            <x v="19"/>
          </reference>
          <reference field="5" count="1" selected="0">
            <x v="24"/>
          </reference>
          <reference field="7" count="1">
            <x v="45"/>
          </reference>
        </references>
      </pivotArea>
    </format>
    <format dxfId="110">
      <pivotArea dataOnly="0" labelOnly="1" outline="0" fieldPosition="0">
        <references count="5">
          <reference field="0" count="1" selected="0">
            <x v="38"/>
          </reference>
          <reference field="2" count="1" selected="0">
            <x v="39"/>
          </reference>
          <reference field="4" count="1" selected="0">
            <x v="43"/>
          </reference>
          <reference field="5" count="1" selected="0">
            <x v="36"/>
          </reference>
          <reference field="7" count="1">
            <x v="18"/>
          </reference>
        </references>
      </pivotArea>
    </format>
    <format dxfId="109">
      <pivotArea dataOnly="0" labelOnly="1" outline="0" fieldPosition="0">
        <references count="5">
          <reference field="0" count="1" selected="0">
            <x v="39"/>
          </reference>
          <reference field="2" count="1" selected="0">
            <x v="40"/>
          </reference>
          <reference field="4" count="1" selected="0">
            <x v="41"/>
          </reference>
          <reference field="5" count="1" selected="0">
            <x v="37"/>
          </reference>
          <reference field="7" count="1">
            <x v="7"/>
          </reference>
        </references>
      </pivotArea>
    </format>
    <format dxfId="108">
      <pivotArea dataOnly="0" labelOnly="1" outline="0" fieldPosition="0">
        <references count="5">
          <reference field="0" count="1" selected="0">
            <x v="40"/>
          </reference>
          <reference field="2" count="1" selected="0">
            <x v="41"/>
          </reference>
          <reference field="4" count="1" selected="0">
            <x v="6"/>
          </reference>
          <reference field="5" count="1" selected="0">
            <x v="38"/>
          </reference>
          <reference field="7" count="1">
            <x v="46"/>
          </reference>
        </references>
      </pivotArea>
    </format>
    <format dxfId="107">
      <pivotArea dataOnly="0" labelOnly="1" outline="0" fieldPosition="0">
        <references count="5">
          <reference field="0" count="1" selected="0">
            <x v="41"/>
          </reference>
          <reference field="2" count="1" selected="0">
            <x v="42"/>
          </reference>
          <reference field="4" count="1" selected="0">
            <x v="9"/>
          </reference>
          <reference field="5" count="1" selected="0">
            <x v="39"/>
          </reference>
          <reference field="7" count="1">
            <x v="8"/>
          </reference>
        </references>
      </pivotArea>
    </format>
    <format dxfId="106">
      <pivotArea dataOnly="0" labelOnly="1" outline="0" fieldPosition="0">
        <references count="5">
          <reference field="0" count="1" selected="0">
            <x v="42"/>
          </reference>
          <reference field="2" count="1" selected="0">
            <x v="43"/>
          </reference>
          <reference field="4" count="1" selected="0">
            <x v="8"/>
          </reference>
          <reference field="5" count="1" selected="0">
            <x v="40"/>
          </reference>
          <reference field="7" count="1">
            <x v="55"/>
          </reference>
        </references>
      </pivotArea>
    </format>
    <format dxfId="105">
      <pivotArea dataOnly="0" labelOnly="1" outline="0" fieldPosition="0">
        <references count="5">
          <reference field="0" count="1" selected="0">
            <x v="43"/>
          </reference>
          <reference field="2" count="1" selected="0">
            <x v="44"/>
          </reference>
          <reference field="4" count="1" selected="0">
            <x v="33"/>
          </reference>
          <reference field="5" count="1" selected="0">
            <x v="41"/>
          </reference>
          <reference field="7" count="1">
            <x v="48"/>
          </reference>
        </references>
      </pivotArea>
    </format>
    <format dxfId="104">
      <pivotArea dataOnly="0" labelOnly="1" outline="0" fieldPosition="0">
        <references count="5">
          <reference field="0" count="1" selected="0">
            <x v="44"/>
          </reference>
          <reference field="2" count="1" selected="0">
            <x v="45"/>
          </reference>
          <reference field="4" count="1" selected="0">
            <x v="26"/>
          </reference>
          <reference field="5" count="1" selected="0">
            <x v="3"/>
          </reference>
          <reference field="7" count="1">
            <x v="32"/>
          </reference>
        </references>
      </pivotArea>
    </format>
    <format dxfId="103">
      <pivotArea dataOnly="0" labelOnly="1" outline="0" fieldPosition="0">
        <references count="5">
          <reference field="0" count="1" selected="0">
            <x v="45"/>
          </reference>
          <reference field="2" count="1" selected="0">
            <x v="21"/>
          </reference>
          <reference field="4" count="1" selected="0">
            <x v="45"/>
          </reference>
          <reference field="5" count="1" selected="0">
            <x v="22"/>
          </reference>
          <reference field="7" count="1">
            <x v="22"/>
          </reference>
        </references>
      </pivotArea>
    </format>
    <format dxfId="102">
      <pivotArea dataOnly="0" labelOnly="1" outline="0" fieldPosition="0">
        <references count="5">
          <reference field="0" count="1" selected="0">
            <x v="46"/>
          </reference>
          <reference field="2" count="1" selected="0">
            <x v="50"/>
          </reference>
          <reference field="4" count="1" selected="0">
            <x v="25"/>
          </reference>
          <reference field="5" count="1" selected="0">
            <x v="46"/>
          </reference>
          <reference field="7" count="1">
            <x v="23"/>
          </reference>
        </references>
      </pivotArea>
    </format>
    <format dxfId="101">
      <pivotArea dataOnly="0" labelOnly="1" outline="0" fieldPosition="0">
        <references count="5">
          <reference field="0" count="1" selected="0">
            <x v="47"/>
          </reference>
          <reference field="2" count="1" selected="0">
            <x v="46"/>
          </reference>
          <reference field="4" count="1" selected="0">
            <x v="16"/>
          </reference>
          <reference field="5" count="1" selected="0">
            <x v="42"/>
          </reference>
          <reference field="7" count="1">
            <x v="43"/>
          </reference>
        </references>
      </pivotArea>
    </format>
    <format dxfId="100">
      <pivotArea dataOnly="0" labelOnly="1" outline="0" fieldPosition="0">
        <references count="5">
          <reference field="0" count="1" selected="0">
            <x v="48"/>
          </reference>
          <reference field="2" count="1" selected="0">
            <x v="47"/>
          </reference>
          <reference field="4" count="1" selected="0">
            <x v="29"/>
          </reference>
          <reference field="5" count="1" selected="0">
            <x v="43"/>
          </reference>
          <reference field="7" count="1">
            <x v="28"/>
          </reference>
        </references>
      </pivotArea>
    </format>
    <format dxfId="99">
      <pivotArea dataOnly="0" labelOnly="1" outline="0" fieldPosition="0">
        <references count="5">
          <reference field="0" count="1" selected="0">
            <x v="49"/>
          </reference>
          <reference field="2" count="1" selected="0">
            <x v="48"/>
          </reference>
          <reference field="4" count="1" selected="0">
            <x v="22"/>
          </reference>
          <reference field="5" count="1" selected="0">
            <x v="44"/>
          </reference>
          <reference field="7" count="1">
            <x v="50"/>
          </reference>
        </references>
      </pivotArea>
    </format>
    <format dxfId="98">
      <pivotArea dataOnly="0" labelOnly="1" outline="0" fieldPosition="0">
        <references count="5">
          <reference field="0" count="1" selected="0">
            <x v="50"/>
          </reference>
          <reference field="2" count="1" selected="0">
            <x v="49"/>
          </reference>
          <reference field="4" count="1" selected="0">
            <x v="24"/>
          </reference>
          <reference field="5" count="1" selected="0">
            <x v="45"/>
          </reference>
          <reference field="7" count="1">
            <x v="0"/>
          </reference>
        </references>
      </pivotArea>
    </format>
    <format dxfId="97">
      <pivotArea dataOnly="0" labelOnly="1" outline="0" fieldPosition="0">
        <references count="5">
          <reference field="0" count="1" selected="0">
            <x v="51"/>
          </reference>
          <reference field="2" count="1" selected="0">
            <x v="51"/>
          </reference>
          <reference field="4" count="1" selected="0">
            <x v="30"/>
          </reference>
          <reference field="5" count="1" selected="0">
            <x v="47"/>
          </reference>
          <reference field="7" count="1">
            <x v="38"/>
          </reference>
        </references>
      </pivotArea>
    </format>
    <format dxfId="96">
      <pivotArea dataOnly="0" labelOnly="1" outline="0" fieldPosition="0">
        <references count="5">
          <reference field="0" count="1" selected="0">
            <x v="52"/>
          </reference>
          <reference field="2" count="1" selected="0">
            <x v="52"/>
          </reference>
          <reference field="4" count="1" selected="0">
            <x v="18"/>
          </reference>
          <reference field="5" count="1" selected="0">
            <x v="48"/>
          </reference>
          <reference field="7" count="1">
            <x v="6"/>
          </reference>
        </references>
      </pivotArea>
    </format>
    <format dxfId="95">
      <pivotArea dataOnly="0" labelOnly="1" outline="0" fieldPosition="0">
        <references count="5">
          <reference field="0" count="1" selected="0">
            <x v="53"/>
          </reference>
          <reference field="2" count="1" selected="0">
            <x v="53"/>
          </reference>
          <reference field="4" count="1" selected="0">
            <x v="38"/>
          </reference>
          <reference field="5" count="1" selected="0">
            <x v="56"/>
          </reference>
          <reference field="7" count="1">
            <x v="0"/>
          </reference>
        </references>
      </pivotArea>
    </format>
    <format dxfId="94">
      <pivotArea dataOnly="0" labelOnly="1" outline="0" fieldPosition="0">
        <references count="5">
          <reference field="0" count="1" selected="0">
            <x v="54"/>
          </reference>
          <reference field="2" count="1" selected="0">
            <x v="54"/>
          </reference>
          <reference field="4" count="1" selected="0">
            <x v="12"/>
          </reference>
          <reference field="5" count="1" selected="0">
            <x v="49"/>
          </reference>
          <reference field="7" count="1">
            <x v="21"/>
          </reference>
        </references>
      </pivotArea>
    </format>
    <format dxfId="93">
      <pivotArea dataOnly="0" labelOnly="1" outline="0" fieldPosition="0">
        <references count="5">
          <reference field="0" count="1" selected="0">
            <x v="55"/>
          </reference>
          <reference field="2" count="1" selected="0">
            <x v="55"/>
          </reference>
          <reference field="4" count="1" selected="0">
            <x v="46"/>
          </reference>
          <reference field="5" count="1" selected="0">
            <x v="50"/>
          </reference>
          <reference field="7" count="1">
            <x v="39"/>
          </reference>
        </references>
      </pivotArea>
    </format>
    <format dxfId="92">
      <pivotArea dataOnly="0" labelOnly="1" outline="0" fieldPosition="0">
        <references count="5">
          <reference field="0" count="1" selected="0">
            <x v="56"/>
          </reference>
          <reference field="2" count="1" selected="0">
            <x v="56"/>
          </reference>
          <reference field="4" count="1" selected="0">
            <x v="1"/>
          </reference>
          <reference field="5" count="1" selected="0">
            <x v="1"/>
          </reference>
          <reference field="7" count="1">
            <x v="12"/>
          </reference>
        </references>
      </pivotArea>
    </format>
    <format dxfId="91">
      <pivotArea dataOnly="0" labelOnly="1" outline="0" fieldPosition="0">
        <references count="5">
          <reference field="0" count="1" selected="0">
            <x v="57"/>
          </reference>
          <reference field="2" count="1" selected="0">
            <x v="57"/>
          </reference>
          <reference field="4" count="1" selected="0">
            <x v="2"/>
          </reference>
          <reference field="5" count="1" selected="0">
            <x v="2"/>
          </reference>
          <reference field="7" count="1">
            <x v="42"/>
          </reference>
        </references>
      </pivotArea>
    </format>
    <format dxfId="90">
      <pivotArea dataOnly="0" labelOnly="1" outline="0" fieldPosition="0">
        <references count="5">
          <reference field="0" count="1" selected="0">
            <x v="58"/>
          </reference>
          <reference field="2" count="1" selected="0">
            <x v="58"/>
          </reference>
          <reference field="4" count="1" selected="0">
            <x v="39"/>
          </reference>
          <reference field="5" count="1" selected="0">
            <x v="0"/>
          </reference>
          <reference field="7" count="1">
            <x v="40"/>
          </reference>
        </references>
      </pivotArea>
    </format>
    <format dxfId="89">
      <pivotArea dataOnly="0" labelOnly="1" outline="0" fieldPosition="0">
        <references count="5">
          <reference field="0" count="1" selected="0">
            <x v="59"/>
          </reference>
          <reference field="2" count="1" selected="0">
            <x v="59"/>
          </reference>
          <reference field="4" count="1" selected="0">
            <x v="48"/>
          </reference>
          <reference field="5" count="1" selected="0">
            <x v="51"/>
          </reference>
          <reference field="7" count="1">
            <x v="31"/>
          </reference>
        </references>
      </pivotArea>
    </format>
    <format dxfId="88">
      <pivotArea dataOnly="0" labelOnly="1" outline="0" fieldPosition="0">
        <references count="5">
          <reference field="0" count="1" selected="0">
            <x v="60"/>
          </reference>
          <reference field="2" count="1" selected="0">
            <x v="60"/>
          </reference>
          <reference field="4" count="1" selected="0">
            <x v="49"/>
          </reference>
          <reference field="5" count="1" selected="0">
            <x v="52"/>
          </reference>
          <reference field="7" count="1">
            <x v="10"/>
          </reference>
        </references>
      </pivotArea>
    </format>
    <format dxfId="87">
      <pivotArea dataOnly="0" labelOnly="1" outline="0" fieldPosition="0">
        <references count="5">
          <reference field="0" count="1" selected="0">
            <x v="61"/>
          </reference>
          <reference field="2" count="1" selected="0">
            <x v="61"/>
          </reference>
          <reference field="4" count="1" selected="0">
            <x v="34"/>
          </reference>
          <reference field="5" count="1" selected="0">
            <x v="53"/>
          </reference>
          <reference field="7" count="1">
            <x v="0"/>
          </reference>
        </references>
      </pivotArea>
    </format>
    <format dxfId="86">
      <pivotArea dataOnly="0" labelOnly="1" outline="0" fieldPosition="0">
        <references count="5">
          <reference field="0" count="1" selected="0">
            <x v="62"/>
          </reference>
          <reference field="2" count="1" selected="0">
            <x v="62"/>
          </reference>
          <reference field="4" count="1" selected="0">
            <x v="23"/>
          </reference>
          <reference field="5" count="1" selected="0">
            <x v="54"/>
          </reference>
          <reference field="7" count="1">
            <x v="44"/>
          </reference>
        </references>
      </pivotArea>
    </format>
    <format dxfId="85">
      <pivotArea dataOnly="0" labelOnly="1" outline="0" fieldPosition="0">
        <references count="5">
          <reference field="0" count="1" selected="0">
            <x v="63"/>
          </reference>
          <reference field="2" count="1" selected="0">
            <x v="63"/>
          </reference>
          <reference field="4" count="1" selected="0">
            <x v="36"/>
          </reference>
          <reference field="5" count="1" selected="0">
            <x v="55"/>
          </reference>
          <reference field="7" count="1">
            <x v="37"/>
          </reference>
        </references>
      </pivotArea>
    </format>
    <format dxfId="84">
      <pivotArea dataOnly="0" labelOnly="1" outline="0" fieldPosition="0">
        <references count="5">
          <reference field="0" count="1" selected="0">
            <x v="64"/>
          </reference>
          <reference field="2" count="1" selected="0">
            <x v="64"/>
          </reference>
          <reference field="4" count="1" selected="0">
            <x v="64"/>
          </reference>
          <reference field="5" count="1" selected="0">
            <x v="57"/>
          </reference>
          <reference field="7" count="1">
            <x v="56"/>
          </reference>
        </references>
      </pivotArea>
    </format>
    <format dxfId="83">
      <pivotArea dataOnly="0" labelOnly="1" outline="0" fieldPosition="0">
        <references count="6">
          <reference field="0" count="1" selected="0">
            <x v="0"/>
          </reference>
          <reference field="2" count="1" selected="0">
            <x v="0"/>
          </reference>
          <reference field="4" count="1" selected="0">
            <x v="0"/>
          </reference>
          <reference field="5" count="1" selected="0">
            <x v="0"/>
          </reference>
          <reference field="7" count="1" selected="0">
            <x v="0"/>
          </reference>
          <reference field="8" count="1">
            <x v="0"/>
          </reference>
        </references>
      </pivotArea>
    </format>
    <format dxfId="82">
      <pivotArea dataOnly="0" labelOnly="1" outline="0" fieldPosition="0">
        <references count="6">
          <reference field="0" count="1" selected="0">
            <x v="1"/>
          </reference>
          <reference field="2" count="1" selected="0">
            <x v="1"/>
          </reference>
          <reference field="4" count="1" selected="0">
            <x v="17"/>
          </reference>
          <reference field="5" count="1" selected="0">
            <x v="4"/>
          </reference>
          <reference field="7" count="1" selected="0">
            <x v="14"/>
          </reference>
          <reference field="8" count="1">
            <x v="17"/>
          </reference>
        </references>
      </pivotArea>
    </format>
    <format dxfId="81">
      <pivotArea dataOnly="0" labelOnly="1" outline="0" fieldPosition="0">
        <references count="6">
          <reference field="0" count="1" selected="0">
            <x v="2"/>
          </reference>
          <reference field="2" count="1" selected="0">
            <x v="2"/>
          </reference>
          <reference field="4" count="1" selected="0">
            <x v="51"/>
          </reference>
          <reference field="5" count="1" selected="0">
            <x v="6"/>
          </reference>
          <reference field="7" count="1" selected="0">
            <x v="26"/>
          </reference>
          <reference field="8" count="1">
            <x v="25"/>
          </reference>
        </references>
      </pivotArea>
    </format>
    <format dxfId="80">
      <pivotArea dataOnly="0" labelOnly="1" outline="0" fieldPosition="0">
        <references count="6">
          <reference field="0" count="1" selected="0">
            <x v="3"/>
          </reference>
          <reference field="2" count="1" selected="0">
            <x v="3"/>
          </reference>
          <reference field="4" count="1" selected="0">
            <x v="13"/>
          </reference>
          <reference field="5" count="1" selected="0">
            <x v="7"/>
          </reference>
          <reference field="7" count="1" selected="0">
            <x v="13"/>
          </reference>
          <reference field="8" count="1">
            <x v="7"/>
          </reference>
        </references>
      </pivotArea>
    </format>
    <format dxfId="79">
      <pivotArea dataOnly="0" labelOnly="1" outline="0" fieldPosition="0">
        <references count="6">
          <reference field="0" count="1" selected="0">
            <x v="4"/>
          </reference>
          <reference field="2" count="1" selected="0">
            <x v="4"/>
          </reference>
          <reference field="4" count="1" selected="0">
            <x v="11"/>
          </reference>
          <reference field="5" count="1" selected="0">
            <x v="34"/>
          </reference>
          <reference field="7" count="1" selected="0">
            <x v="9"/>
          </reference>
          <reference field="8" count="1">
            <x v="1"/>
          </reference>
        </references>
      </pivotArea>
    </format>
    <format dxfId="78">
      <pivotArea dataOnly="0" labelOnly="1" outline="0" fieldPosition="0">
        <references count="6">
          <reference field="0" count="1" selected="0">
            <x v="5"/>
          </reference>
          <reference field="2" count="1" selected="0">
            <x v="5"/>
          </reference>
          <reference field="4" count="1" selected="0">
            <x v="20"/>
          </reference>
          <reference field="5" count="1" selected="0">
            <x v="8"/>
          </reference>
          <reference field="7" count="1" selected="0">
            <x v="11"/>
          </reference>
          <reference field="8" count="1">
            <x v="3"/>
          </reference>
        </references>
      </pivotArea>
    </format>
    <format dxfId="77">
      <pivotArea dataOnly="0" labelOnly="1" outline="0" fieldPosition="0">
        <references count="6">
          <reference field="0" count="1" selected="0">
            <x v="6"/>
          </reference>
          <reference field="2" count="1" selected="0">
            <x v="6"/>
          </reference>
          <reference field="4" count="1" selected="0">
            <x v="60"/>
          </reference>
          <reference field="5" count="1" selected="0">
            <x v="9"/>
          </reference>
          <reference field="7" count="1" selected="0">
            <x v="27"/>
          </reference>
          <reference field="8" count="1">
            <x v="0"/>
          </reference>
        </references>
      </pivotArea>
    </format>
    <format dxfId="76">
      <pivotArea dataOnly="0" labelOnly="1" outline="0" fieldPosition="0">
        <references count="6">
          <reference field="0" count="1" selected="0">
            <x v="7"/>
          </reference>
          <reference field="2" count="1" selected="0">
            <x v="7"/>
          </reference>
          <reference field="4" count="1" selected="0">
            <x v="14"/>
          </reference>
          <reference field="5" count="1" selected="0">
            <x v="10"/>
          </reference>
          <reference field="7" count="1" selected="0">
            <x v="0"/>
          </reference>
          <reference field="8" count="1">
            <x v="21"/>
          </reference>
        </references>
      </pivotArea>
    </format>
    <format dxfId="75">
      <pivotArea dataOnly="0" labelOnly="1" outline="0" fieldPosition="0">
        <references count="6">
          <reference field="0" count="1" selected="0">
            <x v="8"/>
          </reference>
          <reference field="2" count="1" selected="0">
            <x v="8"/>
          </reference>
          <reference field="4" count="1" selected="0">
            <x v="37"/>
          </reference>
          <reference field="5" count="1" selected="0">
            <x v="12"/>
          </reference>
          <reference field="7" count="1" selected="0">
            <x v="35"/>
          </reference>
          <reference field="8" count="1">
            <x v="28"/>
          </reference>
        </references>
      </pivotArea>
    </format>
    <format dxfId="74">
      <pivotArea dataOnly="0" labelOnly="1" outline="0" fieldPosition="0">
        <references count="6">
          <reference field="0" count="1" selected="0">
            <x v="9"/>
          </reference>
          <reference field="2" count="1" selected="0">
            <x v="9"/>
          </reference>
          <reference field="4" count="1" selected="0">
            <x v="35"/>
          </reference>
          <reference field="5" count="1" selected="0">
            <x v="0"/>
          </reference>
          <reference field="7" count="1" selected="0">
            <x v="25"/>
          </reference>
          <reference field="8" count="1">
            <x v="0"/>
          </reference>
        </references>
      </pivotArea>
    </format>
    <format dxfId="73">
      <pivotArea dataOnly="0" labelOnly="1" outline="0" fieldPosition="0">
        <references count="6">
          <reference field="0" count="1" selected="0">
            <x v="10"/>
          </reference>
          <reference field="2" count="1" selected="0">
            <x v="10"/>
          </reference>
          <reference field="4" count="1" selected="0">
            <x v="55"/>
          </reference>
          <reference field="5" count="1" selected="0">
            <x v="13"/>
          </reference>
          <reference field="7" count="1" selected="0">
            <x v="4"/>
          </reference>
          <reference field="8" count="1">
            <x v="11"/>
          </reference>
        </references>
      </pivotArea>
    </format>
    <format dxfId="72">
      <pivotArea dataOnly="0" labelOnly="1" outline="0" fieldPosition="0">
        <references count="6">
          <reference field="0" count="1" selected="0">
            <x v="11"/>
          </reference>
          <reference field="2" count="1" selected="0">
            <x v="11"/>
          </reference>
          <reference field="4" count="1" selected="0">
            <x v="10"/>
          </reference>
          <reference field="5" count="1" selected="0">
            <x v="14"/>
          </reference>
          <reference field="7" count="1" selected="0">
            <x v="1"/>
          </reference>
          <reference field="8" count="1">
            <x v="6"/>
          </reference>
        </references>
      </pivotArea>
    </format>
    <format dxfId="71">
      <pivotArea dataOnly="0" labelOnly="1" outline="0" fieldPosition="0">
        <references count="6">
          <reference field="0" count="1" selected="0">
            <x v="12"/>
          </reference>
          <reference field="2" count="1" selected="0">
            <x v="12"/>
          </reference>
          <reference field="4" count="1" selected="0">
            <x v="63"/>
          </reference>
          <reference field="5" count="1" selected="0">
            <x v="15"/>
          </reference>
          <reference field="7" count="1" selected="0">
            <x v="5"/>
          </reference>
          <reference field="8" count="1">
            <x v="39"/>
          </reference>
        </references>
      </pivotArea>
    </format>
    <format dxfId="70">
      <pivotArea dataOnly="0" labelOnly="1" outline="0" fieldPosition="0">
        <references count="6">
          <reference field="0" count="1" selected="0">
            <x v="13"/>
          </reference>
          <reference field="2" count="1" selected="0">
            <x v="13"/>
          </reference>
          <reference field="4" count="1" selected="0">
            <x v="4"/>
          </reference>
          <reference field="5" count="1" selected="0">
            <x v="16"/>
          </reference>
          <reference field="7" count="1" selected="0">
            <x v="54"/>
          </reference>
          <reference field="8" count="1">
            <x v="40"/>
          </reference>
        </references>
      </pivotArea>
    </format>
    <format dxfId="69">
      <pivotArea dataOnly="0" labelOnly="1" outline="0" fieldPosition="0">
        <references count="6">
          <reference field="0" count="1" selected="0">
            <x v="14"/>
          </reference>
          <reference field="2" count="1" selected="0">
            <x v="14"/>
          </reference>
          <reference field="4" count="1" selected="0">
            <x v="21"/>
          </reference>
          <reference field="5" count="1" selected="0">
            <x v="0"/>
          </reference>
          <reference field="7" count="1" selected="0">
            <x v="17"/>
          </reference>
          <reference field="8" count="1">
            <x v="0"/>
          </reference>
        </references>
      </pivotArea>
    </format>
    <format dxfId="68">
      <pivotArea dataOnly="0" labelOnly="1" outline="0" fieldPosition="0">
        <references count="6">
          <reference field="0" count="1" selected="0">
            <x v="15"/>
          </reference>
          <reference field="2" count="1" selected="0">
            <x v="15"/>
          </reference>
          <reference field="4" count="1" selected="0">
            <x v="28"/>
          </reference>
          <reference field="5" count="1" selected="0">
            <x v="17"/>
          </reference>
          <reference field="7" count="1" selected="0">
            <x v="30"/>
          </reference>
          <reference field="8" count="1">
            <x v="2"/>
          </reference>
        </references>
      </pivotArea>
    </format>
    <format dxfId="67">
      <pivotArea dataOnly="0" labelOnly="1" outline="0" fieldPosition="0">
        <references count="6">
          <reference field="0" count="1" selected="0">
            <x v="16"/>
          </reference>
          <reference field="2" count="1" selected="0">
            <x v="16"/>
          </reference>
          <reference field="4" count="1" selected="0">
            <x v="57"/>
          </reference>
          <reference field="5" count="1" selected="0">
            <x v="18"/>
          </reference>
          <reference field="7" count="1" selected="0">
            <x v="33"/>
          </reference>
          <reference field="8" count="1">
            <x v="19"/>
          </reference>
        </references>
      </pivotArea>
    </format>
    <format dxfId="66">
      <pivotArea dataOnly="0" labelOnly="1" outline="0" fieldPosition="0">
        <references count="6">
          <reference field="0" count="1" selected="0">
            <x v="17"/>
          </reference>
          <reference field="2" count="1" selected="0">
            <x v="17"/>
          </reference>
          <reference field="4" count="1" selected="0">
            <x v="32"/>
          </reference>
          <reference field="5" count="1" selected="0">
            <x v="19"/>
          </reference>
          <reference field="7" count="1" selected="0">
            <x v="51"/>
          </reference>
          <reference field="8" count="1">
            <x v="4"/>
          </reference>
        </references>
      </pivotArea>
    </format>
    <format dxfId="65">
      <pivotArea dataOnly="0" labelOnly="1" outline="0" fieldPosition="0">
        <references count="6">
          <reference field="0" count="1" selected="0">
            <x v="18"/>
          </reference>
          <reference field="2" count="1" selected="0">
            <x v="18"/>
          </reference>
          <reference field="4" count="1" selected="0">
            <x v="54"/>
          </reference>
          <reference field="5" count="1" selected="0">
            <x v="20"/>
          </reference>
          <reference field="7" count="1" selected="0">
            <x v="29"/>
          </reference>
          <reference field="8" count="1">
            <x v="15"/>
          </reference>
        </references>
      </pivotArea>
    </format>
    <format dxfId="64">
      <pivotArea dataOnly="0" labelOnly="1" outline="0" fieldPosition="0">
        <references count="6">
          <reference field="0" count="1" selected="0">
            <x v="19"/>
          </reference>
          <reference field="2" count="1" selected="0">
            <x v="19"/>
          </reference>
          <reference field="4" count="1" selected="0">
            <x v="62"/>
          </reference>
          <reference field="5" count="1" selected="0">
            <x v="11"/>
          </reference>
          <reference field="7" count="1" selected="0">
            <x v="0"/>
          </reference>
          <reference field="8" count="1">
            <x v="5"/>
          </reference>
        </references>
      </pivotArea>
    </format>
    <format dxfId="63">
      <pivotArea dataOnly="0" labelOnly="1" outline="0" fieldPosition="0">
        <references count="6">
          <reference field="0" count="1" selected="0">
            <x v="20"/>
          </reference>
          <reference field="2" count="1" selected="0">
            <x v="20"/>
          </reference>
          <reference field="4" count="1" selected="0">
            <x v="59"/>
          </reference>
          <reference field="5" count="1" selected="0">
            <x v="21"/>
          </reference>
          <reference field="7" count="1" selected="0">
            <x v="15"/>
          </reference>
          <reference field="8" count="1">
            <x v="8"/>
          </reference>
        </references>
      </pivotArea>
    </format>
    <format dxfId="62">
      <pivotArea dataOnly="0" labelOnly="1" outline="0" fieldPosition="0">
        <references count="6">
          <reference field="0" count="1" selected="0">
            <x v="21"/>
          </reference>
          <reference field="2" count="1" selected="0">
            <x v="22"/>
          </reference>
          <reference field="4" count="1" selected="0">
            <x v="56"/>
          </reference>
          <reference field="5" count="1" selected="0">
            <x v="23"/>
          </reference>
          <reference field="7" count="1" selected="0">
            <x v="0"/>
          </reference>
          <reference field="8" count="1">
            <x v="38"/>
          </reference>
        </references>
      </pivotArea>
    </format>
    <format dxfId="61">
      <pivotArea dataOnly="0" labelOnly="1" outline="0" fieldPosition="0">
        <references count="6">
          <reference field="0" count="1" selected="0">
            <x v="22"/>
          </reference>
          <reference field="2" count="1" selected="0">
            <x v="23"/>
          </reference>
          <reference field="4" count="1" selected="0">
            <x v="15"/>
          </reference>
          <reference field="5" count="1" selected="0">
            <x v="25"/>
          </reference>
          <reference field="7" count="1" selected="0">
            <x v="52"/>
          </reference>
          <reference field="8" count="1">
            <x v="32"/>
          </reference>
        </references>
      </pivotArea>
    </format>
    <format dxfId="60">
      <pivotArea dataOnly="0" labelOnly="1" outline="0" fieldPosition="0">
        <references count="6">
          <reference field="0" count="1" selected="0">
            <x v="23"/>
          </reference>
          <reference field="2" count="1" selected="0">
            <x v="24"/>
          </reference>
          <reference field="4" count="1" selected="0">
            <x v="53"/>
          </reference>
          <reference field="5" count="1" selected="0">
            <x v="26"/>
          </reference>
          <reference field="7" count="1" selected="0">
            <x v="47"/>
          </reference>
          <reference field="8" count="1">
            <x v="10"/>
          </reference>
        </references>
      </pivotArea>
    </format>
    <format dxfId="59">
      <pivotArea dataOnly="0" labelOnly="1" outline="0" fieldPosition="0">
        <references count="6">
          <reference field="0" count="1" selected="0">
            <x v="24"/>
          </reference>
          <reference field="2" count="1" selected="0">
            <x v="26"/>
          </reference>
          <reference field="4" count="1" selected="0">
            <x v="52"/>
          </reference>
          <reference field="5" count="1" selected="0">
            <x v="27"/>
          </reference>
          <reference field="7" count="1" selected="0">
            <x v="20"/>
          </reference>
          <reference field="8" count="1">
            <x v="23"/>
          </reference>
        </references>
      </pivotArea>
    </format>
    <format dxfId="58">
      <pivotArea dataOnly="0" labelOnly="1" outline="0" fieldPosition="0">
        <references count="6">
          <reference field="0" count="1" selected="0">
            <x v="25"/>
          </reference>
          <reference field="2" count="1" selected="0">
            <x v="25"/>
          </reference>
          <reference field="4" count="1" selected="0">
            <x v="31"/>
          </reference>
          <reference field="5" count="1" selected="0">
            <x v="28"/>
          </reference>
          <reference field="7" count="1" selected="0">
            <x v="0"/>
          </reference>
          <reference field="8" count="1">
            <x v="33"/>
          </reference>
        </references>
      </pivotArea>
    </format>
    <format dxfId="57">
      <pivotArea dataOnly="0" labelOnly="1" outline="0" fieldPosition="0">
        <references count="6">
          <reference field="0" count="1" selected="0">
            <x v="26"/>
          </reference>
          <reference field="2" count="1" selected="0">
            <x v="28"/>
          </reference>
          <reference field="4" count="1" selected="0">
            <x v="7"/>
          </reference>
          <reference field="5" count="1" selected="0">
            <x v="5"/>
          </reference>
          <reference field="7" count="1" selected="0">
            <x v="24"/>
          </reference>
          <reference field="8" count="1">
            <x v="0"/>
          </reference>
        </references>
      </pivotArea>
    </format>
    <format dxfId="56">
      <pivotArea dataOnly="0" labelOnly="1" outline="0" fieldPosition="0">
        <references count="6">
          <reference field="0" count="1" selected="0">
            <x v="27"/>
          </reference>
          <reference field="2" count="1" selected="0">
            <x v="27"/>
          </reference>
          <reference field="4" count="1" selected="0">
            <x v="58"/>
          </reference>
          <reference field="5" count="1" selected="0">
            <x v="29"/>
          </reference>
          <reference field="7" count="1" selected="0">
            <x v="19"/>
          </reference>
          <reference field="8" count="1">
            <x v="2"/>
          </reference>
        </references>
      </pivotArea>
    </format>
    <format dxfId="55">
      <pivotArea dataOnly="0" labelOnly="1" outline="0" fieldPosition="0">
        <references count="6">
          <reference field="0" count="1" selected="0">
            <x v="28"/>
          </reference>
          <reference field="2" count="1" selected="0">
            <x v="29"/>
          </reference>
          <reference field="4" count="1" selected="0">
            <x v="40"/>
          </reference>
          <reference field="5" count="1" selected="0">
            <x v="30"/>
          </reference>
          <reference field="7" count="1" selected="0">
            <x v="34"/>
          </reference>
          <reference field="8" count="1">
            <x v="0"/>
          </reference>
        </references>
      </pivotArea>
    </format>
    <format dxfId="54">
      <pivotArea dataOnly="0" labelOnly="1" outline="0" fieldPosition="0">
        <references count="6">
          <reference field="0" count="1" selected="0">
            <x v="29"/>
          </reference>
          <reference field="2" count="1" selected="0">
            <x v="30"/>
          </reference>
          <reference field="4" count="1" selected="0">
            <x v="61"/>
          </reference>
          <reference field="5" count="1" selected="0">
            <x v="31"/>
          </reference>
          <reference field="7" count="1" selected="0">
            <x v="53"/>
          </reference>
          <reference field="8" count="1">
            <x v="0"/>
          </reference>
        </references>
      </pivotArea>
    </format>
    <format dxfId="53">
      <pivotArea dataOnly="0" labelOnly="1" outline="0" fieldPosition="0">
        <references count="6">
          <reference field="0" count="1" selected="0">
            <x v="30"/>
          </reference>
          <reference field="2" count="1" selected="0">
            <x v="31"/>
          </reference>
          <reference field="4" count="1" selected="0">
            <x v="27"/>
          </reference>
          <reference field="5" count="1" selected="0">
            <x v="31"/>
          </reference>
          <reference field="7" count="1" selected="0">
            <x v="3"/>
          </reference>
          <reference field="8" count="1">
            <x v="0"/>
          </reference>
        </references>
      </pivotArea>
    </format>
    <format dxfId="52">
      <pivotArea dataOnly="0" labelOnly="1" outline="0" fieldPosition="0">
        <references count="6">
          <reference field="0" count="1" selected="0">
            <x v="31"/>
          </reference>
          <reference field="2" count="1" selected="0">
            <x v="32"/>
          </reference>
          <reference field="4" count="1" selected="0">
            <x v="47"/>
          </reference>
          <reference field="5" count="1" selected="0">
            <x v="32"/>
          </reference>
          <reference field="7" count="1" selected="0">
            <x v="49"/>
          </reference>
          <reference field="8" count="1">
            <x v="0"/>
          </reference>
        </references>
      </pivotArea>
    </format>
    <format dxfId="51">
      <pivotArea dataOnly="0" labelOnly="1" outline="0" fieldPosition="0">
        <references count="6">
          <reference field="0" count="1" selected="0">
            <x v="32"/>
          </reference>
          <reference field="2" count="1" selected="0">
            <x v="33"/>
          </reference>
          <reference field="4" count="1" selected="0">
            <x v="50"/>
          </reference>
          <reference field="5" count="1" selected="0">
            <x v="0"/>
          </reference>
          <reference field="7" count="1" selected="0">
            <x v="16"/>
          </reference>
          <reference field="8" count="1">
            <x v="0"/>
          </reference>
        </references>
      </pivotArea>
    </format>
    <format dxfId="50">
      <pivotArea dataOnly="0" labelOnly="1" outline="0" fieldPosition="0">
        <references count="6">
          <reference field="0" count="1" selected="0">
            <x v="33"/>
          </reference>
          <reference field="2" count="1" selected="0">
            <x v="34"/>
          </reference>
          <reference field="4" count="1" selected="0">
            <x v="44"/>
          </reference>
          <reference field="5" count="1" selected="0">
            <x v="0"/>
          </reference>
          <reference field="7" count="1" selected="0">
            <x v="2"/>
          </reference>
          <reference field="8" count="1">
            <x v="0"/>
          </reference>
        </references>
      </pivotArea>
    </format>
    <format dxfId="49">
      <pivotArea dataOnly="0" labelOnly="1" outline="0" fieldPosition="0">
        <references count="6">
          <reference field="0" count="1" selected="0">
            <x v="34"/>
          </reference>
          <reference field="2" count="1" selected="0">
            <x v="35"/>
          </reference>
          <reference field="4" count="1" selected="0">
            <x v="5"/>
          </reference>
          <reference field="5" count="1" selected="0">
            <x v="33"/>
          </reference>
          <reference field="7" count="1" selected="0">
            <x v="0"/>
          </reference>
          <reference field="8" count="1">
            <x v="37"/>
          </reference>
        </references>
      </pivotArea>
    </format>
    <format dxfId="48">
      <pivotArea dataOnly="0" labelOnly="1" outline="0" fieldPosition="0">
        <references count="6">
          <reference field="0" count="1" selected="0">
            <x v="35"/>
          </reference>
          <reference field="2" count="1" selected="0">
            <x v="36"/>
          </reference>
          <reference field="4" count="1" selected="0">
            <x v="3"/>
          </reference>
          <reference field="5" count="1" selected="0">
            <x v="35"/>
          </reference>
          <reference field="7" count="1" selected="0">
            <x v="36"/>
          </reference>
          <reference field="8" count="1">
            <x v="34"/>
          </reference>
        </references>
      </pivotArea>
    </format>
    <format dxfId="47">
      <pivotArea dataOnly="0" labelOnly="1" outline="0" fieldPosition="0">
        <references count="6">
          <reference field="0" count="1" selected="0">
            <x v="36"/>
          </reference>
          <reference field="2" count="1" selected="0">
            <x v="37"/>
          </reference>
          <reference field="4" count="1" selected="0">
            <x v="42"/>
          </reference>
          <reference field="5" count="1" selected="0">
            <x v="0"/>
          </reference>
          <reference field="7" count="1" selected="0">
            <x v="41"/>
          </reference>
          <reference field="8" count="1">
            <x v="0"/>
          </reference>
        </references>
      </pivotArea>
    </format>
    <format dxfId="46">
      <pivotArea dataOnly="0" labelOnly="1" outline="0" fieldPosition="0">
        <references count="6">
          <reference field="0" count="1" selected="0">
            <x v="37"/>
          </reference>
          <reference field="2" count="1" selected="0">
            <x v="38"/>
          </reference>
          <reference field="4" count="1" selected="0">
            <x v="19"/>
          </reference>
          <reference field="5" count="1" selected="0">
            <x v="24"/>
          </reference>
          <reference field="7" count="1" selected="0">
            <x v="45"/>
          </reference>
          <reference field="8" count="1">
            <x v="20"/>
          </reference>
        </references>
      </pivotArea>
    </format>
    <format dxfId="45">
      <pivotArea dataOnly="0" labelOnly="1" outline="0" fieldPosition="0">
        <references count="6">
          <reference field="0" count="1" selected="0">
            <x v="38"/>
          </reference>
          <reference field="2" count="1" selected="0">
            <x v="39"/>
          </reference>
          <reference field="4" count="1" selected="0">
            <x v="43"/>
          </reference>
          <reference field="5" count="1" selected="0">
            <x v="36"/>
          </reference>
          <reference field="7" count="1" selected="0">
            <x v="18"/>
          </reference>
          <reference field="8" count="1">
            <x v="20"/>
          </reference>
        </references>
      </pivotArea>
    </format>
    <format dxfId="44">
      <pivotArea dataOnly="0" labelOnly="1" outline="0" fieldPosition="0">
        <references count="6">
          <reference field="0" count="1" selected="0">
            <x v="39"/>
          </reference>
          <reference field="2" count="1" selected="0">
            <x v="40"/>
          </reference>
          <reference field="4" count="1" selected="0">
            <x v="41"/>
          </reference>
          <reference field="5" count="1" selected="0">
            <x v="37"/>
          </reference>
          <reference field="7" count="1" selected="0">
            <x v="7"/>
          </reference>
          <reference field="8" count="1">
            <x v="0"/>
          </reference>
        </references>
      </pivotArea>
    </format>
    <format dxfId="43">
      <pivotArea dataOnly="0" labelOnly="1" outline="0" fieldPosition="0">
        <references count="6">
          <reference field="0" count="1" selected="0">
            <x v="40"/>
          </reference>
          <reference field="2" count="1" selected="0">
            <x v="41"/>
          </reference>
          <reference field="4" count="1" selected="0">
            <x v="6"/>
          </reference>
          <reference field="5" count="1" selected="0">
            <x v="38"/>
          </reference>
          <reference field="7" count="1" selected="0">
            <x v="46"/>
          </reference>
          <reference field="8" count="1">
            <x v="26"/>
          </reference>
        </references>
      </pivotArea>
    </format>
    <format dxfId="42">
      <pivotArea dataOnly="0" labelOnly="1" outline="0" fieldPosition="0">
        <references count="6">
          <reference field="0" count="1" selected="0">
            <x v="41"/>
          </reference>
          <reference field="2" count="1" selected="0">
            <x v="42"/>
          </reference>
          <reference field="4" count="1" selected="0">
            <x v="9"/>
          </reference>
          <reference field="5" count="1" selected="0">
            <x v="39"/>
          </reference>
          <reference field="7" count="1" selected="0">
            <x v="8"/>
          </reference>
          <reference field="8" count="1">
            <x v="12"/>
          </reference>
        </references>
      </pivotArea>
    </format>
    <format dxfId="41">
      <pivotArea dataOnly="0" labelOnly="1" outline="0" fieldPosition="0">
        <references count="6">
          <reference field="0" count="1" selected="0">
            <x v="42"/>
          </reference>
          <reference field="2" count="1" selected="0">
            <x v="43"/>
          </reference>
          <reference field="4" count="1" selected="0">
            <x v="8"/>
          </reference>
          <reference field="5" count="1" selected="0">
            <x v="40"/>
          </reference>
          <reference field="7" count="1" selected="0">
            <x v="55"/>
          </reference>
          <reference field="8" count="1">
            <x v="29"/>
          </reference>
        </references>
      </pivotArea>
    </format>
    <format dxfId="40">
      <pivotArea dataOnly="0" labelOnly="1" outline="0" fieldPosition="0">
        <references count="6">
          <reference field="0" count="1" selected="0">
            <x v="43"/>
          </reference>
          <reference field="2" count="1" selected="0">
            <x v="44"/>
          </reference>
          <reference field="4" count="1" selected="0">
            <x v="33"/>
          </reference>
          <reference field="5" count="1" selected="0">
            <x v="41"/>
          </reference>
          <reference field="7" count="1" selected="0">
            <x v="48"/>
          </reference>
          <reference field="8" count="1">
            <x v="9"/>
          </reference>
        </references>
      </pivotArea>
    </format>
    <format dxfId="39">
      <pivotArea dataOnly="0" labelOnly="1" outline="0" fieldPosition="0">
        <references count="6">
          <reference field="0" count="1" selected="0">
            <x v="44"/>
          </reference>
          <reference field="2" count="1" selected="0">
            <x v="45"/>
          </reference>
          <reference field="4" count="1" selected="0">
            <x v="26"/>
          </reference>
          <reference field="5" count="1" selected="0">
            <x v="3"/>
          </reference>
          <reference field="7" count="1" selected="0">
            <x v="32"/>
          </reference>
          <reference field="8" count="1">
            <x v="24"/>
          </reference>
        </references>
      </pivotArea>
    </format>
    <format dxfId="38">
      <pivotArea dataOnly="0" labelOnly="1" outline="0" fieldPosition="0">
        <references count="6">
          <reference field="0" count="1" selected="0">
            <x v="45"/>
          </reference>
          <reference field="2" count="1" selected="0">
            <x v="21"/>
          </reference>
          <reference field="4" count="1" selected="0">
            <x v="45"/>
          </reference>
          <reference field="5" count="1" selected="0">
            <x v="22"/>
          </reference>
          <reference field="7" count="1" selected="0">
            <x v="22"/>
          </reference>
          <reference field="8" count="1">
            <x v="0"/>
          </reference>
        </references>
      </pivotArea>
    </format>
    <format dxfId="37">
      <pivotArea dataOnly="0" labelOnly="1" outline="0" fieldPosition="0">
        <references count="6">
          <reference field="0" count="1" selected="0">
            <x v="46"/>
          </reference>
          <reference field="2" count="1" selected="0">
            <x v="50"/>
          </reference>
          <reference field="4" count="1" selected="0">
            <x v="25"/>
          </reference>
          <reference field="5" count="1" selected="0">
            <x v="46"/>
          </reference>
          <reference field="7" count="1" selected="0">
            <x v="23"/>
          </reference>
          <reference field="8" count="1">
            <x v="0"/>
          </reference>
        </references>
      </pivotArea>
    </format>
    <format dxfId="36">
      <pivotArea dataOnly="0" labelOnly="1" outline="0" fieldPosition="0">
        <references count="6">
          <reference field="0" count="1" selected="0">
            <x v="47"/>
          </reference>
          <reference field="2" count="1" selected="0">
            <x v="46"/>
          </reference>
          <reference field="4" count="1" selected="0">
            <x v="16"/>
          </reference>
          <reference field="5" count="1" selected="0">
            <x v="42"/>
          </reference>
          <reference field="7" count="1" selected="0">
            <x v="43"/>
          </reference>
          <reference field="8" count="1">
            <x v="31"/>
          </reference>
        </references>
      </pivotArea>
    </format>
    <format dxfId="35">
      <pivotArea dataOnly="0" labelOnly="1" outline="0" fieldPosition="0">
        <references count="6">
          <reference field="0" count="1" selected="0">
            <x v="48"/>
          </reference>
          <reference field="2" count="1" selected="0">
            <x v="47"/>
          </reference>
          <reference field="4" count="1" selected="0">
            <x v="29"/>
          </reference>
          <reference field="5" count="1" selected="0">
            <x v="43"/>
          </reference>
          <reference field="7" count="1" selected="0">
            <x v="28"/>
          </reference>
          <reference field="8" count="1">
            <x v="18"/>
          </reference>
        </references>
      </pivotArea>
    </format>
    <format dxfId="34">
      <pivotArea dataOnly="0" labelOnly="1" outline="0" fieldPosition="0">
        <references count="6">
          <reference field="0" count="1" selected="0">
            <x v="49"/>
          </reference>
          <reference field="2" count="1" selected="0">
            <x v="48"/>
          </reference>
          <reference field="4" count="1" selected="0">
            <x v="22"/>
          </reference>
          <reference field="5" count="1" selected="0">
            <x v="44"/>
          </reference>
          <reference field="7" count="1" selected="0">
            <x v="50"/>
          </reference>
          <reference field="8" count="1">
            <x v="0"/>
          </reference>
        </references>
      </pivotArea>
    </format>
    <format dxfId="33">
      <pivotArea dataOnly="0" labelOnly="1" outline="0" fieldPosition="0">
        <references count="6">
          <reference field="0" count="1" selected="0">
            <x v="50"/>
          </reference>
          <reference field="2" count="1" selected="0">
            <x v="49"/>
          </reference>
          <reference field="4" count="1" selected="0">
            <x v="24"/>
          </reference>
          <reference field="5" count="1" selected="0">
            <x v="45"/>
          </reference>
          <reference field="7" count="1" selected="0">
            <x v="0"/>
          </reference>
          <reference field="8" count="1">
            <x v="2"/>
          </reference>
        </references>
      </pivotArea>
    </format>
    <format dxfId="32">
      <pivotArea dataOnly="0" labelOnly="1" outline="0" fieldPosition="0">
        <references count="6">
          <reference field="0" count="1" selected="0">
            <x v="51"/>
          </reference>
          <reference field="2" count="1" selected="0">
            <x v="51"/>
          </reference>
          <reference field="4" count="1" selected="0">
            <x v="30"/>
          </reference>
          <reference field="5" count="1" selected="0">
            <x v="47"/>
          </reference>
          <reference field="7" count="1" selected="0">
            <x v="38"/>
          </reference>
          <reference field="8" count="1">
            <x v="16"/>
          </reference>
        </references>
      </pivotArea>
    </format>
    <format dxfId="31">
      <pivotArea dataOnly="0" labelOnly="1" outline="0" fieldPosition="0">
        <references count="6">
          <reference field="0" count="1" selected="0">
            <x v="52"/>
          </reference>
          <reference field="2" count="1" selected="0">
            <x v="52"/>
          </reference>
          <reference field="4" count="1" selected="0">
            <x v="18"/>
          </reference>
          <reference field="5" count="1" selected="0">
            <x v="48"/>
          </reference>
          <reference field="7" count="1" selected="0">
            <x v="6"/>
          </reference>
          <reference field="8" count="1">
            <x v="22"/>
          </reference>
        </references>
      </pivotArea>
    </format>
    <format dxfId="30">
      <pivotArea dataOnly="0" labelOnly="1" outline="0" fieldPosition="0">
        <references count="6">
          <reference field="0" count="1" selected="0">
            <x v="53"/>
          </reference>
          <reference field="2" count="1" selected="0">
            <x v="53"/>
          </reference>
          <reference field="4" count="1" selected="0">
            <x v="38"/>
          </reference>
          <reference field="5" count="1" selected="0">
            <x v="56"/>
          </reference>
          <reference field="7" count="1" selected="0">
            <x v="0"/>
          </reference>
          <reference field="8" count="1">
            <x v="14"/>
          </reference>
        </references>
      </pivotArea>
    </format>
    <format dxfId="29">
      <pivotArea dataOnly="0" labelOnly="1" outline="0" fieldPosition="0">
        <references count="6">
          <reference field="0" count="1" selected="0">
            <x v="54"/>
          </reference>
          <reference field="2" count="1" selected="0">
            <x v="54"/>
          </reference>
          <reference field="4" count="1" selected="0">
            <x v="12"/>
          </reference>
          <reference field="5" count="1" selected="0">
            <x v="49"/>
          </reference>
          <reference field="7" count="1" selected="0">
            <x v="21"/>
          </reference>
          <reference field="8" count="1">
            <x v="13"/>
          </reference>
        </references>
      </pivotArea>
    </format>
    <format dxfId="28">
      <pivotArea dataOnly="0" labelOnly="1" outline="0" fieldPosition="0">
        <references count="6">
          <reference field="0" count="1" selected="0">
            <x v="55"/>
          </reference>
          <reference field="2" count="1" selected="0">
            <x v="55"/>
          </reference>
          <reference field="4" count="1" selected="0">
            <x v="46"/>
          </reference>
          <reference field="5" count="1" selected="0">
            <x v="50"/>
          </reference>
          <reference field="7" count="1" selected="0">
            <x v="39"/>
          </reference>
          <reference field="8" count="1">
            <x v="35"/>
          </reference>
        </references>
      </pivotArea>
    </format>
    <format dxfId="27">
      <pivotArea dataOnly="0" labelOnly="1" outline="0" fieldPosition="0">
        <references count="6">
          <reference field="0" count="1" selected="0">
            <x v="56"/>
          </reference>
          <reference field="2" count="1" selected="0">
            <x v="56"/>
          </reference>
          <reference field="4" count="1" selected="0">
            <x v="1"/>
          </reference>
          <reference field="5" count="1" selected="0">
            <x v="1"/>
          </reference>
          <reference field="7" count="1" selected="0">
            <x v="12"/>
          </reference>
          <reference field="8" count="1">
            <x v="0"/>
          </reference>
        </references>
      </pivotArea>
    </format>
    <format dxfId="26">
      <pivotArea dataOnly="0" labelOnly="1" outline="0" fieldPosition="0">
        <references count="6">
          <reference field="0" count="1" selected="0">
            <x v="57"/>
          </reference>
          <reference field="2" count="1" selected="0">
            <x v="57"/>
          </reference>
          <reference field="4" count="1" selected="0">
            <x v="2"/>
          </reference>
          <reference field="5" count="1" selected="0">
            <x v="2"/>
          </reference>
          <reference field="7" count="1" selected="0">
            <x v="42"/>
          </reference>
          <reference field="8" count="1">
            <x v="2"/>
          </reference>
        </references>
      </pivotArea>
    </format>
    <format dxfId="25">
      <pivotArea dataOnly="0" labelOnly="1" outline="0" fieldPosition="0">
        <references count="6">
          <reference field="0" count="1" selected="0">
            <x v="58"/>
          </reference>
          <reference field="2" count="1" selected="0">
            <x v="58"/>
          </reference>
          <reference field="4" count="1" selected="0">
            <x v="39"/>
          </reference>
          <reference field="5" count="1" selected="0">
            <x v="0"/>
          </reference>
          <reference field="7" count="1" selected="0">
            <x v="40"/>
          </reference>
          <reference field="8" count="1">
            <x v="0"/>
          </reference>
        </references>
      </pivotArea>
    </format>
    <format dxfId="24">
      <pivotArea dataOnly="0" labelOnly="1" outline="0" fieldPosition="0">
        <references count="6">
          <reference field="0" count="1" selected="0">
            <x v="59"/>
          </reference>
          <reference field="2" count="1" selected="0">
            <x v="59"/>
          </reference>
          <reference field="4" count="1" selected="0">
            <x v="48"/>
          </reference>
          <reference field="5" count="1" selected="0">
            <x v="51"/>
          </reference>
          <reference field="7" count="1" selected="0">
            <x v="31"/>
          </reference>
          <reference field="8" count="1">
            <x v="2"/>
          </reference>
        </references>
      </pivotArea>
    </format>
    <format dxfId="23">
      <pivotArea dataOnly="0" labelOnly="1" outline="0" fieldPosition="0">
        <references count="6">
          <reference field="0" count="1" selected="0">
            <x v="60"/>
          </reference>
          <reference field="2" count="1" selected="0">
            <x v="60"/>
          </reference>
          <reference field="4" count="1" selected="0">
            <x v="49"/>
          </reference>
          <reference field="5" count="1" selected="0">
            <x v="52"/>
          </reference>
          <reference field="7" count="1" selected="0">
            <x v="10"/>
          </reference>
          <reference field="8" count="1">
            <x v="36"/>
          </reference>
        </references>
      </pivotArea>
    </format>
    <format dxfId="22">
      <pivotArea dataOnly="0" labelOnly="1" outline="0" fieldPosition="0">
        <references count="6">
          <reference field="0" count="1" selected="0">
            <x v="61"/>
          </reference>
          <reference field="2" count="1" selected="0">
            <x v="61"/>
          </reference>
          <reference field="4" count="1" selected="0">
            <x v="34"/>
          </reference>
          <reference field="5" count="1" selected="0">
            <x v="53"/>
          </reference>
          <reference field="7" count="1" selected="0">
            <x v="0"/>
          </reference>
          <reference field="8" count="1">
            <x v="0"/>
          </reference>
        </references>
      </pivotArea>
    </format>
    <format dxfId="21">
      <pivotArea dataOnly="0" labelOnly="1" outline="0" fieldPosition="0">
        <references count="6">
          <reference field="0" count="1" selected="0">
            <x v="62"/>
          </reference>
          <reference field="2" count="1" selected="0">
            <x v="62"/>
          </reference>
          <reference field="4" count="1" selected="0">
            <x v="23"/>
          </reference>
          <reference field="5" count="1" selected="0">
            <x v="54"/>
          </reference>
          <reference field="7" count="1" selected="0">
            <x v="44"/>
          </reference>
          <reference field="8" count="1">
            <x v="27"/>
          </reference>
        </references>
      </pivotArea>
    </format>
    <format dxfId="20">
      <pivotArea dataOnly="0" labelOnly="1" outline="0" fieldPosition="0">
        <references count="6">
          <reference field="0" count="1" selected="0">
            <x v="63"/>
          </reference>
          <reference field="2" count="1" selected="0">
            <x v="63"/>
          </reference>
          <reference field="4" count="1" selected="0">
            <x v="36"/>
          </reference>
          <reference field="5" count="1" selected="0">
            <x v="55"/>
          </reference>
          <reference field="7" count="1" selected="0">
            <x v="37"/>
          </reference>
          <reference field="8" count="1">
            <x v="30"/>
          </reference>
        </references>
      </pivotArea>
    </format>
    <format dxfId="19">
      <pivotArea dataOnly="0" labelOnly="1" outline="0" fieldPosition="0">
        <references count="6">
          <reference field="0" count="1" selected="0">
            <x v="64"/>
          </reference>
          <reference field="2" count="1" selected="0">
            <x v="64"/>
          </reference>
          <reference field="4" count="1" selected="0">
            <x v="64"/>
          </reference>
          <reference field="5" count="1" selected="0">
            <x v="57"/>
          </reference>
          <reference field="7" count="1" selected="0">
            <x v="56"/>
          </reference>
          <reference field="8" count="1">
            <x v="41"/>
          </reference>
        </references>
      </pivotArea>
    </format>
    <format dxfId="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C33728-9766-44B3-9F43-8759001441CA}" autoFormatId="16" applyNumberFormats="0" applyBorderFormats="0" applyFontFormats="0" applyPatternFormats="0" applyAlignmentFormats="0" applyWidthHeightFormats="0">
  <queryTableRefresh nextId="23">
    <queryTableFields count="22">
      <queryTableField id="1" name="Source.Name" tableColumnId="1"/>
      <queryTableField id="2" name="Name" tableColumnId="2"/>
      <queryTableField id="3" name="Value.name" tableColumnId="3"/>
      <queryTableField id="4" name="Value.aliases" tableColumnId="4"/>
      <queryTableField id="5" name="Value.description" tableColumnId="5"/>
      <queryTableField id="6" name="Value.context" tableColumnId="6"/>
      <queryTableField id="7" name="Value.detection" tableColumnId="7"/>
      <queryTableField id="8" name="Value.consequences" tableColumnId="8"/>
      <queryTableField id="9" name="Value.cause" tableColumnId="9"/>
      <queryTableField id="10" name="Value.solution" tableColumnId="10"/>
      <queryTableField id="11" name="Value.example" tableColumnId="11"/>
      <queryTableField id="12" name="Value.cypher" tableColumnId="12"/>
      <queryTableField id="13" name="Value.cypher_count" tableColumnId="13"/>
      <queryTableField id="14" name="Value.sources" tableColumnId="14"/>
      <queryTableField id="15" name="Value.graphicalDefiniton" tableColumnId="15"/>
      <queryTableField id="16" name="Value.queryParams.name" tableColumnId="16"/>
      <queryTableField id="17" name="Value.queryParams.type" tableColumnId="17"/>
      <queryTableField id="18" name="Value.queryParams.default" tableColumnId="18"/>
      <queryTableField id="19" name="Value.queryParams.description" tableColumnId="19"/>
      <queryTableField id="20" name="Value.tags" tableColumnId="20"/>
      <queryTableField id="21" name="Value.relatedItems.relation" tableColumnId="21"/>
      <queryTableField id="22" name="Value.relatedItems.name"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A142B7-6573-4EC6-9E1D-A323ED6F3619}" name="antipatterns" displayName="antipatterns" ref="A1:V1313" tableType="queryTable" totalsRowShown="0">
  <autoFilter ref="A1:V1313" xr:uid="{B2A142B7-6573-4EC6-9E1D-A323ED6F3619}">
    <filterColumn colId="2">
      <filters>
        <filter val="Lazy Component"/>
      </filters>
    </filterColumn>
    <filterColumn colId="19">
      <filters>
        <filter val="application"/>
      </filters>
    </filterColumn>
  </autoFilter>
  <tableColumns count="22">
    <tableColumn id="1" xr3:uid="{0F3B9C17-697F-4BF5-883D-8FE964DB5250}" uniqueName="1" name="Source.Name" queryTableFieldId="1" dataDxfId="1033"/>
    <tableColumn id="2" xr3:uid="{33D4DC66-B32E-4BC2-B89C-AB2A18C3E9A7}" uniqueName="2" name="Name" queryTableFieldId="2" dataDxfId="1032"/>
    <tableColumn id="3" xr3:uid="{0F4CDAFC-1907-4475-AEE5-A3EF89A18329}" uniqueName="3" name="Value.name" queryTableFieldId="3"/>
    <tableColumn id="4" xr3:uid="{F109319F-A6EE-4798-B35A-CC815B851311}" uniqueName="4" name="Value.aliases" queryTableFieldId="4"/>
    <tableColumn id="5" xr3:uid="{C15C79C5-78A2-4165-BC55-9BF05BF03811}" uniqueName="5" name="Value.description" queryTableFieldId="5"/>
    <tableColumn id="6" xr3:uid="{1DC2983A-2281-4D3E-8410-99D619B4206D}" uniqueName="6" name="Value.context" queryTableFieldId="6"/>
    <tableColumn id="7" xr3:uid="{D61886A2-21FB-4433-92FA-A971C7F6A8B1}" uniqueName="7" name="Value.detection" queryTableFieldId="7"/>
    <tableColumn id="8" xr3:uid="{0AAC10AB-266B-4220-8966-32AA74674BD4}" uniqueName="8" name="Value.consequences" queryTableFieldId="8"/>
    <tableColumn id="9" xr3:uid="{7F10350C-A3BA-456A-B037-910CEA893B4E}" uniqueName="9" name="Value.cause" queryTableFieldId="9"/>
    <tableColumn id="10" xr3:uid="{1E87C909-A00D-4A51-B3E9-50AF18B2145B}" uniqueName="10" name="Value.solution" queryTableFieldId="10"/>
    <tableColumn id="11" xr3:uid="{4E246599-1684-482B-9F58-FD7A871CEFFE}" uniqueName="11" name="Value.example" queryTableFieldId="11"/>
    <tableColumn id="12" xr3:uid="{3F1106CB-4439-4824-9AA7-D3B959A72F42}" uniqueName="12" name="Value.cypher" queryTableFieldId="12"/>
    <tableColumn id="13" xr3:uid="{70B0C0F1-0443-47E0-9D5A-5B0FA936C19E}" uniqueName="13" name="Value.cypher_count" queryTableFieldId="13"/>
    <tableColumn id="14" xr3:uid="{550620D4-4193-484F-977B-4DE70514B4D8}" uniqueName="14" name="Value.sources" queryTableFieldId="14"/>
    <tableColumn id="15" xr3:uid="{26AEBE96-7B4B-4C13-B267-B9249F70BF4E}" uniqueName="15" name="Value.graphicalDefiniton" queryTableFieldId="15"/>
    <tableColumn id="16" xr3:uid="{A6876F52-45DF-46D6-B668-B8B9361E2444}" uniqueName="16" name="Value.queryParams.name" queryTableFieldId="16"/>
    <tableColumn id="17" xr3:uid="{7CC4F408-F642-4800-8A1E-0264F0A88BBA}" uniqueName="17" name="Value.queryParams.type" queryTableFieldId="17"/>
    <tableColumn id="18" xr3:uid="{14AB22C8-0885-48DF-9FEA-2B96465CA2C6}" uniqueName="18" name="Value.queryParams.default" queryTableFieldId="18"/>
    <tableColumn id="19" xr3:uid="{0E6136BD-121E-41C4-96B0-92C66790A226}" uniqueName="19" name="Value.queryParams.description" queryTableFieldId="19"/>
    <tableColumn id="20" xr3:uid="{F7A156FB-E614-47C6-9884-DAD202B09DB0}" uniqueName="20" name="Value.tags" queryTableFieldId="20"/>
    <tableColumn id="21" xr3:uid="{BA0D11D9-4059-47AB-B16C-AAD018FD5476}" uniqueName="21" name="Value.relatedItems.relation" queryTableFieldId="21"/>
    <tableColumn id="22" xr3:uid="{7D26899C-2AB1-438D-95EA-5DA693247B7B}" uniqueName="22" name="Value.relatedItems.name" queryTableField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13711F7-75A2-EF45-8E06-D6DC8E58980E}" name="Table10" displayName="Table10" ref="A11:I74" totalsRowShown="0" headerRowDxfId="17" dataDxfId="16">
  <autoFilter ref="A11:I74" xr:uid="{C13711F7-75A2-EF45-8E06-D6DC8E58980E}"/>
  <tableColumns count="9">
    <tableColumn id="1" xr3:uid="{658F3287-FDD2-5D4A-9C60-D68E84762A26}" name="Included?" dataDxfId="15"/>
    <tableColumn id="2" xr3:uid="{F7F7D829-72C6-0641-90EE-D3A0DC2774AA}" name="Reason for exclusion" dataDxfId="14"/>
    <tableColumn id="3" xr3:uid="{14B4138E-2D9C-AB40-BE7C-78D64FA8A65A}" name="EA Concen" dataDxfId="13"/>
    <tableColumn id="4" xr3:uid="{D66C13BE-0695-BC4C-9753-FCF0D4147343}" name="Architectural Scope" dataDxfId="12"/>
    <tableColumn id="5" xr3:uid="{934D0C99-8B51-FA46-8F00-240F36851713}" name="EA Smell Name" dataDxfId="11"/>
    <tableColumn id="6" xr3:uid="{4A28DBAA-4BFE-3143-848F-73DF290944FA}" name="Description" dataDxfId="10"/>
    <tableColumn id="7" xr3:uid="{E81837DD-4BE7-644B-98FF-683985F70434}" name="Context" dataDxfId="9"/>
    <tableColumn id="8" xr3:uid="{F7A0192F-B920-1F4A-8447-9C3D86E63E87}" name="Consequences`" dataDxfId="8"/>
    <tableColumn id="9" xr3:uid="{83C8D84E-4E6E-B54F-8684-95BF417FB521}" name="Cause" dataDxfId="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5211C63-C2EC-304A-83C1-650CE4BA3014}" name="Table11" displayName="Table11" ref="A3:D8" totalsRowShown="0" headerRowDxfId="6" dataDxfId="5" tableBorderDxfId="4">
  <autoFilter ref="A3:D8" xr:uid="{75211C63-C2EC-304A-83C1-650CE4BA3014}"/>
  <tableColumns count="4">
    <tableColumn id="1" xr3:uid="{4CF1C8AF-BAE7-AF4C-8903-56D8E47C7C02}" name="Count" dataDxfId="3"/>
    <tableColumn id="2" xr3:uid="{E9D5947E-1E03-3A45-8A53-453112CFF1A6}" name="Analytical Grouping" dataDxfId="2"/>
    <tableColumn id="3" xr3:uid="{24653435-9324-CA43-8C45-19E79C45292D}" name="Theoretical basis in Lankhorst et al." dataDxfId="1"/>
    <tableColumn id="4" xr3:uid="{65C40725-D2D6-1B4B-9170-8CAFE8391648}" name="Operationalization in this study"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1D43-D7CE-493B-8D65-BED26F588C1F}">
  <dimension ref="A1:V1313"/>
  <sheetViews>
    <sheetView workbookViewId="0">
      <selection activeCell="L1" sqref="A1:XFD1048576"/>
    </sheetView>
  </sheetViews>
  <sheetFormatPr baseColWidth="10" defaultColWidth="8.83203125" defaultRowHeight="15" x14ac:dyDescent="0.2"/>
  <cols>
    <col min="1" max="1" width="34.6640625" bestFit="1" customWidth="1"/>
    <col min="2" max="2" width="10.33203125" bestFit="1" customWidth="1"/>
    <col min="3" max="3" width="27.33203125" bestFit="1" customWidth="1"/>
    <col min="4" max="4" width="39" bestFit="1" customWidth="1"/>
    <col min="5" max="13" width="80.5" bestFit="1" customWidth="1"/>
    <col min="14" max="14" width="14.33203125" bestFit="1" customWidth="1"/>
    <col min="15" max="15" width="37.5" bestFit="1" customWidth="1"/>
    <col min="16" max="16" width="23.6640625" bestFit="1" customWidth="1"/>
    <col min="17" max="17" width="22.6640625" bestFit="1" customWidth="1"/>
    <col min="18" max="18" width="25" bestFit="1" customWidth="1"/>
    <col min="19" max="19" width="80.5" bestFit="1" customWidth="1"/>
    <col min="20" max="20" width="25.33203125" bestFit="1" customWidth="1"/>
    <col min="21" max="21" width="25.1640625" bestFit="1" customWidth="1"/>
    <col min="22" max="22" width="27.3320312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idden="1" x14ac:dyDescent="0.2">
      <c r="A2" t="s">
        <v>22</v>
      </c>
      <c r="B2" t="s">
        <v>23</v>
      </c>
      <c r="C2" t="s">
        <v>24</v>
      </c>
      <c r="D2" t="s">
        <v>25</v>
      </c>
      <c r="E2" t="s">
        <v>26</v>
      </c>
      <c r="F2" t="s">
        <v>27</v>
      </c>
      <c r="G2" t="s">
        <v>28</v>
      </c>
      <c r="H2" t="s">
        <v>29</v>
      </c>
      <c r="I2" t="s">
        <v>30</v>
      </c>
      <c r="J2" t="s">
        <v>31</v>
      </c>
      <c r="K2" t="s">
        <v>32</v>
      </c>
      <c r="L2" t="s">
        <v>33</v>
      </c>
      <c r="M2" t="s">
        <v>34</v>
      </c>
      <c r="O2" t="s">
        <v>35</v>
      </c>
      <c r="P2" t="s">
        <v>36</v>
      </c>
      <c r="Q2" t="s">
        <v>37</v>
      </c>
      <c r="R2">
        <v>1</v>
      </c>
      <c r="S2" t="s">
        <v>38</v>
      </c>
      <c r="T2" t="s">
        <v>39</v>
      </c>
      <c r="U2" t="s">
        <v>25</v>
      </c>
      <c r="V2" t="s">
        <v>25</v>
      </c>
    </row>
    <row r="3" spans="1:22" hidden="1" x14ac:dyDescent="0.2">
      <c r="A3" t="s">
        <v>22</v>
      </c>
      <c r="B3" t="s">
        <v>23</v>
      </c>
      <c r="C3" t="s">
        <v>24</v>
      </c>
      <c r="D3" t="s">
        <v>25</v>
      </c>
      <c r="E3" t="s">
        <v>26</v>
      </c>
      <c r="F3" t="s">
        <v>27</v>
      </c>
      <c r="G3" t="s">
        <v>28</v>
      </c>
      <c r="H3" t="s">
        <v>29</v>
      </c>
      <c r="I3" t="s">
        <v>30</v>
      </c>
      <c r="J3" t="s">
        <v>31</v>
      </c>
      <c r="K3" t="s">
        <v>32</v>
      </c>
      <c r="L3" t="s">
        <v>33</v>
      </c>
      <c r="M3" t="s">
        <v>34</v>
      </c>
      <c r="O3" t="s">
        <v>35</v>
      </c>
      <c r="P3" t="s">
        <v>36</v>
      </c>
      <c r="Q3" t="s">
        <v>37</v>
      </c>
      <c r="R3">
        <v>1</v>
      </c>
      <c r="S3" t="s">
        <v>38</v>
      </c>
      <c r="T3" t="s">
        <v>39</v>
      </c>
      <c r="U3" t="s">
        <v>25</v>
      </c>
      <c r="V3" t="s">
        <v>25</v>
      </c>
    </row>
    <row r="4" spans="1:22" hidden="1" x14ac:dyDescent="0.2">
      <c r="A4" t="s">
        <v>22</v>
      </c>
      <c r="B4" t="s">
        <v>23</v>
      </c>
      <c r="C4" t="s">
        <v>24</v>
      </c>
      <c r="D4" t="s">
        <v>25</v>
      </c>
      <c r="E4" t="s">
        <v>26</v>
      </c>
      <c r="F4" t="s">
        <v>27</v>
      </c>
      <c r="G4" t="s">
        <v>28</v>
      </c>
      <c r="H4" t="s">
        <v>29</v>
      </c>
      <c r="I4" t="s">
        <v>30</v>
      </c>
      <c r="J4" t="s">
        <v>31</v>
      </c>
      <c r="K4" t="s">
        <v>32</v>
      </c>
      <c r="L4" t="s">
        <v>33</v>
      </c>
      <c r="M4" t="s">
        <v>34</v>
      </c>
      <c r="O4" t="s">
        <v>35</v>
      </c>
      <c r="P4" t="s">
        <v>40</v>
      </c>
      <c r="Q4" t="s">
        <v>37</v>
      </c>
      <c r="R4">
        <v>10</v>
      </c>
      <c r="S4" t="s">
        <v>41</v>
      </c>
      <c r="T4" t="s">
        <v>39</v>
      </c>
      <c r="U4" t="s">
        <v>25</v>
      </c>
      <c r="V4" t="s">
        <v>25</v>
      </c>
    </row>
    <row r="5" spans="1:22" hidden="1" x14ac:dyDescent="0.2">
      <c r="A5" t="s">
        <v>22</v>
      </c>
      <c r="B5" t="s">
        <v>23</v>
      </c>
      <c r="C5" t="s">
        <v>24</v>
      </c>
      <c r="D5" t="s">
        <v>25</v>
      </c>
      <c r="E5" t="s">
        <v>26</v>
      </c>
      <c r="F5" t="s">
        <v>27</v>
      </c>
      <c r="G5" t="s">
        <v>28</v>
      </c>
      <c r="H5" t="s">
        <v>29</v>
      </c>
      <c r="I5" t="s">
        <v>30</v>
      </c>
      <c r="J5" t="s">
        <v>31</v>
      </c>
      <c r="K5" t="s">
        <v>32</v>
      </c>
      <c r="L5" t="s">
        <v>33</v>
      </c>
      <c r="M5" t="s">
        <v>34</v>
      </c>
      <c r="O5" t="s">
        <v>35</v>
      </c>
      <c r="P5" t="s">
        <v>40</v>
      </c>
      <c r="Q5" t="s">
        <v>37</v>
      </c>
      <c r="R5">
        <v>10</v>
      </c>
      <c r="S5" t="s">
        <v>41</v>
      </c>
      <c r="T5" t="s">
        <v>39</v>
      </c>
      <c r="U5" t="s">
        <v>25</v>
      </c>
      <c r="V5" t="s">
        <v>25</v>
      </c>
    </row>
    <row r="6" spans="1:22" hidden="1" x14ac:dyDescent="0.2">
      <c r="A6" t="s">
        <v>42</v>
      </c>
      <c r="B6" t="s">
        <v>23</v>
      </c>
      <c r="C6" t="s">
        <v>43</v>
      </c>
      <c r="D6" t="s">
        <v>25</v>
      </c>
      <c r="E6" t="s">
        <v>44</v>
      </c>
      <c r="F6" t="s">
        <v>45</v>
      </c>
      <c r="G6" t="s">
        <v>46</v>
      </c>
      <c r="H6" t="s">
        <v>25</v>
      </c>
      <c r="I6" t="s">
        <v>30</v>
      </c>
      <c r="J6" t="s">
        <v>31</v>
      </c>
      <c r="K6" t="s">
        <v>47</v>
      </c>
      <c r="L6" t="s">
        <v>48</v>
      </c>
      <c r="M6" t="s">
        <v>49</v>
      </c>
      <c r="O6" t="s">
        <v>50</v>
      </c>
      <c r="P6" t="s">
        <v>51</v>
      </c>
      <c r="Q6" t="s">
        <v>37</v>
      </c>
      <c r="R6">
        <v>3</v>
      </c>
      <c r="S6" t="s">
        <v>52</v>
      </c>
      <c r="T6" t="s">
        <v>39</v>
      </c>
      <c r="U6" t="s">
        <v>53</v>
      </c>
      <c r="V6" t="s">
        <v>54</v>
      </c>
    </row>
    <row r="7" spans="1:22" hidden="1" x14ac:dyDescent="0.2">
      <c r="A7" t="s">
        <v>42</v>
      </c>
      <c r="B7" t="s">
        <v>23</v>
      </c>
      <c r="C7" t="s">
        <v>43</v>
      </c>
      <c r="D7" t="s">
        <v>25</v>
      </c>
      <c r="E7" t="s">
        <v>44</v>
      </c>
      <c r="F7" t="s">
        <v>45</v>
      </c>
      <c r="G7" t="s">
        <v>46</v>
      </c>
      <c r="H7" t="s">
        <v>25</v>
      </c>
      <c r="I7" t="s">
        <v>30</v>
      </c>
      <c r="J7" t="s">
        <v>31</v>
      </c>
      <c r="K7" t="s">
        <v>47</v>
      </c>
      <c r="L7" t="s">
        <v>48</v>
      </c>
      <c r="M7" t="s">
        <v>49</v>
      </c>
      <c r="O7" t="s">
        <v>50</v>
      </c>
      <c r="P7" t="s">
        <v>51</v>
      </c>
      <c r="Q7" t="s">
        <v>37</v>
      </c>
      <c r="R7">
        <v>3</v>
      </c>
      <c r="S7" t="s">
        <v>52</v>
      </c>
      <c r="T7" t="s">
        <v>39</v>
      </c>
      <c r="U7" t="s">
        <v>55</v>
      </c>
      <c r="V7" t="s">
        <v>56</v>
      </c>
    </row>
    <row r="8" spans="1:22" hidden="1" x14ac:dyDescent="0.2">
      <c r="A8" t="s">
        <v>42</v>
      </c>
      <c r="B8" t="s">
        <v>23</v>
      </c>
      <c r="C8" t="s">
        <v>43</v>
      </c>
      <c r="D8" t="s">
        <v>25</v>
      </c>
      <c r="E8" t="s">
        <v>44</v>
      </c>
      <c r="F8" t="s">
        <v>45</v>
      </c>
      <c r="G8" t="s">
        <v>46</v>
      </c>
      <c r="H8" t="s">
        <v>25</v>
      </c>
      <c r="I8" t="s">
        <v>30</v>
      </c>
      <c r="J8" t="s">
        <v>31</v>
      </c>
      <c r="K8" t="s">
        <v>47</v>
      </c>
      <c r="L8" t="s">
        <v>48</v>
      </c>
      <c r="M8" t="s">
        <v>49</v>
      </c>
      <c r="O8" t="s">
        <v>50</v>
      </c>
      <c r="P8" t="s">
        <v>51</v>
      </c>
      <c r="Q8" t="s">
        <v>37</v>
      </c>
      <c r="R8">
        <v>3</v>
      </c>
      <c r="S8" t="s">
        <v>52</v>
      </c>
      <c r="T8" t="s">
        <v>57</v>
      </c>
      <c r="U8" t="s">
        <v>53</v>
      </c>
      <c r="V8" t="s">
        <v>54</v>
      </c>
    </row>
    <row r="9" spans="1:22" hidden="1" x14ac:dyDescent="0.2">
      <c r="A9" t="s">
        <v>42</v>
      </c>
      <c r="B9" t="s">
        <v>23</v>
      </c>
      <c r="C9" t="s">
        <v>43</v>
      </c>
      <c r="D9" t="s">
        <v>25</v>
      </c>
      <c r="E9" t="s">
        <v>44</v>
      </c>
      <c r="F9" t="s">
        <v>45</v>
      </c>
      <c r="G9" t="s">
        <v>46</v>
      </c>
      <c r="H9" t="s">
        <v>25</v>
      </c>
      <c r="I9" t="s">
        <v>30</v>
      </c>
      <c r="J9" t="s">
        <v>31</v>
      </c>
      <c r="K9" t="s">
        <v>47</v>
      </c>
      <c r="L9" t="s">
        <v>48</v>
      </c>
      <c r="M9" t="s">
        <v>49</v>
      </c>
      <c r="O9" t="s">
        <v>50</v>
      </c>
      <c r="P9" t="s">
        <v>51</v>
      </c>
      <c r="Q9" t="s">
        <v>37</v>
      </c>
      <c r="R9">
        <v>3</v>
      </c>
      <c r="S9" t="s">
        <v>52</v>
      </c>
      <c r="T9" t="s">
        <v>57</v>
      </c>
      <c r="U9" t="s">
        <v>55</v>
      </c>
      <c r="V9" t="s">
        <v>56</v>
      </c>
    </row>
    <row r="10" spans="1:22" hidden="1" x14ac:dyDescent="0.2">
      <c r="A10" t="s">
        <v>42</v>
      </c>
      <c r="B10" t="s">
        <v>23</v>
      </c>
      <c r="C10" t="s">
        <v>43</v>
      </c>
      <c r="D10" t="s">
        <v>25</v>
      </c>
      <c r="E10" t="s">
        <v>44</v>
      </c>
      <c r="F10" t="s">
        <v>45</v>
      </c>
      <c r="G10" t="s">
        <v>46</v>
      </c>
      <c r="H10" t="s">
        <v>25</v>
      </c>
      <c r="I10" t="s">
        <v>30</v>
      </c>
      <c r="J10" t="s">
        <v>31</v>
      </c>
      <c r="K10" t="s">
        <v>47</v>
      </c>
      <c r="L10" t="s">
        <v>48</v>
      </c>
      <c r="M10" t="s">
        <v>49</v>
      </c>
      <c r="O10" t="s">
        <v>50</v>
      </c>
      <c r="P10" t="s">
        <v>51</v>
      </c>
      <c r="Q10" t="s">
        <v>37</v>
      </c>
      <c r="R10">
        <v>3</v>
      </c>
      <c r="S10" t="s">
        <v>52</v>
      </c>
      <c r="T10" t="s">
        <v>58</v>
      </c>
      <c r="U10" t="s">
        <v>53</v>
      </c>
      <c r="V10" t="s">
        <v>54</v>
      </c>
    </row>
    <row r="11" spans="1:22" hidden="1" x14ac:dyDescent="0.2">
      <c r="A11" t="s">
        <v>42</v>
      </c>
      <c r="B11" t="s">
        <v>23</v>
      </c>
      <c r="C11" t="s">
        <v>43</v>
      </c>
      <c r="D11" t="s">
        <v>25</v>
      </c>
      <c r="E11" t="s">
        <v>44</v>
      </c>
      <c r="F11" t="s">
        <v>45</v>
      </c>
      <c r="G11" t="s">
        <v>46</v>
      </c>
      <c r="H11" t="s">
        <v>25</v>
      </c>
      <c r="I11" t="s">
        <v>30</v>
      </c>
      <c r="J11" t="s">
        <v>31</v>
      </c>
      <c r="K11" t="s">
        <v>47</v>
      </c>
      <c r="L11" t="s">
        <v>48</v>
      </c>
      <c r="M11" t="s">
        <v>49</v>
      </c>
      <c r="O11" t="s">
        <v>50</v>
      </c>
      <c r="P11" t="s">
        <v>51</v>
      </c>
      <c r="Q11" t="s">
        <v>37</v>
      </c>
      <c r="R11">
        <v>3</v>
      </c>
      <c r="S11" t="s">
        <v>52</v>
      </c>
      <c r="T11" t="s">
        <v>58</v>
      </c>
      <c r="U11" t="s">
        <v>55</v>
      </c>
      <c r="V11" t="s">
        <v>56</v>
      </c>
    </row>
    <row r="12" spans="1:22" hidden="1" x14ac:dyDescent="0.2">
      <c r="A12" t="s">
        <v>42</v>
      </c>
      <c r="B12" t="s">
        <v>23</v>
      </c>
      <c r="C12" t="s">
        <v>43</v>
      </c>
      <c r="D12" t="s">
        <v>25</v>
      </c>
      <c r="E12" t="s">
        <v>44</v>
      </c>
      <c r="F12" t="s">
        <v>45</v>
      </c>
      <c r="G12" t="s">
        <v>46</v>
      </c>
      <c r="H12" t="s">
        <v>25</v>
      </c>
      <c r="I12" t="s">
        <v>30</v>
      </c>
      <c r="J12" t="s">
        <v>31</v>
      </c>
      <c r="K12" t="s">
        <v>47</v>
      </c>
      <c r="L12" t="s">
        <v>48</v>
      </c>
      <c r="M12" t="s">
        <v>49</v>
      </c>
      <c r="O12" t="s">
        <v>50</v>
      </c>
      <c r="P12" t="s">
        <v>51</v>
      </c>
      <c r="Q12" t="s">
        <v>37</v>
      </c>
      <c r="R12">
        <v>3</v>
      </c>
      <c r="S12" t="s">
        <v>52</v>
      </c>
      <c r="T12" t="s">
        <v>59</v>
      </c>
      <c r="U12" t="s">
        <v>53</v>
      </c>
      <c r="V12" t="s">
        <v>54</v>
      </c>
    </row>
    <row r="13" spans="1:22" hidden="1" x14ac:dyDescent="0.2">
      <c r="A13" t="s">
        <v>42</v>
      </c>
      <c r="B13" t="s">
        <v>23</v>
      </c>
      <c r="C13" t="s">
        <v>43</v>
      </c>
      <c r="D13" t="s">
        <v>25</v>
      </c>
      <c r="E13" t="s">
        <v>44</v>
      </c>
      <c r="F13" t="s">
        <v>45</v>
      </c>
      <c r="G13" t="s">
        <v>46</v>
      </c>
      <c r="H13" t="s">
        <v>25</v>
      </c>
      <c r="I13" t="s">
        <v>30</v>
      </c>
      <c r="J13" t="s">
        <v>31</v>
      </c>
      <c r="K13" t="s">
        <v>47</v>
      </c>
      <c r="L13" t="s">
        <v>48</v>
      </c>
      <c r="M13" t="s">
        <v>49</v>
      </c>
      <c r="O13" t="s">
        <v>50</v>
      </c>
      <c r="P13" t="s">
        <v>51</v>
      </c>
      <c r="Q13" t="s">
        <v>37</v>
      </c>
      <c r="R13">
        <v>3</v>
      </c>
      <c r="S13" t="s">
        <v>52</v>
      </c>
      <c r="T13" t="s">
        <v>59</v>
      </c>
      <c r="U13" t="s">
        <v>55</v>
      </c>
      <c r="V13" t="s">
        <v>56</v>
      </c>
    </row>
    <row r="14" spans="1:22" hidden="1" x14ac:dyDescent="0.2">
      <c r="A14" t="s">
        <v>42</v>
      </c>
      <c r="B14" t="s">
        <v>23</v>
      </c>
      <c r="C14" t="s">
        <v>43</v>
      </c>
      <c r="D14" t="s">
        <v>25</v>
      </c>
      <c r="E14" t="s">
        <v>44</v>
      </c>
      <c r="F14" t="s">
        <v>45</v>
      </c>
      <c r="G14" t="s">
        <v>46</v>
      </c>
      <c r="H14" t="s">
        <v>25</v>
      </c>
      <c r="I14" t="s">
        <v>30</v>
      </c>
      <c r="J14" t="s">
        <v>31</v>
      </c>
      <c r="K14" t="s">
        <v>47</v>
      </c>
      <c r="L14" t="s">
        <v>48</v>
      </c>
      <c r="M14" t="s">
        <v>49</v>
      </c>
      <c r="O14" t="s">
        <v>50</v>
      </c>
      <c r="P14" t="s">
        <v>51</v>
      </c>
      <c r="Q14" t="s">
        <v>37</v>
      </c>
      <c r="R14">
        <v>3</v>
      </c>
      <c r="S14" t="s">
        <v>52</v>
      </c>
      <c r="T14" t="s">
        <v>60</v>
      </c>
      <c r="U14" t="s">
        <v>53</v>
      </c>
      <c r="V14" t="s">
        <v>54</v>
      </c>
    </row>
    <row r="15" spans="1:22" hidden="1" x14ac:dyDescent="0.2">
      <c r="A15" t="s">
        <v>42</v>
      </c>
      <c r="B15" t="s">
        <v>23</v>
      </c>
      <c r="C15" t="s">
        <v>43</v>
      </c>
      <c r="D15" t="s">
        <v>25</v>
      </c>
      <c r="E15" t="s">
        <v>44</v>
      </c>
      <c r="F15" t="s">
        <v>45</v>
      </c>
      <c r="G15" t="s">
        <v>46</v>
      </c>
      <c r="H15" t="s">
        <v>25</v>
      </c>
      <c r="I15" t="s">
        <v>30</v>
      </c>
      <c r="J15" t="s">
        <v>31</v>
      </c>
      <c r="K15" t="s">
        <v>47</v>
      </c>
      <c r="L15" t="s">
        <v>48</v>
      </c>
      <c r="M15" t="s">
        <v>49</v>
      </c>
      <c r="O15" t="s">
        <v>50</v>
      </c>
      <c r="P15" t="s">
        <v>51</v>
      </c>
      <c r="Q15" t="s">
        <v>37</v>
      </c>
      <c r="R15">
        <v>3</v>
      </c>
      <c r="S15" t="s">
        <v>52</v>
      </c>
      <c r="T15" t="s">
        <v>60</v>
      </c>
      <c r="U15" t="s">
        <v>55</v>
      </c>
      <c r="V15" t="s">
        <v>56</v>
      </c>
    </row>
    <row r="16" spans="1:22" hidden="1" x14ac:dyDescent="0.2">
      <c r="A16" t="s">
        <v>42</v>
      </c>
      <c r="B16" t="s">
        <v>23</v>
      </c>
      <c r="C16" t="s">
        <v>43</v>
      </c>
      <c r="D16" t="s">
        <v>25</v>
      </c>
      <c r="E16" t="s">
        <v>44</v>
      </c>
      <c r="F16" t="s">
        <v>45</v>
      </c>
      <c r="G16" t="s">
        <v>46</v>
      </c>
      <c r="H16" t="s">
        <v>25</v>
      </c>
      <c r="I16" t="s">
        <v>30</v>
      </c>
      <c r="J16" t="s">
        <v>31</v>
      </c>
      <c r="K16" t="s">
        <v>47</v>
      </c>
      <c r="L16" t="s">
        <v>48</v>
      </c>
      <c r="M16" t="s">
        <v>49</v>
      </c>
      <c r="O16" t="s">
        <v>50</v>
      </c>
      <c r="P16" t="s">
        <v>51</v>
      </c>
      <c r="Q16" t="s">
        <v>37</v>
      </c>
      <c r="R16">
        <v>3</v>
      </c>
      <c r="S16" t="s">
        <v>52</v>
      </c>
      <c r="T16" t="s">
        <v>61</v>
      </c>
      <c r="U16" t="s">
        <v>53</v>
      </c>
      <c r="V16" t="s">
        <v>54</v>
      </c>
    </row>
    <row r="17" spans="1:22" hidden="1" x14ac:dyDescent="0.2">
      <c r="A17" t="s">
        <v>42</v>
      </c>
      <c r="B17" t="s">
        <v>23</v>
      </c>
      <c r="C17" t="s">
        <v>43</v>
      </c>
      <c r="D17" t="s">
        <v>25</v>
      </c>
      <c r="E17" t="s">
        <v>44</v>
      </c>
      <c r="F17" t="s">
        <v>45</v>
      </c>
      <c r="G17" t="s">
        <v>46</v>
      </c>
      <c r="H17" t="s">
        <v>25</v>
      </c>
      <c r="I17" t="s">
        <v>30</v>
      </c>
      <c r="J17" t="s">
        <v>31</v>
      </c>
      <c r="K17" t="s">
        <v>47</v>
      </c>
      <c r="L17" t="s">
        <v>48</v>
      </c>
      <c r="M17" t="s">
        <v>49</v>
      </c>
      <c r="O17" t="s">
        <v>50</v>
      </c>
      <c r="P17" t="s">
        <v>51</v>
      </c>
      <c r="Q17" t="s">
        <v>37</v>
      </c>
      <c r="R17">
        <v>3</v>
      </c>
      <c r="S17" t="s">
        <v>52</v>
      </c>
      <c r="T17" t="s">
        <v>61</v>
      </c>
      <c r="U17" t="s">
        <v>55</v>
      </c>
      <c r="V17" t="s">
        <v>56</v>
      </c>
    </row>
    <row r="18" spans="1:22" hidden="1" x14ac:dyDescent="0.2">
      <c r="A18" t="s">
        <v>42</v>
      </c>
      <c r="B18" t="s">
        <v>23</v>
      </c>
      <c r="C18" t="s">
        <v>43</v>
      </c>
      <c r="D18" t="s">
        <v>25</v>
      </c>
      <c r="E18" t="s">
        <v>44</v>
      </c>
      <c r="F18" t="s">
        <v>45</v>
      </c>
      <c r="G18" t="s">
        <v>46</v>
      </c>
      <c r="H18" t="s">
        <v>25</v>
      </c>
      <c r="I18" t="s">
        <v>30</v>
      </c>
      <c r="J18" t="s">
        <v>31</v>
      </c>
      <c r="K18" t="s">
        <v>47</v>
      </c>
      <c r="L18" t="s">
        <v>48</v>
      </c>
      <c r="M18" t="s">
        <v>49</v>
      </c>
      <c r="O18" t="s">
        <v>50</v>
      </c>
      <c r="P18" t="s">
        <v>51</v>
      </c>
      <c r="Q18" t="s">
        <v>37</v>
      </c>
      <c r="R18">
        <v>3</v>
      </c>
      <c r="S18" t="s">
        <v>52</v>
      </c>
      <c r="T18" t="s">
        <v>62</v>
      </c>
      <c r="U18" t="s">
        <v>53</v>
      </c>
      <c r="V18" t="s">
        <v>54</v>
      </c>
    </row>
    <row r="19" spans="1:22" hidden="1" x14ac:dyDescent="0.2">
      <c r="A19" t="s">
        <v>42</v>
      </c>
      <c r="B19" t="s">
        <v>23</v>
      </c>
      <c r="C19" t="s">
        <v>43</v>
      </c>
      <c r="D19" t="s">
        <v>25</v>
      </c>
      <c r="E19" t="s">
        <v>44</v>
      </c>
      <c r="F19" t="s">
        <v>45</v>
      </c>
      <c r="G19" t="s">
        <v>46</v>
      </c>
      <c r="H19" t="s">
        <v>25</v>
      </c>
      <c r="I19" t="s">
        <v>30</v>
      </c>
      <c r="J19" t="s">
        <v>31</v>
      </c>
      <c r="K19" t="s">
        <v>47</v>
      </c>
      <c r="L19" t="s">
        <v>48</v>
      </c>
      <c r="M19" t="s">
        <v>49</v>
      </c>
      <c r="O19" t="s">
        <v>50</v>
      </c>
      <c r="P19" t="s">
        <v>51</v>
      </c>
      <c r="Q19" t="s">
        <v>37</v>
      </c>
      <c r="R19">
        <v>3</v>
      </c>
      <c r="S19" t="s">
        <v>52</v>
      </c>
      <c r="T19" t="s">
        <v>62</v>
      </c>
      <c r="U19" t="s">
        <v>55</v>
      </c>
      <c r="V19" t="s">
        <v>56</v>
      </c>
    </row>
    <row r="20" spans="1:22" hidden="1" x14ac:dyDescent="0.2">
      <c r="A20" t="s">
        <v>63</v>
      </c>
      <c r="B20" t="s">
        <v>23</v>
      </c>
      <c r="C20" t="s">
        <v>64</v>
      </c>
      <c r="D20" t="s">
        <v>65</v>
      </c>
      <c r="E20" t="s">
        <v>66</v>
      </c>
      <c r="F20" t="s">
        <v>67</v>
      </c>
      <c r="G20" t="s">
        <v>68</v>
      </c>
      <c r="H20" t="s">
        <v>69</v>
      </c>
      <c r="I20" t="s">
        <v>70</v>
      </c>
      <c r="J20" t="s">
        <v>71</v>
      </c>
      <c r="K20" t="s">
        <v>25</v>
      </c>
      <c r="L20" t="s">
        <v>72</v>
      </c>
      <c r="O20" t="s">
        <v>73</v>
      </c>
      <c r="P20" t="s">
        <v>74</v>
      </c>
      <c r="Q20" t="s">
        <v>37</v>
      </c>
      <c r="R20">
        <v>7</v>
      </c>
      <c r="S20" t="s">
        <v>75</v>
      </c>
      <c r="T20" t="s">
        <v>57</v>
      </c>
      <c r="U20" t="s">
        <v>53</v>
      </c>
      <c r="V20" t="s">
        <v>76</v>
      </c>
    </row>
    <row r="21" spans="1:22" hidden="1" x14ac:dyDescent="0.2">
      <c r="A21" t="s">
        <v>63</v>
      </c>
      <c r="B21" t="s">
        <v>23</v>
      </c>
      <c r="C21" t="s">
        <v>64</v>
      </c>
      <c r="D21" t="s">
        <v>65</v>
      </c>
      <c r="E21" t="s">
        <v>66</v>
      </c>
      <c r="F21" t="s">
        <v>67</v>
      </c>
      <c r="G21" t="s">
        <v>68</v>
      </c>
      <c r="H21" t="s">
        <v>69</v>
      </c>
      <c r="I21" t="s">
        <v>70</v>
      </c>
      <c r="J21" t="s">
        <v>71</v>
      </c>
      <c r="K21" t="s">
        <v>25</v>
      </c>
      <c r="L21" t="s">
        <v>72</v>
      </c>
      <c r="O21" t="s">
        <v>73</v>
      </c>
      <c r="P21" t="s">
        <v>74</v>
      </c>
      <c r="Q21" t="s">
        <v>37</v>
      </c>
      <c r="R21">
        <v>7</v>
      </c>
      <c r="S21" t="s">
        <v>75</v>
      </c>
      <c r="T21" t="s">
        <v>57</v>
      </c>
      <c r="U21" t="s">
        <v>53</v>
      </c>
      <c r="V21" t="s">
        <v>77</v>
      </c>
    </row>
    <row r="22" spans="1:22" hidden="1" x14ac:dyDescent="0.2">
      <c r="A22" t="s">
        <v>63</v>
      </c>
      <c r="B22" t="s">
        <v>23</v>
      </c>
      <c r="C22" t="s">
        <v>64</v>
      </c>
      <c r="D22" t="s">
        <v>65</v>
      </c>
      <c r="E22" t="s">
        <v>66</v>
      </c>
      <c r="F22" t="s">
        <v>67</v>
      </c>
      <c r="G22" t="s">
        <v>68</v>
      </c>
      <c r="H22" t="s">
        <v>69</v>
      </c>
      <c r="I22" t="s">
        <v>70</v>
      </c>
      <c r="J22" t="s">
        <v>71</v>
      </c>
      <c r="K22" t="s">
        <v>25</v>
      </c>
      <c r="L22" t="s">
        <v>72</v>
      </c>
      <c r="O22" t="s">
        <v>73</v>
      </c>
      <c r="P22" t="s">
        <v>74</v>
      </c>
      <c r="Q22" t="s">
        <v>37</v>
      </c>
      <c r="R22">
        <v>7</v>
      </c>
      <c r="S22" t="s">
        <v>75</v>
      </c>
      <c r="T22" t="s">
        <v>57</v>
      </c>
      <c r="U22" t="s">
        <v>53</v>
      </c>
      <c r="V22" t="s">
        <v>78</v>
      </c>
    </row>
    <row r="23" spans="1:22" hidden="1" x14ac:dyDescent="0.2">
      <c r="A23" t="s">
        <v>63</v>
      </c>
      <c r="B23" t="s">
        <v>23</v>
      </c>
      <c r="C23" t="s">
        <v>64</v>
      </c>
      <c r="D23" t="s">
        <v>65</v>
      </c>
      <c r="E23" t="s">
        <v>66</v>
      </c>
      <c r="F23" t="s">
        <v>67</v>
      </c>
      <c r="G23" t="s">
        <v>68</v>
      </c>
      <c r="H23" t="s">
        <v>69</v>
      </c>
      <c r="I23" t="s">
        <v>70</v>
      </c>
      <c r="J23" t="s">
        <v>71</v>
      </c>
      <c r="K23" t="s">
        <v>25</v>
      </c>
      <c r="L23" t="s">
        <v>72</v>
      </c>
      <c r="O23" t="s">
        <v>73</v>
      </c>
      <c r="P23" t="s">
        <v>74</v>
      </c>
      <c r="Q23" t="s">
        <v>37</v>
      </c>
      <c r="R23">
        <v>7</v>
      </c>
      <c r="S23" t="s">
        <v>75</v>
      </c>
      <c r="T23" t="s">
        <v>39</v>
      </c>
      <c r="U23" t="s">
        <v>53</v>
      </c>
      <c r="V23" t="s">
        <v>76</v>
      </c>
    </row>
    <row r="24" spans="1:22" hidden="1" x14ac:dyDescent="0.2">
      <c r="A24" t="s">
        <v>63</v>
      </c>
      <c r="B24" t="s">
        <v>23</v>
      </c>
      <c r="C24" t="s">
        <v>64</v>
      </c>
      <c r="D24" t="s">
        <v>65</v>
      </c>
      <c r="E24" t="s">
        <v>66</v>
      </c>
      <c r="F24" t="s">
        <v>67</v>
      </c>
      <c r="G24" t="s">
        <v>68</v>
      </c>
      <c r="H24" t="s">
        <v>69</v>
      </c>
      <c r="I24" t="s">
        <v>70</v>
      </c>
      <c r="J24" t="s">
        <v>71</v>
      </c>
      <c r="K24" t="s">
        <v>25</v>
      </c>
      <c r="L24" t="s">
        <v>72</v>
      </c>
      <c r="O24" t="s">
        <v>73</v>
      </c>
      <c r="P24" t="s">
        <v>74</v>
      </c>
      <c r="Q24" t="s">
        <v>37</v>
      </c>
      <c r="R24">
        <v>7</v>
      </c>
      <c r="S24" t="s">
        <v>75</v>
      </c>
      <c r="T24" t="s">
        <v>39</v>
      </c>
      <c r="U24" t="s">
        <v>53</v>
      </c>
      <c r="V24" t="s">
        <v>77</v>
      </c>
    </row>
    <row r="25" spans="1:22" hidden="1" x14ac:dyDescent="0.2">
      <c r="A25" t="s">
        <v>63</v>
      </c>
      <c r="B25" t="s">
        <v>23</v>
      </c>
      <c r="C25" t="s">
        <v>64</v>
      </c>
      <c r="D25" t="s">
        <v>65</v>
      </c>
      <c r="E25" t="s">
        <v>66</v>
      </c>
      <c r="F25" t="s">
        <v>67</v>
      </c>
      <c r="G25" t="s">
        <v>68</v>
      </c>
      <c r="H25" t="s">
        <v>69</v>
      </c>
      <c r="I25" t="s">
        <v>70</v>
      </c>
      <c r="J25" t="s">
        <v>71</v>
      </c>
      <c r="K25" t="s">
        <v>25</v>
      </c>
      <c r="L25" t="s">
        <v>72</v>
      </c>
      <c r="O25" t="s">
        <v>73</v>
      </c>
      <c r="P25" t="s">
        <v>74</v>
      </c>
      <c r="Q25" t="s">
        <v>37</v>
      </c>
      <c r="R25">
        <v>7</v>
      </c>
      <c r="S25" t="s">
        <v>75</v>
      </c>
      <c r="T25" t="s">
        <v>39</v>
      </c>
      <c r="U25" t="s">
        <v>53</v>
      </c>
      <c r="V25" t="s">
        <v>78</v>
      </c>
    </row>
    <row r="26" spans="1:22" hidden="1" x14ac:dyDescent="0.2">
      <c r="A26" t="s">
        <v>63</v>
      </c>
      <c r="B26" t="s">
        <v>23</v>
      </c>
      <c r="C26" t="s">
        <v>64</v>
      </c>
      <c r="D26" t="s">
        <v>65</v>
      </c>
      <c r="E26" t="s">
        <v>66</v>
      </c>
      <c r="F26" t="s">
        <v>67</v>
      </c>
      <c r="G26" t="s">
        <v>68</v>
      </c>
      <c r="H26" t="s">
        <v>69</v>
      </c>
      <c r="I26" t="s">
        <v>70</v>
      </c>
      <c r="J26" t="s">
        <v>71</v>
      </c>
      <c r="K26" t="s">
        <v>25</v>
      </c>
      <c r="L26" t="s">
        <v>72</v>
      </c>
      <c r="O26" t="s">
        <v>73</v>
      </c>
      <c r="P26" t="s">
        <v>74</v>
      </c>
      <c r="Q26" t="s">
        <v>37</v>
      </c>
      <c r="R26">
        <v>7</v>
      </c>
      <c r="S26" t="s">
        <v>75</v>
      </c>
      <c r="T26" t="s">
        <v>58</v>
      </c>
      <c r="U26" t="s">
        <v>53</v>
      </c>
      <c r="V26" t="s">
        <v>76</v>
      </c>
    </row>
    <row r="27" spans="1:22" hidden="1" x14ac:dyDescent="0.2">
      <c r="A27" t="s">
        <v>63</v>
      </c>
      <c r="B27" t="s">
        <v>23</v>
      </c>
      <c r="C27" t="s">
        <v>64</v>
      </c>
      <c r="D27" t="s">
        <v>65</v>
      </c>
      <c r="E27" t="s">
        <v>66</v>
      </c>
      <c r="F27" t="s">
        <v>67</v>
      </c>
      <c r="G27" t="s">
        <v>68</v>
      </c>
      <c r="H27" t="s">
        <v>69</v>
      </c>
      <c r="I27" t="s">
        <v>70</v>
      </c>
      <c r="J27" t="s">
        <v>71</v>
      </c>
      <c r="K27" t="s">
        <v>25</v>
      </c>
      <c r="L27" t="s">
        <v>72</v>
      </c>
      <c r="O27" t="s">
        <v>73</v>
      </c>
      <c r="P27" t="s">
        <v>74</v>
      </c>
      <c r="Q27" t="s">
        <v>37</v>
      </c>
      <c r="R27">
        <v>7</v>
      </c>
      <c r="S27" t="s">
        <v>75</v>
      </c>
      <c r="T27" t="s">
        <v>58</v>
      </c>
      <c r="U27" t="s">
        <v>53</v>
      </c>
      <c r="V27" t="s">
        <v>77</v>
      </c>
    </row>
    <row r="28" spans="1:22" hidden="1" x14ac:dyDescent="0.2">
      <c r="A28" t="s">
        <v>63</v>
      </c>
      <c r="B28" t="s">
        <v>23</v>
      </c>
      <c r="C28" t="s">
        <v>64</v>
      </c>
      <c r="D28" t="s">
        <v>65</v>
      </c>
      <c r="E28" t="s">
        <v>66</v>
      </c>
      <c r="F28" t="s">
        <v>67</v>
      </c>
      <c r="G28" t="s">
        <v>68</v>
      </c>
      <c r="H28" t="s">
        <v>69</v>
      </c>
      <c r="I28" t="s">
        <v>70</v>
      </c>
      <c r="J28" t="s">
        <v>71</v>
      </c>
      <c r="K28" t="s">
        <v>25</v>
      </c>
      <c r="L28" t="s">
        <v>72</v>
      </c>
      <c r="O28" t="s">
        <v>73</v>
      </c>
      <c r="P28" t="s">
        <v>74</v>
      </c>
      <c r="Q28" t="s">
        <v>37</v>
      </c>
      <c r="R28">
        <v>7</v>
      </c>
      <c r="S28" t="s">
        <v>75</v>
      </c>
      <c r="T28" t="s">
        <v>58</v>
      </c>
      <c r="U28" t="s">
        <v>53</v>
      </c>
      <c r="V28" t="s">
        <v>78</v>
      </c>
    </row>
    <row r="29" spans="1:22" hidden="1" x14ac:dyDescent="0.2">
      <c r="A29" t="s">
        <v>63</v>
      </c>
      <c r="B29" t="s">
        <v>23</v>
      </c>
      <c r="C29" t="s">
        <v>64</v>
      </c>
      <c r="D29" t="s">
        <v>65</v>
      </c>
      <c r="E29" t="s">
        <v>66</v>
      </c>
      <c r="F29" t="s">
        <v>67</v>
      </c>
      <c r="G29" t="s">
        <v>68</v>
      </c>
      <c r="H29" t="s">
        <v>69</v>
      </c>
      <c r="I29" t="s">
        <v>70</v>
      </c>
      <c r="J29" t="s">
        <v>71</v>
      </c>
      <c r="K29" t="s">
        <v>25</v>
      </c>
      <c r="L29" t="s">
        <v>72</v>
      </c>
      <c r="O29" t="s">
        <v>73</v>
      </c>
      <c r="P29" t="s">
        <v>74</v>
      </c>
      <c r="Q29" t="s">
        <v>37</v>
      </c>
      <c r="R29">
        <v>7</v>
      </c>
      <c r="S29" t="s">
        <v>75</v>
      </c>
      <c r="T29" t="s">
        <v>59</v>
      </c>
      <c r="U29" t="s">
        <v>53</v>
      </c>
      <c r="V29" t="s">
        <v>76</v>
      </c>
    </row>
    <row r="30" spans="1:22" hidden="1" x14ac:dyDescent="0.2">
      <c r="A30" t="s">
        <v>63</v>
      </c>
      <c r="B30" t="s">
        <v>23</v>
      </c>
      <c r="C30" t="s">
        <v>64</v>
      </c>
      <c r="D30" t="s">
        <v>65</v>
      </c>
      <c r="E30" t="s">
        <v>66</v>
      </c>
      <c r="F30" t="s">
        <v>67</v>
      </c>
      <c r="G30" t="s">
        <v>68</v>
      </c>
      <c r="H30" t="s">
        <v>69</v>
      </c>
      <c r="I30" t="s">
        <v>70</v>
      </c>
      <c r="J30" t="s">
        <v>71</v>
      </c>
      <c r="K30" t="s">
        <v>25</v>
      </c>
      <c r="L30" t="s">
        <v>72</v>
      </c>
      <c r="O30" t="s">
        <v>73</v>
      </c>
      <c r="P30" t="s">
        <v>74</v>
      </c>
      <c r="Q30" t="s">
        <v>37</v>
      </c>
      <c r="R30">
        <v>7</v>
      </c>
      <c r="S30" t="s">
        <v>75</v>
      </c>
      <c r="T30" t="s">
        <v>59</v>
      </c>
      <c r="U30" t="s">
        <v>53</v>
      </c>
      <c r="V30" t="s">
        <v>77</v>
      </c>
    </row>
    <row r="31" spans="1:22" hidden="1" x14ac:dyDescent="0.2">
      <c r="A31" t="s">
        <v>63</v>
      </c>
      <c r="B31" t="s">
        <v>23</v>
      </c>
      <c r="C31" t="s">
        <v>64</v>
      </c>
      <c r="D31" t="s">
        <v>65</v>
      </c>
      <c r="E31" t="s">
        <v>66</v>
      </c>
      <c r="F31" t="s">
        <v>67</v>
      </c>
      <c r="G31" t="s">
        <v>68</v>
      </c>
      <c r="H31" t="s">
        <v>69</v>
      </c>
      <c r="I31" t="s">
        <v>70</v>
      </c>
      <c r="J31" t="s">
        <v>71</v>
      </c>
      <c r="K31" t="s">
        <v>25</v>
      </c>
      <c r="L31" t="s">
        <v>72</v>
      </c>
      <c r="O31" t="s">
        <v>73</v>
      </c>
      <c r="P31" t="s">
        <v>74</v>
      </c>
      <c r="Q31" t="s">
        <v>37</v>
      </c>
      <c r="R31">
        <v>7</v>
      </c>
      <c r="S31" t="s">
        <v>75</v>
      </c>
      <c r="T31" t="s">
        <v>59</v>
      </c>
      <c r="U31" t="s">
        <v>53</v>
      </c>
      <c r="V31" t="s">
        <v>78</v>
      </c>
    </row>
    <row r="32" spans="1:22" hidden="1" x14ac:dyDescent="0.2">
      <c r="A32" t="s">
        <v>63</v>
      </c>
      <c r="B32" t="s">
        <v>23</v>
      </c>
      <c r="C32" t="s">
        <v>64</v>
      </c>
      <c r="D32" t="s">
        <v>65</v>
      </c>
      <c r="E32" t="s">
        <v>66</v>
      </c>
      <c r="F32" t="s">
        <v>67</v>
      </c>
      <c r="G32" t="s">
        <v>68</v>
      </c>
      <c r="H32" t="s">
        <v>69</v>
      </c>
      <c r="I32" t="s">
        <v>70</v>
      </c>
      <c r="J32" t="s">
        <v>71</v>
      </c>
      <c r="K32" t="s">
        <v>25</v>
      </c>
      <c r="L32" t="s">
        <v>72</v>
      </c>
      <c r="O32" t="s">
        <v>73</v>
      </c>
      <c r="P32" t="s">
        <v>74</v>
      </c>
      <c r="Q32" t="s">
        <v>37</v>
      </c>
      <c r="R32">
        <v>7</v>
      </c>
      <c r="S32" t="s">
        <v>75</v>
      </c>
      <c r="T32" t="s">
        <v>60</v>
      </c>
      <c r="U32" t="s">
        <v>53</v>
      </c>
      <c r="V32" t="s">
        <v>76</v>
      </c>
    </row>
    <row r="33" spans="1:22" hidden="1" x14ac:dyDescent="0.2">
      <c r="A33" t="s">
        <v>63</v>
      </c>
      <c r="B33" t="s">
        <v>23</v>
      </c>
      <c r="C33" t="s">
        <v>64</v>
      </c>
      <c r="D33" t="s">
        <v>65</v>
      </c>
      <c r="E33" t="s">
        <v>66</v>
      </c>
      <c r="F33" t="s">
        <v>67</v>
      </c>
      <c r="G33" t="s">
        <v>68</v>
      </c>
      <c r="H33" t="s">
        <v>69</v>
      </c>
      <c r="I33" t="s">
        <v>70</v>
      </c>
      <c r="J33" t="s">
        <v>71</v>
      </c>
      <c r="K33" t="s">
        <v>25</v>
      </c>
      <c r="L33" t="s">
        <v>72</v>
      </c>
      <c r="O33" t="s">
        <v>73</v>
      </c>
      <c r="P33" t="s">
        <v>74</v>
      </c>
      <c r="Q33" t="s">
        <v>37</v>
      </c>
      <c r="R33">
        <v>7</v>
      </c>
      <c r="S33" t="s">
        <v>75</v>
      </c>
      <c r="T33" t="s">
        <v>60</v>
      </c>
      <c r="U33" t="s">
        <v>53</v>
      </c>
      <c r="V33" t="s">
        <v>77</v>
      </c>
    </row>
    <row r="34" spans="1:22" hidden="1" x14ac:dyDescent="0.2">
      <c r="A34" t="s">
        <v>63</v>
      </c>
      <c r="B34" t="s">
        <v>23</v>
      </c>
      <c r="C34" t="s">
        <v>64</v>
      </c>
      <c r="D34" t="s">
        <v>65</v>
      </c>
      <c r="E34" t="s">
        <v>66</v>
      </c>
      <c r="F34" t="s">
        <v>67</v>
      </c>
      <c r="G34" t="s">
        <v>68</v>
      </c>
      <c r="H34" t="s">
        <v>69</v>
      </c>
      <c r="I34" t="s">
        <v>70</v>
      </c>
      <c r="J34" t="s">
        <v>71</v>
      </c>
      <c r="K34" t="s">
        <v>25</v>
      </c>
      <c r="L34" t="s">
        <v>72</v>
      </c>
      <c r="O34" t="s">
        <v>73</v>
      </c>
      <c r="P34" t="s">
        <v>74</v>
      </c>
      <c r="Q34" t="s">
        <v>37</v>
      </c>
      <c r="R34">
        <v>7</v>
      </c>
      <c r="S34" t="s">
        <v>75</v>
      </c>
      <c r="T34" t="s">
        <v>60</v>
      </c>
      <c r="U34" t="s">
        <v>53</v>
      </c>
      <c r="V34" t="s">
        <v>78</v>
      </c>
    </row>
    <row r="35" spans="1:22" hidden="1" x14ac:dyDescent="0.2">
      <c r="A35" t="s">
        <v>63</v>
      </c>
      <c r="B35" t="s">
        <v>23</v>
      </c>
      <c r="C35" t="s">
        <v>64</v>
      </c>
      <c r="D35" t="s">
        <v>65</v>
      </c>
      <c r="E35" t="s">
        <v>66</v>
      </c>
      <c r="F35" t="s">
        <v>67</v>
      </c>
      <c r="G35" t="s">
        <v>68</v>
      </c>
      <c r="H35" t="s">
        <v>69</v>
      </c>
      <c r="I35" t="s">
        <v>70</v>
      </c>
      <c r="J35" t="s">
        <v>71</v>
      </c>
      <c r="K35" t="s">
        <v>25</v>
      </c>
      <c r="L35" t="s">
        <v>72</v>
      </c>
      <c r="O35" t="s">
        <v>73</v>
      </c>
      <c r="P35" t="s">
        <v>74</v>
      </c>
      <c r="Q35" t="s">
        <v>37</v>
      </c>
      <c r="R35">
        <v>7</v>
      </c>
      <c r="S35" t="s">
        <v>75</v>
      </c>
      <c r="T35" t="s">
        <v>62</v>
      </c>
      <c r="U35" t="s">
        <v>53</v>
      </c>
      <c r="V35" t="s">
        <v>76</v>
      </c>
    </row>
    <row r="36" spans="1:22" hidden="1" x14ac:dyDescent="0.2">
      <c r="A36" t="s">
        <v>63</v>
      </c>
      <c r="B36" t="s">
        <v>23</v>
      </c>
      <c r="C36" t="s">
        <v>64</v>
      </c>
      <c r="D36" t="s">
        <v>65</v>
      </c>
      <c r="E36" t="s">
        <v>66</v>
      </c>
      <c r="F36" t="s">
        <v>67</v>
      </c>
      <c r="G36" t="s">
        <v>68</v>
      </c>
      <c r="H36" t="s">
        <v>69</v>
      </c>
      <c r="I36" t="s">
        <v>70</v>
      </c>
      <c r="J36" t="s">
        <v>71</v>
      </c>
      <c r="K36" t="s">
        <v>25</v>
      </c>
      <c r="L36" t="s">
        <v>72</v>
      </c>
      <c r="O36" t="s">
        <v>73</v>
      </c>
      <c r="P36" t="s">
        <v>74</v>
      </c>
      <c r="Q36" t="s">
        <v>37</v>
      </c>
      <c r="R36">
        <v>7</v>
      </c>
      <c r="S36" t="s">
        <v>75</v>
      </c>
      <c r="T36" t="s">
        <v>62</v>
      </c>
      <c r="U36" t="s">
        <v>53</v>
      </c>
      <c r="V36" t="s">
        <v>77</v>
      </c>
    </row>
    <row r="37" spans="1:22" hidden="1" x14ac:dyDescent="0.2">
      <c r="A37" t="s">
        <v>63</v>
      </c>
      <c r="B37" t="s">
        <v>23</v>
      </c>
      <c r="C37" t="s">
        <v>64</v>
      </c>
      <c r="D37" t="s">
        <v>65</v>
      </c>
      <c r="E37" t="s">
        <v>66</v>
      </c>
      <c r="F37" t="s">
        <v>67</v>
      </c>
      <c r="G37" t="s">
        <v>68</v>
      </c>
      <c r="H37" t="s">
        <v>69</v>
      </c>
      <c r="I37" t="s">
        <v>70</v>
      </c>
      <c r="J37" t="s">
        <v>71</v>
      </c>
      <c r="K37" t="s">
        <v>25</v>
      </c>
      <c r="L37" t="s">
        <v>72</v>
      </c>
      <c r="O37" t="s">
        <v>73</v>
      </c>
      <c r="P37" t="s">
        <v>74</v>
      </c>
      <c r="Q37" t="s">
        <v>37</v>
      </c>
      <c r="R37">
        <v>7</v>
      </c>
      <c r="S37" t="s">
        <v>75</v>
      </c>
      <c r="T37" t="s">
        <v>62</v>
      </c>
      <c r="U37" t="s">
        <v>53</v>
      </c>
      <c r="V37" t="s">
        <v>78</v>
      </c>
    </row>
    <row r="38" spans="1:22" hidden="1" x14ac:dyDescent="0.2">
      <c r="A38" t="s">
        <v>63</v>
      </c>
      <c r="B38" t="s">
        <v>23</v>
      </c>
      <c r="C38" t="s">
        <v>64</v>
      </c>
      <c r="D38" t="s">
        <v>65</v>
      </c>
      <c r="E38" t="s">
        <v>66</v>
      </c>
      <c r="F38" t="s">
        <v>67</v>
      </c>
      <c r="G38" t="s">
        <v>68</v>
      </c>
      <c r="H38" t="s">
        <v>69</v>
      </c>
      <c r="I38" t="s">
        <v>70</v>
      </c>
      <c r="J38" t="s">
        <v>71</v>
      </c>
      <c r="K38" t="s">
        <v>25</v>
      </c>
      <c r="L38" t="s">
        <v>72</v>
      </c>
      <c r="O38" t="s">
        <v>73</v>
      </c>
      <c r="P38" t="s">
        <v>74</v>
      </c>
      <c r="Q38" t="s">
        <v>37</v>
      </c>
      <c r="R38">
        <v>7</v>
      </c>
      <c r="S38" t="s">
        <v>75</v>
      </c>
      <c r="T38" t="s">
        <v>79</v>
      </c>
      <c r="U38" t="s">
        <v>53</v>
      </c>
      <c r="V38" t="s">
        <v>76</v>
      </c>
    </row>
    <row r="39" spans="1:22" hidden="1" x14ac:dyDescent="0.2">
      <c r="A39" t="s">
        <v>63</v>
      </c>
      <c r="B39" t="s">
        <v>23</v>
      </c>
      <c r="C39" t="s">
        <v>64</v>
      </c>
      <c r="D39" t="s">
        <v>65</v>
      </c>
      <c r="E39" t="s">
        <v>66</v>
      </c>
      <c r="F39" t="s">
        <v>67</v>
      </c>
      <c r="G39" t="s">
        <v>68</v>
      </c>
      <c r="H39" t="s">
        <v>69</v>
      </c>
      <c r="I39" t="s">
        <v>70</v>
      </c>
      <c r="J39" t="s">
        <v>71</v>
      </c>
      <c r="K39" t="s">
        <v>25</v>
      </c>
      <c r="L39" t="s">
        <v>72</v>
      </c>
      <c r="O39" t="s">
        <v>73</v>
      </c>
      <c r="P39" t="s">
        <v>74</v>
      </c>
      <c r="Q39" t="s">
        <v>37</v>
      </c>
      <c r="R39">
        <v>7</v>
      </c>
      <c r="S39" t="s">
        <v>75</v>
      </c>
      <c r="T39" t="s">
        <v>79</v>
      </c>
      <c r="U39" t="s">
        <v>53</v>
      </c>
      <c r="V39" t="s">
        <v>77</v>
      </c>
    </row>
    <row r="40" spans="1:22" hidden="1" x14ac:dyDescent="0.2">
      <c r="A40" t="s">
        <v>63</v>
      </c>
      <c r="B40" t="s">
        <v>23</v>
      </c>
      <c r="C40" t="s">
        <v>64</v>
      </c>
      <c r="D40" t="s">
        <v>65</v>
      </c>
      <c r="E40" t="s">
        <v>66</v>
      </c>
      <c r="F40" t="s">
        <v>67</v>
      </c>
      <c r="G40" t="s">
        <v>68</v>
      </c>
      <c r="H40" t="s">
        <v>69</v>
      </c>
      <c r="I40" t="s">
        <v>70</v>
      </c>
      <c r="J40" t="s">
        <v>71</v>
      </c>
      <c r="K40" t="s">
        <v>25</v>
      </c>
      <c r="L40" t="s">
        <v>72</v>
      </c>
      <c r="O40" t="s">
        <v>73</v>
      </c>
      <c r="P40" t="s">
        <v>74</v>
      </c>
      <c r="Q40" t="s">
        <v>37</v>
      </c>
      <c r="R40">
        <v>7</v>
      </c>
      <c r="S40" t="s">
        <v>75</v>
      </c>
      <c r="T40" t="s">
        <v>79</v>
      </c>
      <c r="U40" t="s">
        <v>53</v>
      </c>
      <c r="V40" t="s">
        <v>78</v>
      </c>
    </row>
    <row r="41" spans="1:22" hidden="1" x14ac:dyDescent="0.2">
      <c r="A41" t="s">
        <v>63</v>
      </c>
      <c r="B41" t="s">
        <v>23</v>
      </c>
      <c r="C41" t="s">
        <v>64</v>
      </c>
      <c r="D41" t="s">
        <v>65</v>
      </c>
      <c r="E41" t="s">
        <v>66</v>
      </c>
      <c r="F41" t="s">
        <v>67</v>
      </c>
      <c r="G41" t="s">
        <v>68</v>
      </c>
      <c r="H41" t="s">
        <v>69</v>
      </c>
      <c r="I41" t="s">
        <v>70</v>
      </c>
      <c r="J41" t="s">
        <v>71</v>
      </c>
      <c r="K41" t="s">
        <v>25</v>
      </c>
      <c r="L41" t="s">
        <v>72</v>
      </c>
      <c r="O41" t="s">
        <v>73</v>
      </c>
      <c r="P41" t="s">
        <v>74</v>
      </c>
      <c r="Q41" t="s">
        <v>37</v>
      </c>
      <c r="R41">
        <v>7</v>
      </c>
      <c r="S41" t="s">
        <v>75</v>
      </c>
      <c r="T41" t="s">
        <v>80</v>
      </c>
      <c r="U41" t="s">
        <v>53</v>
      </c>
      <c r="V41" t="s">
        <v>76</v>
      </c>
    </row>
    <row r="42" spans="1:22" hidden="1" x14ac:dyDescent="0.2">
      <c r="A42" t="s">
        <v>63</v>
      </c>
      <c r="B42" t="s">
        <v>23</v>
      </c>
      <c r="C42" t="s">
        <v>64</v>
      </c>
      <c r="D42" t="s">
        <v>65</v>
      </c>
      <c r="E42" t="s">
        <v>66</v>
      </c>
      <c r="F42" t="s">
        <v>67</v>
      </c>
      <c r="G42" t="s">
        <v>68</v>
      </c>
      <c r="H42" t="s">
        <v>69</v>
      </c>
      <c r="I42" t="s">
        <v>70</v>
      </c>
      <c r="J42" t="s">
        <v>71</v>
      </c>
      <c r="K42" t="s">
        <v>25</v>
      </c>
      <c r="L42" t="s">
        <v>72</v>
      </c>
      <c r="O42" t="s">
        <v>73</v>
      </c>
      <c r="P42" t="s">
        <v>74</v>
      </c>
      <c r="Q42" t="s">
        <v>37</v>
      </c>
      <c r="R42">
        <v>7</v>
      </c>
      <c r="S42" t="s">
        <v>75</v>
      </c>
      <c r="T42" t="s">
        <v>80</v>
      </c>
      <c r="U42" t="s">
        <v>53</v>
      </c>
      <c r="V42" t="s">
        <v>77</v>
      </c>
    </row>
    <row r="43" spans="1:22" hidden="1" x14ac:dyDescent="0.2">
      <c r="A43" t="s">
        <v>63</v>
      </c>
      <c r="B43" t="s">
        <v>23</v>
      </c>
      <c r="C43" t="s">
        <v>64</v>
      </c>
      <c r="D43" t="s">
        <v>65</v>
      </c>
      <c r="E43" t="s">
        <v>66</v>
      </c>
      <c r="F43" t="s">
        <v>67</v>
      </c>
      <c r="G43" t="s">
        <v>68</v>
      </c>
      <c r="H43" t="s">
        <v>69</v>
      </c>
      <c r="I43" t="s">
        <v>70</v>
      </c>
      <c r="J43" t="s">
        <v>71</v>
      </c>
      <c r="K43" t="s">
        <v>25</v>
      </c>
      <c r="L43" t="s">
        <v>72</v>
      </c>
      <c r="O43" t="s">
        <v>73</v>
      </c>
      <c r="P43" t="s">
        <v>74</v>
      </c>
      <c r="Q43" t="s">
        <v>37</v>
      </c>
      <c r="R43">
        <v>7</v>
      </c>
      <c r="S43" t="s">
        <v>75</v>
      </c>
      <c r="T43" t="s">
        <v>80</v>
      </c>
      <c r="U43" t="s">
        <v>53</v>
      </c>
      <c r="V43" t="s">
        <v>78</v>
      </c>
    </row>
    <row r="44" spans="1:22" hidden="1" x14ac:dyDescent="0.2">
      <c r="A44" t="s">
        <v>63</v>
      </c>
      <c r="B44" t="s">
        <v>23</v>
      </c>
      <c r="C44" t="s">
        <v>64</v>
      </c>
      <c r="D44" t="s">
        <v>65</v>
      </c>
      <c r="E44" t="s">
        <v>66</v>
      </c>
      <c r="F44" t="s">
        <v>67</v>
      </c>
      <c r="G44" t="s">
        <v>68</v>
      </c>
      <c r="H44" t="s">
        <v>69</v>
      </c>
      <c r="I44" t="s">
        <v>70</v>
      </c>
      <c r="J44" t="s">
        <v>71</v>
      </c>
      <c r="K44" t="s">
        <v>25</v>
      </c>
      <c r="L44" t="s">
        <v>72</v>
      </c>
      <c r="O44" t="s">
        <v>73</v>
      </c>
      <c r="P44" t="s">
        <v>81</v>
      </c>
      <c r="Q44" t="s">
        <v>37</v>
      </c>
      <c r="R44">
        <v>7</v>
      </c>
      <c r="S44" t="s">
        <v>82</v>
      </c>
      <c r="T44" t="s">
        <v>57</v>
      </c>
      <c r="U44" t="s">
        <v>53</v>
      </c>
      <c r="V44" t="s">
        <v>76</v>
      </c>
    </row>
    <row r="45" spans="1:22" hidden="1" x14ac:dyDescent="0.2">
      <c r="A45" t="s">
        <v>63</v>
      </c>
      <c r="B45" t="s">
        <v>23</v>
      </c>
      <c r="C45" t="s">
        <v>64</v>
      </c>
      <c r="D45" t="s">
        <v>65</v>
      </c>
      <c r="E45" t="s">
        <v>66</v>
      </c>
      <c r="F45" t="s">
        <v>67</v>
      </c>
      <c r="G45" t="s">
        <v>68</v>
      </c>
      <c r="H45" t="s">
        <v>69</v>
      </c>
      <c r="I45" t="s">
        <v>70</v>
      </c>
      <c r="J45" t="s">
        <v>71</v>
      </c>
      <c r="K45" t="s">
        <v>25</v>
      </c>
      <c r="L45" t="s">
        <v>72</v>
      </c>
      <c r="O45" t="s">
        <v>73</v>
      </c>
      <c r="P45" t="s">
        <v>81</v>
      </c>
      <c r="Q45" t="s">
        <v>37</v>
      </c>
      <c r="R45">
        <v>7</v>
      </c>
      <c r="S45" t="s">
        <v>82</v>
      </c>
      <c r="T45" t="s">
        <v>57</v>
      </c>
      <c r="U45" t="s">
        <v>53</v>
      </c>
      <c r="V45" t="s">
        <v>77</v>
      </c>
    </row>
    <row r="46" spans="1:22" hidden="1" x14ac:dyDescent="0.2">
      <c r="A46" t="s">
        <v>63</v>
      </c>
      <c r="B46" t="s">
        <v>23</v>
      </c>
      <c r="C46" t="s">
        <v>64</v>
      </c>
      <c r="D46" t="s">
        <v>65</v>
      </c>
      <c r="E46" t="s">
        <v>66</v>
      </c>
      <c r="F46" t="s">
        <v>67</v>
      </c>
      <c r="G46" t="s">
        <v>68</v>
      </c>
      <c r="H46" t="s">
        <v>69</v>
      </c>
      <c r="I46" t="s">
        <v>70</v>
      </c>
      <c r="J46" t="s">
        <v>71</v>
      </c>
      <c r="K46" t="s">
        <v>25</v>
      </c>
      <c r="L46" t="s">
        <v>72</v>
      </c>
      <c r="O46" t="s">
        <v>73</v>
      </c>
      <c r="P46" t="s">
        <v>81</v>
      </c>
      <c r="Q46" t="s">
        <v>37</v>
      </c>
      <c r="R46">
        <v>7</v>
      </c>
      <c r="S46" t="s">
        <v>82</v>
      </c>
      <c r="T46" t="s">
        <v>57</v>
      </c>
      <c r="U46" t="s">
        <v>53</v>
      </c>
      <c r="V46" t="s">
        <v>78</v>
      </c>
    </row>
    <row r="47" spans="1:22" hidden="1" x14ac:dyDescent="0.2">
      <c r="A47" t="s">
        <v>63</v>
      </c>
      <c r="B47" t="s">
        <v>23</v>
      </c>
      <c r="C47" t="s">
        <v>64</v>
      </c>
      <c r="D47" t="s">
        <v>65</v>
      </c>
      <c r="E47" t="s">
        <v>66</v>
      </c>
      <c r="F47" t="s">
        <v>67</v>
      </c>
      <c r="G47" t="s">
        <v>68</v>
      </c>
      <c r="H47" t="s">
        <v>69</v>
      </c>
      <c r="I47" t="s">
        <v>70</v>
      </c>
      <c r="J47" t="s">
        <v>71</v>
      </c>
      <c r="K47" t="s">
        <v>25</v>
      </c>
      <c r="L47" t="s">
        <v>72</v>
      </c>
      <c r="O47" t="s">
        <v>73</v>
      </c>
      <c r="P47" t="s">
        <v>81</v>
      </c>
      <c r="Q47" t="s">
        <v>37</v>
      </c>
      <c r="R47">
        <v>7</v>
      </c>
      <c r="S47" t="s">
        <v>82</v>
      </c>
      <c r="T47" t="s">
        <v>39</v>
      </c>
      <c r="U47" t="s">
        <v>53</v>
      </c>
      <c r="V47" t="s">
        <v>76</v>
      </c>
    </row>
    <row r="48" spans="1:22" hidden="1" x14ac:dyDescent="0.2">
      <c r="A48" t="s">
        <v>63</v>
      </c>
      <c r="B48" t="s">
        <v>23</v>
      </c>
      <c r="C48" t="s">
        <v>64</v>
      </c>
      <c r="D48" t="s">
        <v>65</v>
      </c>
      <c r="E48" t="s">
        <v>66</v>
      </c>
      <c r="F48" t="s">
        <v>67</v>
      </c>
      <c r="G48" t="s">
        <v>68</v>
      </c>
      <c r="H48" t="s">
        <v>69</v>
      </c>
      <c r="I48" t="s">
        <v>70</v>
      </c>
      <c r="J48" t="s">
        <v>71</v>
      </c>
      <c r="K48" t="s">
        <v>25</v>
      </c>
      <c r="L48" t="s">
        <v>72</v>
      </c>
      <c r="O48" t="s">
        <v>73</v>
      </c>
      <c r="P48" t="s">
        <v>81</v>
      </c>
      <c r="Q48" t="s">
        <v>37</v>
      </c>
      <c r="R48">
        <v>7</v>
      </c>
      <c r="S48" t="s">
        <v>82</v>
      </c>
      <c r="T48" t="s">
        <v>39</v>
      </c>
      <c r="U48" t="s">
        <v>53</v>
      </c>
      <c r="V48" t="s">
        <v>77</v>
      </c>
    </row>
    <row r="49" spans="1:22" hidden="1" x14ac:dyDescent="0.2">
      <c r="A49" t="s">
        <v>63</v>
      </c>
      <c r="B49" t="s">
        <v>23</v>
      </c>
      <c r="C49" t="s">
        <v>64</v>
      </c>
      <c r="D49" t="s">
        <v>65</v>
      </c>
      <c r="E49" t="s">
        <v>66</v>
      </c>
      <c r="F49" t="s">
        <v>67</v>
      </c>
      <c r="G49" t="s">
        <v>68</v>
      </c>
      <c r="H49" t="s">
        <v>69</v>
      </c>
      <c r="I49" t="s">
        <v>70</v>
      </c>
      <c r="J49" t="s">
        <v>71</v>
      </c>
      <c r="K49" t="s">
        <v>25</v>
      </c>
      <c r="L49" t="s">
        <v>72</v>
      </c>
      <c r="O49" t="s">
        <v>73</v>
      </c>
      <c r="P49" t="s">
        <v>81</v>
      </c>
      <c r="Q49" t="s">
        <v>37</v>
      </c>
      <c r="R49">
        <v>7</v>
      </c>
      <c r="S49" t="s">
        <v>82</v>
      </c>
      <c r="T49" t="s">
        <v>39</v>
      </c>
      <c r="U49" t="s">
        <v>53</v>
      </c>
      <c r="V49" t="s">
        <v>78</v>
      </c>
    </row>
    <row r="50" spans="1:22" hidden="1" x14ac:dyDescent="0.2">
      <c r="A50" t="s">
        <v>63</v>
      </c>
      <c r="B50" t="s">
        <v>23</v>
      </c>
      <c r="C50" t="s">
        <v>64</v>
      </c>
      <c r="D50" t="s">
        <v>65</v>
      </c>
      <c r="E50" t="s">
        <v>66</v>
      </c>
      <c r="F50" t="s">
        <v>67</v>
      </c>
      <c r="G50" t="s">
        <v>68</v>
      </c>
      <c r="H50" t="s">
        <v>69</v>
      </c>
      <c r="I50" t="s">
        <v>70</v>
      </c>
      <c r="J50" t="s">
        <v>71</v>
      </c>
      <c r="K50" t="s">
        <v>25</v>
      </c>
      <c r="L50" t="s">
        <v>72</v>
      </c>
      <c r="O50" t="s">
        <v>73</v>
      </c>
      <c r="P50" t="s">
        <v>81</v>
      </c>
      <c r="Q50" t="s">
        <v>37</v>
      </c>
      <c r="R50">
        <v>7</v>
      </c>
      <c r="S50" t="s">
        <v>82</v>
      </c>
      <c r="T50" t="s">
        <v>58</v>
      </c>
      <c r="U50" t="s">
        <v>53</v>
      </c>
      <c r="V50" t="s">
        <v>76</v>
      </c>
    </row>
    <row r="51" spans="1:22" hidden="1" x14ac:dyDescent="0.2">
      <c r="A51" t="s">
        <v>63</v>
      </c>
      <c r="B51" t="s">
        <v>23</v>
      </c>
      <c r="C51" t="s">
        <v>64</v>
      </c>
      <c r="D51" t="s">
        <v>65</v>
      </c>
      <c r="E51" t="s">
        <v>66</v>
      </c>
      <c r="F51" t="s">
        <v>67</v>
      </c>
      <c r="G51" t="s">
        <v>68</v>
      </c>
      <c r="H51" t="s">
        <v>69</v>
      </c>
      <c r="I51" t="s">
        <v>70</v>
      </c>
      <c r="J51" t="s">
        <v>71</v>
      </c>
      <c r="K51" t="s">
        <v>25</v>
      </c>
      <c r="L51" t="s">
        <v>72</v>
      </c>
      <c r="O51" t="s">
        <v>73</v>
      </c>
      <c r="P51" t="s">
        <v>81</v>
      </c>
      <c r="Q51" t="s">
        <v>37</v>
      </c>
      <c r="R51">
        <v>7</v>
      </c>
      <c r="S51" t="s">
        <v>82</v>
      </c>
      <c r="T51" t="s">
        <v>58</v>
      </c>
      <c r="U51" t="s">
        <v>53</v>
      </c>
      <c r="V51" t="s">
        <v>77</v>
      </c>
    </row>
    <row r="52" spans="1:22" hidden="1" x14ac:dyDescent="0.2">
      <c r="A52" t="s">
        <v>63</v>
      </c>
      <c r="B52" t="s">
        <v>23</v>
      </c>
      <c r="C52" t="s">
        <v>64</v>
      </c>
      <c r="D52" t="s">
        <v>65</v>
      </c>
      <c r="E52" t="s">
        <v>66</v>
      </c>
      <c r="F52" t="s">
        <v>67</v>
      </c>
      <c r="G52" t="s">
        <v>68</v>
      </c>
      <c r="H52" t="s">
        <v>69</v>
      </c>
      <c r="I52" t="s">
        <v>70</v>
      </c>
      <c r="J52" t="s">
        <v>71</v>
      </c>
      <c r="K52" t="s">
        <v>25</v>
      </c>
      <c r="L52" t="s">
        <v>72</v>
      </c>
      <c r="O52" t="s">
        <v>73</v>
      </c>
      <c r="P52" t="s">
        <v>81</v>
      </c>
      <c r="Q52" t="s">
        <v>37</v>
      </c>
      <c r="R52">
        <v>7</v>
      </c>
      <c r="S52" t="s">
        <v>82</v>
      </c>
      <c r="T52" t="s">
        <v>58</v>
      </c>
      <c r="U52" t="s">
        <v>53</v>
      </c>
      <c r="V52" t="s">
        <v>78</v>
      </c>
    </row>
    <row r="53" spans="1:22" hidden="1" x14ac:dyDescent="0.2">
      <c r="A53" t="s">
        <v>63</v>
      </c>
      <c r="B53" t="s">
        <v>23</v>
      </c>
      <c r="C53" t="s">
        <v>64</v>
      </c>
      <c r="D53" t="s">
        <v>65</v>
      </c>
      <c r="E53" t="s">
        <v>66</v>
      </c>
      <c r="F53" t="s">
        <v>67</v>
      </c>
      <c r="G53" t="s">
        <v>68</v>
      </c>
      <c r="H53" t="s">
        <v>69</v>
      </c>
      <c r="I53" t="s">
        <v>70</v>
      </c>
      <c r="J53" t="s">
        <v>71</v>
      </c>
      <c r="K53" t="s">
        <v>25</v>
      </c>
      <c r="L53" t="s">
        <v>72</v>
      </c>
      <c r="O53" t="s">
        <v>73</v>
      </c>
      <c r="P53" t="s">
        <v>81</v>
      </c>
      <c r="Q53" t="s">
        <v>37</v>
      </c>
      <c r="R53">
        <v>7</v>
      </c>
      <c r="S53" t="s">
        <v>82</v>
      </c>
      <c r="T53" t="s">
        <v>59</v>
      </c>
      <c r="U53" t="s">
        <v>53</v>
      </c>
      <c r="V53" t="s">
        <v>76</v>
      </c>
    </row>
    <row r="54" spans="1:22" hidden="1" x14ac:dyDescent="0.2">
      <c r="A54" t="s">
        <v>63</v>
      </c>
      <c r="B54" t="s">
        <v>23</v>
      </c>
      <c r="C54" t="s">
        <v>64</v>
      </c>
      <c r="D54" t="s">
        <v>65</v>
      </c>
      <c r="E54" t="s">
        <v>66</v>
      </c>
      <c r="F54" t="s">
        <v>67</v>
      </c>
      <c r="G54" t="s">
        <v>68</v>
      </c>
      <c r="H54" t="s">
        <v>69</v>
      </c>
      <c r="I54" t="s">
        <v>70</v>
      </c>
      <c r="J54" t="s">
        <v>71</v>
      </c>
      <c r="K54" t="s">
        <v>25</v>
      </c>
      <c r="L54" t="s">
        <v>72</v>
      </c>
      <c r="O54" t="s">
        <v>73</v>
      </c>
      <c r="P54" t="s">
        <v>81</v>
      </c>
      <c r="Q54" t="s">
        <v>37</v>
      </c>
      <c r="R54">
        <v>7</v>
      </c>
      <c r="S54" t="s">
        <v>82</v>
      </c>
      <c r="T54" t="s">
        <v>59</v>
      </c>
      <c r="U54" t="s">
        <v>53</v>
      </c>
      <c r="V54" t="s">
        <v>77</v>
      </c>
    </row>
    <row r="55" spans="1:22" hidden="1" x14ac:dyDescent="0.2">
      <c r="A55" t="s">
        <v>63</v>
      </c>
      <c r="B55" t="s">
        <v>23</v>
      </c>
      <c r="C55" t="s">
        <v>64</v>
      </c>
      <c r="D55" t="s">
        <v>65</v>
      </c>
      <c r="E55" t="s">
        <v>66</v>
      </c>
      <c r="F55" t="s">
        <v>67</v>
      </c>
      <c r="G55" t="s">
        <v>68</v>
      </c>
      <c r="H55" t="s">
        <v>69</v>
      </c>
      <c r="I55" t="s">
        <v>70</v>
      </c>
      <c r="J55" t="s">
        <v>71</v>
      </c>
      <c r="K55" t="s">
        <v>25</v>
      </c>
      <c r="L55" t="s">
        <v>72</v>
      </c>
      <c r="O55" t="s">
        <v>73</v>
      </c>
      <c r="P55" t="s">
        <v>81</v>
      </c>
      <c r="Q55" t="s">
        <v>37</v>
      </c>
      <c r="R55">
        <v>7</v>
      </c>
      <c r="S55" t="s">
        <v>82</v>
      </c>
      <c r="T55" t="s">
        <v>59</v>
      </c>
      <c r="U55" t="s">
        <v>53</v>
      </c>
      <c r="V55" t="s">
        <v>78</v>
      </c>
    </row>
    <row r="56" spans="1:22" hidden="1" x14ac:dyDescent="0.2">
      <c r="A56" t="s">
        <v>63</v>
      </c>
      <c r="B56" t="s">
        <v>23</v>
      </c>
      <c r="C56" t="s">
        <v>64</v>
      </c>
      <c r="D56" t="s">
        <v>65</v>
      </c>
      <c r="E56" t="s">
        <v>66</v>
      </c>
      <c r="F56" t="s">
        <v>67</v>
      </c>
      <c r="G56" t="s">
        <v>68</v>
      </c>
      <c r="H56" t="s">
        <v>69</v>
      </c>
      <c r="I56" t="s">
        <v>70</v>
      </c>
      <c r="J56" t="s">
        <v>71</v>
      </c>
      <c r="K56" t="s">
        <v>25</v>
      </c>
      <c r="L56" t="s">
        <v>72</v>
      </c>
      <c r="O56" t="s">
        <v>73</v>
      </c>
      <c r="P56" t="s">
        <v>81</v>
      </c>
      <c r="Q56" t="s">
        <v>37</v>
      </c>
      <c r="R56">
        <v>7</v>
      </c>
      <c r="S56" t="s">
        <v>82</v>
      </c>
      <c r="T56" t="s">
        <v>60</v>
      </c>
      <c r="U56" t="s">
        <v>53</v>
      </c>
      <c r="V56" t="s">
        <v>76</v>
      </c>
    </row>
    <row r="57" spans="1:22" hidden="1" x14ac:dyDescent="0.2">
      <c r="A57" t="s">
        <v>63</v>
      </c>
      <c r="B57" t="s">
        <v>23</v>
      </c>
      <c r="C57" t="s">
        <v>64</v>
      </c>
      <c r="D57" t="s">
        <v>65</v>
      </c>
      <c r="E57" t="s">
        <v>66</v>
      </c>
      <c r="F57" t="s">
        <v>67</v>
      </c>
      <c r="G57" t="s">
        <v>68</v>
      </c>
      <c r="H57" t="s">
        <v>69</v>
      </c>
      <c r="I57" t="s">
        <v>70</v>
      </c>
      <c r="J57" t="s">
        <v>71</v>
      </c>
      <c r="K57" t="s">
        <v>25</v>
      </c>
      <c r="L57" t="s">
        <v>72</v>
      </c>
      <c r="O57" t="s">
        <v>73</v>
      </c>
      <c r="P57" t="s">
        <v>81</v>
      </c>
      <c r="Q57" t="s">
        <v>37</v>
      </c>
      <c r="R57">
        <v>7</v>
      </c>
      <c r="S57" t="s">
        <v>82</v>
      </c>
      <c r="T57" t="s">
        <v>60</v>
      </c>
      <c r="U57" t="s">
        <v>53</v>
      </c>
      <c r="V57" t="s">
        <v>77</v>
      </c>
    </row>
    <row r="58" spans="1:22" hidden="1" x14ac:dyDescent="0.2">
      <c r="A58" t="s">
        <v>63</v>
      </c>
      <c r="B58" t="s">
        <v>23</v>
      </c>
      <c r="C58" t="s">
        <v>64</v>
      </c>
      <c r="D58" t="s">
        <v>65</v>
      </c>
      <c r="E58" t="s">
        <v>66</v>
      </c>
      <c r="F58" t="s">
        <v>67</v>
      </c>
      <c r="G58" t="s">
        <v>68</v>
      </c>
      <c r="H58" t="s">
        <v>69</v>
      </c>
      <c r="I58" t="s">
        <v>70</v>
      </c>
      <c r="J58" t="s">
        <v>71</v>
      </c>
      <c r="K58" t="s">
        <v>25</v>
      </c>
      <c r="L58" t="s">
        <v>72</v>
      </c>
      <c r="O58" t="s">
        <v>73</v>
      </c>
      <c r="P58" t="s">
        <v>81</v>
      </c>
      <c r="Q58" t="s">
        <v>37</v>
      </c>
      <c r="R58">
        <v>7</v>
      </c>
      <c r="S58" t="s">
        <v>82</v>
      </c>
      <c r="T58" t="s">
        <v>60</v>
      </c>
      <c r="U58" t="s">
        <v>53</v>
      </c>
      <c r="V58" t="s">
        <v>78</v>
      </c>
    </row>
    <row r="59" spans="1:22" hidden="1" x14ac:dyDescent="0.2">
      <c r="A59" t="s">
        <v>63</v>
      </c>
      <c r="B59" t="s">
        <v>23</v>
      </c>
      <c r="C59" t="s">
        <v>64</v>
      </c>
      <c r="D59" t="s">
        <v>65</v>
      </c>
      <c r="E59" t="s">
        <v>66</v>
      </c>
      <c r="F59" t="s">
        <v>67</v>
      </c>
      <c r="G59" t="s">
        <v>68</v>
      </c>
      <c r="H59" t="s">
        <v>69</v>
      </c>
      <c r="I59" t="s">
        <v>70</v>
      </c>
      <c r="J59" t="s">
        <v>71</v>
      </c>
      <c r="K59" t="s">
        <v>25</v>
      </c>
      <c r="L59" t="s">
        <v>72</v>
      </c>
      <c r="O59" t="s">
        <v>73</v>
      </c>
      <c r="P59" t="s">
        <v>81</v>
      </c>
      <c r="Q59" t="s">
        <v>37</v>
      </c>
      <c r="R59">
        <v>7</v>
      </c>
      <c r="S59" t="s">
        <v>82</v>
      </c>
      <c r="T59" t="s">
        <v>62</v>
      </c>
      <c r="U59" t="s">
        <v>53</v>
      </c>
      <c r="V59" t="s">
        <v>76</v>
      </c>
    </row>
    <row r="60" spans="1:22" hidden="1" x14ac:dyDescent="0.2">
      <c r="A60" t="s">
        <v>63</v>
      </c>
      <c r="B60" t="s">
        <v>23</v>
      </c>
      <c r="C60" t="s">
        <v>64</v>
      </c>
      <c r="D60" t="s">
        <v>65</v>
      </c>
      <c r="E60" t="s">
        <v>66</v>
      </c>
      <c r="F60" t="s">
        <v>67</v>
      </c>
      <c r="G60" t="s">
        <v>68</v>
      </c>
      <c r="H60" t="s">
        <v>69</v>
      </c>
      <c r="I60" t="s">
        <v>70</v>
      </c>
      <c r="J60" t="s">
        <v>71</v>
      </c>
      <c r="K60" t="s">
        <v>25</v>
      </c>
      <c r="L60" t="s">
        <v>72</v>
      </c>
      <c r="O60" t="s">
        <v>73</v>
      </c>
      <c r="P60" t="s">
        <v>81</v>
      </c>
      <c r="Q60" t="s">
        <v>37</v>
      </c>
      <c r="R60">
        <v>7</v>
      </c>
      <c r="S60" t="s">
        <v>82</v>
      </c>
      <c r="T60" t="s">
        <v>62</v>
      </c>
      <c r="U60" t="s">
        <v>53</v>
      </c>
      <c r="V60" t="s">
        <v>77</v>
      </c>
    </row>
    <row r="61" spans="1:22" hidden="1" x14ac:dyDescent="0.2">
      <c r="A61" t="s">
        <v>63</v>
      </c>
      <c r="B61" t="s">
        <v>23</v>
      </c>
      <c r="C61" t="s">
        <v>64</v>
      </c>
      <c r="D61" t="s">
        <v>65</v>
      </c>
      <c r="E61" t="s">
        <v>66</v>
      </c>
      <c r="F61" t="s">
        <v>67</v>
      </c>
      <c r="G61" t="s">
        <v>68</v>
      </c>
      <c r="H61" t="s">
        <v>69</v>
      </c>
      <c r="I61" t="s">
        <v>70</v>
      </c>
      <c r="J61" t="s">
        <v>71</v>
      </c>
      <c r="K61" t="s">
        <v>25</v>
      </c>
      <c r="L61" t="s">
        <v>72</v>
      </c>
      <c r="O61" t="s">
        <v>73</v>
      </c>
      <c r="P61" t="s">
        <v>81</v>
      </c>
      <c r="Q61" t="s">
        <v>37</v>
      </c>
      <c r="R61">
        <v>7</v>
      </c>
      <c r="S61" t="s">
        <v>82</v>
      </c>
      <c r="T61" t="s">
        <v>62</v>
      </c>
      <c r="U61" t="s">
        <v>53</v>
      </c>
      <c r="V61" t="s">
        <v>78</v>
      </c>
    </row>
    <row r="62" spans="1:22" hidden="1" x14ac:dyDescent="0.2">
      <c r="A62" t="s">
        <v>63</v>
      </c>
      <c r="B62" t="s">
        <v>23</v>
      </c>
      <c r="C62" t="s">
        <v>64</v>
      </c>
      <c r="D62" t="s">
        <v>65</v>
      </c>
      <c r="E62" t="s">
        <v>66</v>
      </c>
      <c r="F62" t="s">
        <v>67</v>
      </c>
      <c r="G62" t="s">
        <v>68</v>
      </c>
      <c r="H62" t="s">
        <v>69</v>
      </c>
      <c r="I62" t="s">
        <v>70</v>
      </c>
      <c r="J62" t="s">
        <v>71</v>
      </c>
      <c r="K62" t="s">
        <v>25</v>
      </c>
      <c r="L62" t="s">
        <v>72</v>
      </c>
      <c r="O62" t="s">
        <v>73</v>
      </c>
      <c r="P62" t="s">
        <v>81</v>
      </c>
      <c r="Q62" t="s">
        <v>37</v>
      </c>
      <c r="R62">
        <v>7</v>
      </c>
      <c r="S62" t="s">
        <v>82</v>
      </c>
      <c r="T62" t="s">
        <v>79</v>
      </c>
      <c r="U62" t="s">
        <v>53</v>
      </c>
      <c r="V62" t="s">
        <v>76</v>
      </c>
    </row>
    <row r="63" spans="1:22" hidden="1" x14ac:dyDescent="0.2">
      <c r="A63" t="s">
        <v>63</v>
      </c>
      <c r="B63" t="s">
        <v>23</v>
      </c>
      <c r="C63" t="s">
        <v>64</v>
      </c>
      <c r="D63" t="s">
        <v>65</v>
      </c>
      <c r="E63" t="s">
        <v>66</v>
      </c>
      <c r="F63" t="s">
        <v>67</v>
      </c>
      <c r="G63" t="s">
        <v>68</v>
      </c>
      <c r="H63" t="s">
        <v>69</v>
      </c>
      <c r="I63" t="s">
        <v>70</v>
      </c>
      <c r="J63" t="s">
        <v>71</v>
      </c>
      <c r="K63" t="s">
        <v>25</v>
      </c>
      <c r="L63" t="s">
        <v>72</v>
      </c>
      <c r="O63" t="s">
        <v>73</v>
      </c>
      <c r="P63" t="s">
        <v>81</v>
      </c>
      <c r="Q63" t="s">
        <v>37</v>
      </c>
      <c r="R63">
        <v>7</v>
      </c>
      <c r="S63" t="s">
        <v>82</v>
      </c>
      <c r="T63" t="s">
        <v>79</v>
      </c>
      <c r="U63" t="s">
        <v>53</v>
      </c>
      <c r="V63" t="s">
        <v>77</v>
      </c>
    </row>
    <row r="64" spans="1:22" hidden="1" x14ac:dyDescent="0.2">
      <c r="A64" t="s">
        <v>63</v>
      </c>
      <c r="B64" t="s">
        <v>23</v>
      </c>
      <c r="C64" t="s">
        <v>64</v>
      </c>
      <c r="D64" t="s">
        <v>65</v>
      </c>
      <c r="E64" t="s">
        <v>66</v>
      </c>
      <c r="F64" t="s">
        <v>67</v>
      </c>
      <c r="G64" t="s">
        <v>68</v>
      </c>
      <c r="H64" t="s">
        <v>69</v>
      </c>
      <c r="I64" t="s">
        <v>70</v>
      </c>
      <c r="J64" t="s">
        <v>71</v>
      </c>
      <c r="K64" t="s">
        <v>25</v>
      </c>
      <c r="L64" t="s">
        <v>72</v>
      </c>
      <c r="O64" t="s">
        <v>73</v>
      </c>
      <c r="P64" t="s">
        <v>81</v>
      </c>
      <c r="Q64" t="s">
        <v>37</v>
      </c>
      <c r="R64">
        <v>7</v>
      </c>
      <c r="S64" t="s">
        <v>82</v>
      </c>
      <c r="T64" t="s">
        <v>79</v>
      </c>
      <c r="U64" t="s">
        <v>53</v>
      </c>
      <c r="V64" t="s">
        <v>78</v>
      </c>
    </row>
    <row r="65" spans="1:22" hidden="1" x14ac:dyDescent="0.2">
      <c r="A65" t="s">
        <v>63</v>
      </c>
      <c r="B65" t="s">
        <v>23</v>
      </c>
      <c r="C65" t="s">
        <v>64</v>
      </c>
      <c r="D65" t="s">
        <v>65</v>
      </c>
      <c r="E65" t="s">
        <v>66</v>
      </c>
      <c r="F65" t="s">
        <v>67</v>
      </c>
      <c r="G65" t="s">
        <v>68</v>
      </c>
      <c r="H65" t="s">
        <v>69</v>
      </c>
      <c r="I65" t="s">
        <v>70</v>
      </c>
      <c r="J65" t="s">
        <v>71</v>
      </c>
      <c r="K65" t="s">
        <v>25</v>
      </c>
      <c r="L65" t="s">
        <v>72</v>
      </c>
      <c r="O65" t="s">
        <v>73</v>
      </c>
      <c r="P65" t="s">
        <v>81</v>
      </c>
      <c r="Q65" t="s">
        <v>37</v>
      </c>
      <c r="R65">
        <v>7</v>
      </c>
      <c r="S65" t="s">
        <v>82</v>
      </c>
      <c r="T65" t="s">
        <v>80</v>
      </c>
      <c r="U65" t="s">
        <v>53</v>
      </c>
      <c r="V65" t="s">
        <v>76</v>
      </c>
    </row>
    <row r="66" spans="1:22" hidden="1" x14ac:dyDescent="0.2">
      <c r="A66" t="s">
        <v>63</v>
      </c>
      <c r="B66" t="s">
        <v>23</v>
      </c>
      <c r="C66" t="s">
        <v>64</v>
      </c>
      <c r="D66" t="s">
        <v>65</v>
      </c>
      <c r="E66" t="s">
        <v>66</v>
      </c>
      <c r="F66" t="s">
        <v>67</v>
      </c>
      <c r="G66" t="s">
        <v>68</v>
      </c>
      <c r="H66" t="s">
        <v>69</v>
      </c>
      <c r="I66" t="s">
        <v>70</v>
      </c>
      <c r="J66" t="s">
        <v>71</v>
      </c>
      <c r="K66" t="s">
        <v>25</v>
      </c>
      <c r="L66" t="s">
        <v>72</v>
      </c>
      <c r="O66" t="s">
        <v>73</v>
      </c>
      <c r="P66" t="s">
        <v>81</v>
      </c>
      <c r="Q66" t="s">
        <v>37</v>
      </c>
      <c r="R66">
        <v>7</v>
      </c>
      <c r="S66" t="s">
        <v>82</v>
      </c>
      <c r="T66" t="s">
        <v>80</v>
      </c>
      <c r="U66" t="s">
        <v>53</v>
      </c>
      <c r="V66" t="s">
        <v>77</v>
      </c>
    </row>
    <row r="67" spans="1:22" hidden="1" x14ac:dyDescent="0.2">
      <c r="A67" t="s">
        <v>63</v>
      </c>
      <c r="B67" t="s">
        <v>23</v>
      </c>
      <c r="C67" t="s">
        <v>64</v>
      </c>
      <c r="D67" t="s">
        <v>65</v>
      </c>
      <c r="E67" t="s">
        <v>66</v>
      </c>
      <c r="F67" t="s">
        <v>67</v>
      </c>
      <c r="G67" t="s">
        <v>68</v>
      </c>
      <c r="H67" t="s">
        <v>69</v>
      </c>
      <c r="I67" t="s">
        <v>70</v>
      </c>
      <c r="J67" t="s">
        <v>71</v>
      </c>
      <c r="K67" t="s">
        <v>25</v>
      </c>
      <c r="L67" t="s">
        <v>72</v>
      </c>
      <c r="O67" t="s">
        <v>73</v>
      </c>
      <c r="P67" t="s">
        <v>81</v>
      </c>
      <c r="Q67" t="s">
        <v>37</v>
      </c>
      <c r="R67">
        <v>7</v>
      </c>
      <c r="S67" t="s">
        <v>82</v>
      </c>
      <c r="T67" t="s">
        <v>80</v>
      </c>
      <c r="U67" t="s">
        <v>53</v>
      </c>
      <c r="V67" t="s">
        <v>78</v>
      </c>
    </row>
    <row r="68" spans="1:22" hidden="1" x14ac:dyDescent="0.2">
      <c r="A68" t="s">
        <v>83</v>
      </c>
      <c r="B68" t="s">
        <v>23</v>
      </c>
      <c r="C68" t="s">
        <v>84</v>
      </c>
      <c r="D68" t="s">
        <v>25</v>
      </c>
      <c r="E68" t="s">
        <v>85</v>
      </c>
      <c r="F68" t="s">
        <v>86</v>
      </c>
      <c r="G68" t="s">
        <v>87</v>
      </c>
      <c r="H68" t="s">
        <v>88</v>
      </c>
      <c r="I68" t="s">
        <v>89</v>
      </c>
      <c r="J68" t="s">
        <v>90</v>
      </c>
      <c r="K68" t="s">
        <v>91</v>
      </c>
      <c r="L68" t="s">
        <v>92</v>
      </c>
      <c r="M68" t="s">
        <v>93</v>
      </c>
      <c r="O68" t="s">
        <v>94</v>
      </c>
      <c r="T68" t="s">
        <v>39</v>
      </c>
      <c r="U68" t="s">
        <v>55</v>
      </c>
      <c r="V68" t="s">
        <v>56</v>
      </c>
    </row>
    <row r="69" spans="1:22" hidden="1" x14ac:dyDescent="0.2">
      <c r="A69" t="s">
        <v>83</v>
      </c>
      <c r="B69" t="s">
        <v>23</v>
      </c>
      <c r="C69" t="s">
        <v>84</v>
      </c>
      <c r="D69" t="s">
        <v>25</v>
      </c>
      <c r="E69" t="s">
        <v>85</v>
      </c>
      <c r="F69" t="s">
        <v>86</v>
      </c>
      <c r="G69" t="s">
        <v>87</v>
      </c>
      <c r="H69" t="s">
        <v>88</v>
      </c>
      <c r="I69" t="s">
        <v>89</v>
      </c>
      <c r="J69" t="s">
        <v>90</v>
      </c>
      <c r="K69" t="s">
        <v>91</v>
      </c>
      <c r="L69" t="s">
        <v>92</v>
      </c>
      <c r="M69" t="s">
        <v>93</v>
      </c>
      <c r="O69" t="s">
        <v>94</v>
      </c>
      <c r="T69" t="s">
        <v>58</v>
      </c>
      <c r="U69" t="s">
        <v>55</v>
      </c>
      <c r="V69" t="s">
        <v>56</v>
      </c>
    </row>
    <row r="70" spans="1:22" hidden="1" x14ac:dyDescent="0.2">
      <c r="A70" t="s">
        <v>83</v>
      </c>
      <c r="B70" t="s">
        <v>23</v>
      </c>
      <c r="C70" t="s">
        <v>84</v>
      </c>
      <c r="D70" t="s">
        <v>25</v>
      </c>
      <c r="E70" t="s">
        <v>85</v>
      </c>
      <c r="F70" t="s">
        <v>86</v>
      </c>
      <c r="G70" t="s">
        <v>87</v>
      </c>
      <c r="H70" t="s">
        <v>88</v>
      </c>
      <c r="I70" t="s">
        <v>89</v>
      </c>
      <c r="J70" t="s">
        <v>90</v>
      </c>
      <c r="K70" t="s">
        <v>91</v>
      </c>
      <c r="L70" t="s">
        <v>92</v>
      </c>
      <c r="M70" t="s">
        <v>93</v>
      </c>
      <c r="O70" t="s">
        <v>94</v>
      </c>
      <c r="T70" t="s">
        <v>59</v>
      </c>
      <c r="U70" t="s">
        <v>55</v>
      </c>
      <c r="V70" t="s">
        <v>56</v>
      </c>
    </row>
    <row r="71" spans="1:22" hidden="1" x14ac:dyDescent="0.2">
      <c r="A71" t="s">
        <v>83</v>
      </c>
      <c r="B71" t="s">
        <v>23</v>
      </c>
      <c r="C71" t="s">
        <v>84</v>
      </c>
      <c r="D71" t="s">
        <v>25</v>
      </c>
      <c r="E71" t="s">
        <v>85</v>
      </c>
      <c r="F71" t="s">
        <v>86</v>
      </c>
      <c r="G71" t="s">
        <v>87</v>
      </c>
      <c r="H71" t="s">
        <v>88</v>
      </c>
      <c r="I71" t="s">
        <v>89</v>
      </c>
      <c r="J71" t="s">
        <v>90</v>
      </c>
      <c r="K71" t="s">
        <v>91</v>
      </c>
      <c r="L71" t="s">
        <v>92</v>
      </c>
      <c r="M71" t="s">
        <v>93</v>
      </c>
      <c r="O71" t="s">
        <v>94</v>
      </c>
      <c r="T71" t="s">
        <v>60</v>
      </c>
      <c r="U71" t="s">
        <v>55</v>
      </c>
      <c r="V71" t="s">
        <v>56</v>
      </c>
    </row>
    <row r="72" spans="1:22" hidden="1" x14ac:dyDescent="0.2">
      <c r="A72" t="s">
        <v>83</v>
      </c>
      <c r="B72" t="s">
        <v>23</v>
      </c>
      <c r="C72" t="s">
        <v>84</v>
      </c>
      <c r="D72" t="s">
        <v>25</v>
      </c>
      <c r="E72" t="s">
        <v>85</v>
      </c>
      <c r="F72" t="s">
        <v>86</v>
      </c>
      <c r="G72" t="s">
        <v>87</v>
      </c>
      <c r="H72" t="s">
        <v>88</v>
      </c>
      <c r="I72" t="s">
        <v>89</v>
      </c>
      <c r="J72" t="s">
        <v>90</v>
      </c>
      <c r="K72" t="s">
        <v>91</v>
      </c>
      <c r="L72" t="s">
        <v>92</v>
      </c>
      <c r="M72" t="s">
        <v>93</v>
      </c>
      <c r="O72" t="s">
        <v>94</v>
      </c>
      <c r="T72" t="s">
        <v>95</v>
      </c>
      <c r="U72" t="s">
        <v>55</v>
      </c>
      <c r="V72" t="s">
        <v>56</v>
      </c>
    </row>
    <row r="73" spans="1:22" hidden="1" x14ac:dyDescent="0.2">
      <c r="A73" t="s">
        <v>83</v>
      </c>
      <c r="B73" t="s">
        <v>23</v>
      </c>
      <c r="C73" t="s">
        <v>84</v>
      </c>
      <c r="D73" t="s">
        <v>25</v>
      </c>
      <c r="E73" t="s">
        <v>85</v>
      </c>
      <c r="F73" t="s">
        <v>86</v>
      </c>
      <c r="G73" t="s">
        <v>87</v>
      </c>
      <c r="H73" t="s">
        <v>88</v>
      </c>
      <c r="I73" t="s">
        <v>89</v>
      </c>
      <c r="J73" t="s">
        <v>90</v>
      </c>
      <c r="K73" t="s">
        <v>91</v>
      </c>
      <c r="L73" t="s">
        <v>92</v>
      </c>
      <c r="M73" t="s">
        <v>93</v>
      </c>
      <c r="O73" t="s">
        <v>94</v>
      </c>
      <c r="T73" t="s">
        <v>79</v>
      </c>
      <c r="U73" t="s">
        <v>55</v>
      </c>
      <c r="V73" t="s">
        <v>56</v>
      </c>
    </row>
    <row r="74" spans="1:22" hidden="1" x14ac:dyDescent="0.2">
      <c r="A74" t="s">
        <v>96</v>
      </c>
      <c r="B74" t="s">
        <v>23</v>
      </c>
      <c r="C74" t="s">
        <v>25</v>
      </c>
      <c r="D74" t="s">
        <v>25</v>
      </c>
      <c r="E74" t="s">
        <v>25</v>
      </c>
      <c r="F74" t="s">
        <v>25</v>
      </c>
      <c r="G74" t="s">
        <v>25</v>
      </c>
      <c r="H74" t="s">
        <v>25</v>
      </c>
      <c r="I74" t="s">
        <v>25</v>
      </c>
      <c r="J74" t="s">
        <v>25</v>
      </c>
      <c r="K74" t="s">
        <v>25</v>
      </c>
      <c r="N74" t="s">
        <v>25</v>
      </c>
      <c r="T74" t="s">
        <v>25</v>
      </c>
      <c r="U74" t="s">
        <v>25</v>
      </c>
      <c r="V74" t="s">
        <v>25</v>
      </c>
    </row>
    <row r="75" spans="1:22" hidden="1" x14ac:dyDescent="0.2">
      <c r="A75" t="s">
        <v>97</v>
      </c>
      <c r="B75" t="s">
        <v>23</v>
      </c>
      <c r="C75" t="s">
        <v>98</v>
      </c>
      <c r="D75" t="s">
        <v>25</v>
      </c>
      <c r="E75" t="s">
        <v>99</v>
      </c>
      <c r="F75" t="s">
        <v>25</v>
      </c>
      <c r="G75" t="s">
        <v>25</v>
      </c>
      <c r="H75" t="s">
        <v>100</v>
      </c>
      <c r="I75" t="s">
        <v>25</v>
      </c>
      <c r="J75" t="s">
        <v>101</v>
      </c>
      <c r="K75" t="s">
        <v>25</v>
      </c>
      <c r="N75" t="s">
        <v>25</v>
      </c>
      <c r="T75" t="s">
        <v>102</v>
      </c>
      <c r="U75" t="s">
        <v>25</v>
      </c>
      <c r="V75" t="s">
        <v>25</v>
      </c>
    </row>
    <row r="76" spans="1:22" hidden="1" x14ac:dyDescent="0.2">
      <c r="A76" t="s">
        <v>97</v>
      </c>
      <c r="B76" t="s">
        <v>23</v>
      </c>
      <c r="C76" t="s">
        <v>98</v>
      </c>
      <c r="D76" t="s">
        <v>25</v>
      </c>
      <c r="E76" t="s">
        <v>99</v>
      </c>
      <c r="F76" t="s">
        <v>25</v>
      </c>
      <c r="G76" t="s">
        <v>25</v>
      </c>
      <c r="H76" t="s">
        <v>100</v>
      </c>
      <c r="I76" t="s">
        <v>25</v>
      </c>
      <c r="J76" t="s">
        <v>101</v>
      </c>
      <c r="K76" t="s">
        <v>25</v>
      </c>
      <c r="N76" t="s">
        <v>25</v>
      </c>
      <c r="T76" t="s">
        <v>103</v>
      </c>
      <c r="U76" t="s">
        <v>25</v>
      </c>
      <c r="V76" t="s">
        <v>25</v>
      </c>
    </row>
    <row r="77" spans="1:22" hidden="1" x14ac:dyDescent="0.2">
      <c r="A77" t="s">
        <v>104</v>
      </c>
      <c r="B77" t="s">
        <v>23</v>
      </c>
      <c r="C77" t="s">
        <v>105</v>
      </c>
      <c r="D77" t="s">
        <v>106</v>
      </c>
      <c r="E77" t="s">
        <v>107</v>
      </c>
      <c r="F77" t="s">
        <v>108</v>
      </c>
      <c r="G77" t="s">
        <v>25</v>
      </c>
      <c r="H77" t="s">
        <v>109</v>
      </c>
      <c r="I77" t="s">
        <v>110</v>
      </c>
      <c r="J77" t="s">
        <v>111</v>
      </c>
      <c r="K77" t="s">
        <v>112</v>
      </c>
      <c r="T77" t="s">
        <v>39</v>
      </c>
      <c r="U77" t="s">
        <v>55</v>
      </c>
      <c r="V77" t="s">
        <v>56</v>
      </c>
    </row>
    <row r="78" spans="1:22" hidden="1" x14ac:dyDescent="0.2">
      <c r="A78" t="s">
        <v>104</v>
      </c>
      <c r="B78" t="s">
        <v>23</v>
      </c>
      <c r="C78" t="s">
        <v>105</v>
      </c>
      <c r="D78" t="s">
        <v>106</v>
      </c>
      <c r="E78" t="s">
        <v>107</v>
      </c>
      <c r="F78" t="s">
        <v>108</v>
      </c>
      <c r="G78" t="s">
        <v>25</v>
      </c>
      <c r="H78" t="s">
        <v>109</v>
      </c>
      <c r="I78" t="s">
        <v>110</v>
      </c>
      <c r="J78" t="s">
        <v>111</v>
      </c>
      <c r="K78" t="s">
        <v>112</v>
      </c>
      <c r="T78" t="s">
        <v>39</v>
      </c>
      <c r="U78" t="s">
        <v>55</v>
      </c>
      <c r="V78" t="s">
        <v>113</v>
      </c>
    </row>
    <row r="79" spans="1:22" hidden="1" x14ac:dyDescent="0.2">
      <c r="A79" t="s">
        <v>104</v>
      </c>
      <c r="B79" t="s">
        <v>23</v>
      </c>
      <c r="C79" t="s">
        <v>105</v>
      </c>
      <c r="D79" t="s">
        <v>106</v>
      </c>
      <c r="E79" t="s">
        <v>107</v>
      </c>
      <c r="F79" t="s">
        <v>108</v>
      </c>
      <c r="G79" t="s">
        <v>25</v>
      </c>
      <c r="H79" t="s">
        <v>109</v>
      </c>
      <c r="I79" t="s">
        <v>110</v>
      </c>
      <c r="J79" t="s">
        <v>111</v>
      </c>
      <c r="K79" t="s">
        <v>112</v>
      </c>
      <c r="T79" t="s">
        <v>39</v>
      </c>
      <c r="U79" t="s">
        <v>55</v>
      </c>
      <c r="V79" t="s">
        <v>114</v>
      </c>
    </row>
    <row r="80" spans="1:22" hidden="1" x14ac:dyDescent="0.2">
      <c r="A80" t="s">
        <v>104</v>
      </c>
      <c r="B80" t="s">
        <v>23</v>
      </c>
      <c r="C80" t="s">
        <v>105</v>
      </c>
      <c r="D80" t="s">
        <v>106</v>
      </c>
      <c r="E80" t="s">
        <v>107</v>
      </c>
      <c r="F80" t="s">
        <v>108</v>
      </c>
      <c r="G80" t="s">
        <v>25</v>
      </c>
      <c r="H80" t="s">
        <v>109</v>
      </c>
      <c r="I80" t="s">
        <v>110</v>
      </c>
      <c r="J80" t="s">
        <v>111</v>
      </c>
      <c r="K80" t="s">
        <v>112</v>
      </c>
      <c r="T80" t="s">
        <v>39</v>
      </c>
      <c r="U80" t="s">
        <v>53</v>
      </c>
      <c r="V80" t="s">
        <v>115</v>
      </c>
    </row>
    <row r="81" spans="1:22" hidden="1" x14ac:dyDescent="0.2">
      <c r="A81" t="s">
        <v>104</v>
      </c>
      <c r="B81" t="s">
        <v>23</v>
      </c>
      <c r="C81" t="s">
        <v>105</v>
      </c>
      <c r="D81" t="s">
        <v>106</v>
      </c>
      <c r="E81" t="s">
        <v>107</v>
      </c>
      <c r="F81" t="s">
        <v>108</v>
      </c>
      <c r="G81" t="s">
        <v>25</v>
      </c>
      <c r="H81" t="s">
        <v>109</v>
      </c>
      <c r="I81" t="s">
        <v>110</v>
      </c>
      <c r="J81" t="s">
        <v>111</v>
      </c>
      <c r="K81" t="s">
        <v>112</v>
      </c>
      <c r="T81" t="s">
        <v>58</v>
      </c>
      <c r="U81" t="s">
        <v>55</v>
      </c>
      <c r="V81" t="s">
        <v>56</v>
      </c>
    </row>
    <row r="82" spans="1:22" hidden="1" x14ac:dyDescent="0.2">
      <c r="A82" t="s">
        <v>104</v>
      </c>
      <c r="B82" t="s">
        <v>23</v>
      </c>
      <c r="C82" t="s">
        <v>105</v>
      </c>
      <c r="D82" t="s">
        <v>106</v>
      </c>
      <c r="E82" t="s">
        <v>107</v>
      </c>
      <c r="F82" t="s">
        <v>108</v>
      </c>
      <c r="G82" t="s">
        <v>25</v>
      </c>
      <c r="H82" t="s">
        <v>109</v>
      </c>
      <c r="I82" t="s">
        <v>110</v>
      </c>
      <c r="J82" t="s">
        <v>111</v>
      </c>
      <c r="K82" t="s">
        <v>112</v>
      </c>
      <c r="T82" t="s">
        <v>58</v>
      </c>
      <c r="U82" t="s">
        <v>55</v>
      </c>
      <c r="V82" t="s">
        <v>113</v>
      </c>
    </row>
    <row r="83" spans="1:22" hidden="1" x14ac:dyDescent="0.2">
      <c r="A83" t="s">
        <v>104</v>
      </c>
      <c r="B83" t="s">
        <v>23</v>
      </c>
      <c r="C83" t="s">
        <v>105</v>
      </c>
      <c r="D83" t="s">
        <v>106</v>
      </c>
      <c r="E83" t="s">
        <v>107</v>
      </c>
      <c r="F83" t="s">
        <v>108</v>
      </c>
      <c r="G83" t="s">
        <v>25</v>
      </c>
      <c r="H83" t="s">
        <v>109</v>
      </c>
      <c r="I83" t="s">
        <v>110</v>
      </c>
      <c r="J83" t="s">
        <v>111</v>
      </c>
      <c r="K83" t="s">
        <v>112</v>
      </c>
      <c r="T83" t="s">
        <v>58</v>
      </c>
      <c r="U83" t="s">
        <v>55</v>
      </c>
      <c r="V83" t="s">
        <v>114</v>
      </c>
    </row>
    <row r="84" spans="1:22" hidden="1" x14ac:dyDescent="0.2">
      <c r="A84" t="s">
        <v>104</v>
      </c>
      <c r="B84" t="s">
        <v>23</v>
      </c>
      <c r="C84" t="s">
        <v>105</v>
      </c>
      <c r="D84" t="s">
        <v>106</v>
      </c>
      <c r="E84" t="s">
        <v>107</v>
      </c>
      <c r="F84" t="s">
        <v>108</v>
      </c>
      <c r="G84" t="s">
        <v>25</v>
      </c>
      <c r="H84" t="s">
        <v>109</v>
      </c>
      <c r="I84" t="s">
        <v>110</v>
      </c>
      <c r="J84" t="s">
        <v>111</v>
      </c>
      <c r="K84" t="s">
        <v>112</v>
      </c>
      <c r="T84" t="s">
        <v>58</v>
      </c>
      <c r="U84" t="s">
        <v>53</v>
      </c>
      <c r="V84" t="s">
        <v>115</v>
      </c>
    </row>
    <row r="85" spans="1:22" hidden="1" x14ac:dyDescent="0.2">
      <c r="A85" t="s">
        <v>104</v>
      </c>
      <c r="B85" t="s">
        <v>23</v>
      </c>
      <c r="C85" t="s">
        <v>105</v>
      </c>
      <c r="D85" t="s">
        <v>106</v>
      </c>
      <c r="E85" t="s">
        <v>107</v>
      </c>
      <c r="F85" t="s">
        <v>108</v>
      </c>
      <c r="G85" t="s">
        <v>25</v>
      </c>
      <c r="H85" t="s">
        <v>109</v>
      </c>
      <c r="I85" t="s">
        <v>110</v>
      </c>
      <c r="J85" t="s">
        <v>111</v>
      </c>
      <c r="K85" t="s">
        <v>112</v>
      </c>
      <c r="T85" t="s">
        <v>59</v>
      </c>
      <c r="U85" t="s">
        <v>55</v>
      </c>
      <c r="V85" t="s">
        <v>56</v>
      </c>
    </row>
    <row r="86" spans="1:22" hidden="1" x14ac:dyDescent="0.2">
      <c r="A86" t="s">
        <v>104</v>
      </c>
      <c r="B86" t="s">
        <v>23</v>
      </c>
      <c r="C86" t="s">
        <v>105</v>
      </c>
      <c r="D86" t="s">
        <v>106</v>
      </c>
      <c r="E86" t="s">
        <v>107</v>
      </c>
      <c r="F86" t="s">
        <v>108</v>
      </c>
      <c r="G86" t="s">
        <v>25</v>
      </c>
      <c r="H86" t="s">
        <v>109</v>
      </c>
      <c r="I86" t="s">
        <v>110</v>
      </c>
      <c r="J86" t="s">
        <v>111</v>
      </c>
      <c r="K86" t="s">
        <v>112</v>
      </c>
      <c r="T86" t="s">
        <v>59</v>
      </c>
      <c r="U86" t="s">
        <v>55</v>
      </c>
      <c r="V86" t="s">
        <v>113</v>
      </c>
    </row>
    <row r="87" spans="1:22" hidden="1" x14ac:dyDescent="0.2">
      <c r="A87" t="s">
        <v>104</v>
      </c>
      <c r="B87" t="s">
        <v>23</v>
      </c>
      <c r="C87" t="s">
        <v>105</v>
      </c>
      <c r="D87" t="s">
        <v>106</v>
      </c>
      <c r="E87" t="s">
        <v>107</v>
      </c>
      <c r="F87" t="s">
        <v>108</v>
      </c>
      <c r="G87" t="s">
        <v>25</v>
      </c>
      <c r="H87" t="s">
        <v>109</v>
      </c>
      <c r="I87" t="s">
        <v>110</v>
      </c>
      <c r="J87" t="s">
        <v>111</v>
      </c>
      <c r="K87" t="s">
        <v>112</v>
      </c>
      <c r="T87" t="s">
        <v>59</v>
      </c>
      <c r="U87" t="s">
        <v>55</v>
      </c>
      <c r="V87" t="s">
        <v>114</v>
      </c>
    </row>
    <row r="88" spans="1:22" hidden="1" x14ac:dyDescent="0.2">
      <c r="A88" t="s">
        <v>104</v>
      </c>
      <c r="B88" t="s">
        <v>23</v>
      </c>
      <c r="C88" t="s">
        <v>105</v>
      </c>
      <c r="D88" t="s">
        <v>106</v>
      </c>
      <c r="E88" t="s">
        <v>107</v>
      </c>
      <c r="F88" t="s">
        <v>108</v>
      </c>
      <c r="G88" t="s">
        <v>25</v>
      </c>
      <c r="H88" t="s">
        <v>109</v>
      </c>
      <c r="I88" t="s">
        <v>110</v>
      </c>
      <c r="J88" t="s">
        <v>111</v>
      </c>
      <c r="K88" t="s">
        <v>112</v>
      </c>
      <c r="T88" t="s">
        <v>59</v>
      </c>
      <c r="U88" t="s">
        <v>53</v>
      </c>
      <c r="V88" t="s">
        <v>115</v>
      </c>
    </row>
    <row r="89" spans="1:22" hidden="1" x14ac:dyDescent="0.2">
      <c r="A89" t="s">
        <v>104</v>
      </c>
      <c r="B89" t="s">
        <v>23</v>
      </c>
      <c r="C89" t="s">
        <v>105</v>
      </c>
      <c r="D89" t="s">
        <v>106</v>
      </c>
      <c r="E89" t="s">
        <v>107</v>
      </c>
      <c r="F89" t="s">
        <v>108</v>
      </c>
      <c r="G89" t="s">
        <v>25</v>
      </c>
      <c r="H89" t="s">
        <v>109</v>
      </c>
      <c r="I89" t="s">
        <v>110</v>
      </c>
      <c r="J89" t="s">
        <v>111</v>
      </c>
      <c r="K89" t="s">
        <v>112</v>
      </c>
      <c r="T89" t="s">
        <v>60</v>
      </c>
      <c r="U89" t="s">
        <v>55</v>
      </c>
      <c r="V89" t="s">
        <v>56</v>
      </c>
    </row>
    <row r="90" spans="1:22" hidden="1" x14ac:dyDescent="0.2">
      <c r="A90" t="s">
        <v>104</v>
      </c>
      <c r="B90" t="s">
        <v>23</v>
      </c>
      <c r="C90" t="s">
        <v>105</v>
      </c>
      <c r="D90" t="s">
        <v>106</v>
      </c>
      <c r="E90" t="s">
        <v>107</v>
      </c>
      <c r="F90" t="s">
        <v>108</v>
      </c>
      <c r="G90" t="s">
        <v>25</v>
      </c>
      <c r="H90" t="s">
        <v>109</v>
      </c>
      <c r="I90" t="s">
        <v>110</v>
      </c>
      <c r="J90" t="s">
        <v>111</v>
      </c>
      <c r="K90" t="s">
        <v>112</v>
      </c>
      <c r="T90" t="s">
        <v>60</v>
      </c>
      <c r="U90" t="s">
        <v>55</v>
      </c>
      <c r="V90" t="s">
        <v>113</v>
      </c>
    </row>
    <row r="91" spans="1:22" hidden="1" x14ac:dyDescent="0.2">
      <c r="A91" t="s">
        <v>104</v>
      </c>
      <c r="B91" t="s">
        <v>23</v>
      </c>
      <c r="C91" t="s">
        <v>105</v>
      </c>
      <c r="D91" t="s">
        <v>106</v>
      </c>
      <c r="E91" t="s">
        <v>107</v>
      </c>
      <c r="F91" t="s">
        <v>108</v>
      </c>
      <c r="G91" t="s">
        <v>25</v>
      </c>
      <c r="H91" t="s">
        <v>109</v>
      </c>
      <c r="I91" t="s">
        <v>110</v>
      </c>
      <c r="J91" t="s">
        <v>111</v>
      </c>
      <c r="K91" t="s">
        <v>112</v>
      </c>
      <c r="T91" t="s">
        <v>60</v>
      </c>
      <c r="U91" t="s">
        <v>55</v>
      </c>
      <c r="V91" t="s">
        <v>114</v>
      </c>
    </row>
    <row r="92" spans="1:22" hidden="1" x14ac:dyDescent="0.2">
      <c r="A92" t="s">
        <v>104</v>
      </c>
      <c r="B92" t="s">
        <v>23</v>
      </c>
      <c r="C92" t="s">
        <v>105</v>
      </c>
      <c r="D92" t="s">
        <v>106</v>
      </c>
      <c r="E92" t="s">
        <v>107</v>
      </c>
      <c r="F92" t="s">
        <v>108</v>
      </c>
      <c r="G92" t="s">
        <v>25</v>
      </c>
      <c r="H92" t="s">
        <v>109</v>
      </c>
      <c r="I92" t="s">
        <v>110</v>
      </c>
      <c r="J92" t="s">
        <v>111</v>
      </c>
      <c r="K92" t="s">
        <v>112</v>
      </c>
      <c r="T92" t="s">
        <v>60</v>
      </c>
      <c r="U92" t="s">
        <v>53</v>
      </c>
      <c r="V92" t="s">
        <v>115</v>
      </c>
    </row>
    <row r="93" spans="1:22" hidden="1" x14ac:dyDescent="0.2">
      <c r="A93" t="s">
        <v>104</v>
      </c>
      <c r="B93" t="s">
        <v>23</v>
      </c>
      <c r="C93" t="s">
        <v>105</v>
      </c>
      <c r="D93" t="s">
        <v>106</v>
      </c>
      <c r="E93" t="s">
        <v>107</v>
      </c>
      <c r="F93" t="s">
        <v>108</v>
      </c>
      <c r="G93" t="s">
        <v>25</v>
      </c>
      <c r="H93" t="s">
        <v>109</v>
      </c>
      <c r="I93" t="s">
        <v>110</v>
      </c>
      <c r="J93" t="s">
        <v>111</v>
      </c>
      <c r="K93" t="s">
        <v>112</v>
      </c>
      <c r="T93" t="s">
        <v>116</v>
      </c>
      <c r="U93" t="s">
        <v>55</v>
      </c>
      <c r="V93" t="s">
        <v>56</v>
      </c>
    </row>
    <row r="94" spans="1:22" hidden="1" x14ac:dyDescent="0.2">
      <c r="A94" t="s">
        <v>104</v>
      </c>
      <c r="B94" t="s">
        <v>23</v>
      </c>
      <c r="C94" t="s">
        <v>105</v>
      </c>
      <c r="D94" t="s">
        <v>106</v>
      </c>
      <c r="E94" t="s">
        <v>107</v>
      </c>
      <c r="F94" t="s">
        <v>108</v>
      </c>
      <c r="G94" t="s">
        <v>25</v>
      </c>
      <c r="H94" t="s">
        <v>109</v>
      </c>
      <c r="I94" t="s">
        <v>110</v>
      </c>
      <c r="J94" t="s">
        <v>111</v>
      </c>
      <c r="K94" t="s">
        <v>112</v>
      </c>
      <c r="T94" t="s">
        <v>116</v>
      </c>
      <c r="U94" t="s">
        <v>55</v>
      </c>
      <c r="V94" t="s">
        <v>113</v>
      </c>
    </row>
    <row r="95" spans="1:22" hidden="1" x14ac:dyDescent="0.2">
      <c r="A95" t="s">
        <v>104</v>
      </c>
      <c r="B95" t="s">
        <v>23</v>
      </c>
      <c r="C95" t="s">
        <v>105</v>
      </c>
      <c r="D95" t="s">
        <v>106</v>
      </c>
      <c r="E95" t="s">
        <v>107</v>
      </c>
      <c r="F95" t="s">
        <v>108</v>
      </c>
      <c r="G95" t="s">
        <v>25</v>
      </c>
      <c r="H95" t="s">
        <v>109</v>
      </c>
      <c r="I95" t="s">
        <v>110</v>
      </c>
      <c r="J95" t="s">
        <v>111</v>
      </c>
      <c r="K95" t="s">
        <v>112</v>
      </c>
      <c r="T95" t="s">
        <v>116</v>
      </c>
      <c r="U95" t="s">
        <v>55</v>
      </c>
      <c r="V95" t="s">
        <v>114</v>
      </c>
    </row>
    <row r="96" spans="1:22" hidden="1" x14ac:dyDescent="0.2">
      <c r="A96" t="s">
        <v>104</v>
      </c>
      <c r="B96" t="s">
        <v>23</v>
      </c>
      <c r="C96" t="s">
        <v>105</v>
      </c>
      <c r="D96" t="s">
        <v>106</v>
      </c>
      <c r="E96" t="s">
        <v>107</v>
      </c>
      <c r="F96" t="s">
        <v>108</v>
      </c>
      <c r="G96" t="s">
        <v>25</v>
      </c>
      <c r="H96" t="s">
        <v>109</v>
      </c>
      <c r="I96" t="s">
        <v>110</v>
      </c>
      <c r="J96" t="s">
        <v>111</v>
      </c>
      <c r="K96" t="s">
        <v>112</v>
      </c>
      <c r="T96" t="s">
        <v>116</v>
      </c>
      <c r="U96" t="s">
        <v>53</v>
      </c>
      <c r="V96" t="s">
        <v>115</v>
      </c>
    </row>
    <row r="97" spans="1:22" hidden="1" x14ac:dyDescent="0.2">
      <c r="A97" t="s">
        <v>117</v>
      </c>
      <c r="B97" t="s">
        <v>23</v>
      </c>
      <c r="C97" t="s">
        <v>118</v>
      </c>
      <c r="D97" t="s">
        <v>25</v>
      </c>
      <c r="E97" t="s">
        <v>119</v>
      </c>
      <c r="F97" t="s">
        <v>120</v>
      </c>
      <c r="G97" t="s">
        <v>121</v>
      </c>
      <c r="H97" t="s">
        <v>122</v>
      </c>
      <c r="I97" t="s">
        <v>123</v>
      </c>
      <c r="J97" t="s">
        <v>124</v>
      </c>
      <c r="K97" t="s">
        <v>125</v>
      </c>
      <c r="L97" t="s">
        <v>126</v>
      </c>
      <c r="M97" t="s">
        <v>127</v>
      </c>
      <c r="O97" t="s">
        <v>128</v>
      </c>
      <c r="T97" t="s">
        <v>57</v>
      </c>
      <c r="U97" t="s">
        <v>53</v>
      </c>
      <c r="V97" t="s">
        <v>129</v>
      </c>
    </row>
    <row r="98" spans="1:22" hidden="1" x14ac:dyDescent="0.2">
      <c r="A98" t="s">
        <v>117</v>
      </c>
      <c r="B98" t="s">
        <v>23</v>
      </c>
      <c r="C98" t="s">
        <v>118</v>
      </c>
      <c r="D98" t="s">
        <v>25</v>
      </c>
      <c r="E98" t="s">
        <v>119</v>
      </c>
      <c r="F98" t="s">
        <v>120</v>
      </c>
      <c r="G98" t="s">
        <v>121</v>
      </c>
      <c r="H98" t="s">
        <v>122</v>
      </c>
      <c r="I98" t="s">
        <v>123</v>
      </c>
      <c r="J98" t="s">
        <v>124</v>
      </c>
      <c r="K98" t="s">
        <v>125</v>
      </c>
      <c r="L98" t="s">
        <v>126</v>
      </c>
      <c r="M98" t="s">
        <v>127</v>
      </c>
      <c r="O98" t="s">
        <v>128</v>
      </c>
      <c r="T98" t="s">
        <v>57</v>
      </c>
      <c r="U98" t="s">
        <v>53</v>
      </c>
      <c r="V98" t="s">
        <v>130</v>
      </c>
    </row>
    <row r="99" spans="1:22" hidden="1" x14ac:dyDescent="0.2">
      <c r="A99" t="s">
        <v>117</v>
      </c>
      <c r="B99" t="s">
        <v>23</v>
      </c>
      <c r="C99" t="s">
        <v>118</v>
      </c>
      <c r="D99" t="s">
        <v>25</v>
      </c>
      <c r="E99" t="s">
        <v>119</v>
      </c>
      <c r="F99" t="s">
        <v>120</v>
      </c>
      <c r="G99" t="s">
        <v>121</v>
      </c>
      <c r="H99" t="s">
        <v>122</v>
      </c>
      <c r="I99" t="s">
        <v>123</v>
      </c>
      <c r="J99" t="s">
        <v>124</v>
      </c>
      <c r="K99" t="s">
        <v>125</v>
      </c>
      <c r="L99" t="s">
        <v>126</v>
      </c>
      <c r="M99" t="s">
        <v>127</v>
      </c>
      <c r="O99" t="s">
        <v>128</v>
      </c>
      <c r="T99" t="s">
        <v>39</v>
      </c>
      <c r="U99" t="s">
        <v>53</v>
      </c>
      <c r="V99" t="s">
        <v>129</v>
      </c>
    </row>
    <row r="100" spans="1:22" hidden="1" x14ac:dyDescent="0.2">
      <c r="A100" t="s">
        <v>117</v>
      </c>
      <c r="B100" t="s">
        <v>23</v>
      </c>
      <c r="C100" t="s">
        <v>118</v>
      </c>
      <c r="D100" t="s">
        <v>25</v>
      </c>
      <c r="E100" t="s">
        <v>119</v>
      </c>
      <c r="F100" t="s">
        <v>120</v>
      </c>
      <c r="G100" t="s">
        <v>121</v>
      </c>
      <c r="H100" t="s">
        <v>122</v>
      </c>
      <c r="I100" t="s">
        <v>123</v>
      </c>
      <c r="J100" t="s">
        <v>124</v>
      </c>
      <c r="K100" t="s">
        <v>125</v>
      </c>
      <c r="L100" t="s">
        <v>126</v>
      </c>
      <c r="M100" t="s">
        <v>127</v>
      </c>
      <c r="O100" t="s">
        <v>128</v>
      </c>
      <c r="T100" t="s">
        <v>39</v>
      </c>
      <c r="U100" t="s">
        <v>53</v>
      </c>
      <c r="V100" t="s">
        <v>130</v>
      </c>
    </row>
    <row r="101" spans="1:22" hidden="1" x14ac:dyDescent="0.2">
      <c r="A101" t="s">
        <v>117</v>
      </c>
      <c r="B101" t="s">
        <v>23</v>
      </c>
      <c r="C101" t="s">
        <v>118</v>
      </c>
      <c r="D101" t="s">
        <v>25</v>
      </c>
      <c r="E101" t="s">
        <v>119</v>
      </c>
      <c r="F101" t="s">
        <v>120</v>
      </c>
      <c r="G101" t="s">
        <v>121</v>
      </c>
      <c r="H101" t="s">
        <v>122</v>
      </c>
      <c r="I101" t="s">
        <v>123</v>
      </c>
      <c r="J101" t="s">
        <v>124</v>
      </c>
      <c r="K101" t="s">
        <v>125</v>
      </c>
      <c r="L101" t="s">
        <v>126</v>
      </c>
      <c r="M101" t="s">
        <v>127</v>
      </c>
      <c r="O101" t="s">
        <v>128</v>
      </c>
      <c r="T101" t="s">
        <v>58</v>
      </c>
      <c r="U101" t="s">
        <v>53</v>
      </c>
      <c r="V101" t="s">
        <v>129</v>
      </c>
    </row>
    <row r="102" spans="1:22" hidden="1" x14ac:dyDescent="0.2">
      <c r="A102" t="s">
        <v>117</v>
      </c>
      <c r="B102" t="s">
        <v>23</v>
      </c>
      <c r="C102" t="s">
        <v>118</v>
      </c>
      <c r="D102" t="s">
        <v>25</v>
      </c>
      <c r="E102" t="s">
        <v>119</v>
      </c>
      <c r="F102" t="s">
        <v>120</v>
      </c>
      <c r="G102" t="s">
        <v>121</v>
      </c>
      <c r="H102" t="s">
        <v>122</v>
      </c>
      <c r="I102" t="s">
        <v>123</v>
      </c>
      <c r="J102" t="s">
        <v>124</v>
      </c>
      <c r="K102" t="s">
        <v>125</v>
      </c>
      <c r="L102" t="s">
        <v>126</v>
      </c>
      <c r="M102" t="s">
        <v>127</v>
      </c>
      <c r="O102" t="s">
        <v>128</v>
      </c>
      <c r="T102" t="s">
        <v>58</v>
      </c>
      <c r="U102" t="s">
        <v>53</v>
      </c>
      <c r="V102" t="s">
        <v>130</v>
      </c>
    </row>
    <row r="103" spans="1:22" hidden="1" x14ac:dyDescent="0.2">
      <c r="A103" t="s">
        <v>117</v>
      </c>
      <c r="B103" t="s">
        <v>23</v>
      </c>
      <c r="C103" t="s">
        <v>118</v>
      </c>
      <c r="D103" t="s">
        <v>25</v>
      </c>
      <c r="E103" t="s">
        <v>119</v>
      </c>
      <c r="F103" t="s">
        <v>120</v>
      </c>
      <c r="G103" t="s">
        <v>121</v>
      </c>
      <c r="H103" t="s">
        <v>122</v>
      </c>
      <c r="I103" t="s">
        <v>123</v>
      </c>
      <c r="J103" t="s">
        <v>124</v>
      </c>
      <c r="K103" t="s">
        <v>125</v>
      </c>
      <c r="L103" t="s">
        <v>126</v>
      </c>
      <c r="M103" t="s">
        <v>127</v>
      </c>
      <c r="O103" t="s">
        <v>128</v>
      </c>
      <c r="T103" t="s">
        <v>59</v>
      </c>
      <c r="U103" t="s">
        <v>53</v>
      </c>
      <c r="V103" t="s">
        <v>129</v>
      </c>
    </row>
    <row r="104" spans="1:22" hidden="1" x14ac:dyDescent="0.2">
      <c r="A104" t="s">
        <v>117</v>
      </c>
      <c r="B104" t="s">
        <v>23</v>
      </c>
      <c r="C104" t="s">
        <v>118</v>
      </c>
      <c r="D104" t="s">
        <v>25</v>
      </c>
      <c r="E104" t="s">
        <v>119</v>
      </c>
      <c r="F104" t="s">
        <v>120</v>
      </c>
      <c r="G104" t="s">
        <v>121</v>
      </c>
      <c r="H104" t="s">
        <v>122</v>
      </c>
      <c r="I104" t="s">
        <v>123</v>
      </c>
      <c r="J104" t="s">
        <v>124</v>
      </c>
      <c r="K104" t="s">
        <v>125</v>
      </c>
      <c r="L104" t="s">
        <v>126</v>
      </c>
      <c r="M104" t="s">
        <v>127</v>
      </c>
      <c r="O104" t="s">
        <v>128</v>
      </c>
      <c r="T104" t="s">
        <v>59</v>
      </c>
      <c r="U104" t="s">
        <v>53</v>
      </c>
      <c r="V104" t="s">
        <v>130</v>
      </c>
    </row>
    <row r="105" spans="1:22" hidden="1" x14ac:dyDescent="0.2">
      <c r="A105" t="s">
        <v>117</v>
      </c>
      <c r="B105" t="s">
        <v>23</v>
      </c>
      <c r="C105" t="s">
        <v>118</v>
      </c>
      <c r="D105" t="s">
        <v>25</v>
      </c>
      <c r="E105" t="s">
        <v>119</v>
      </c>
      <c r="F105" t="s">
        <v>120</v>
      </c>
      <c r="G105" t="s">
        <v>121</v>
      </c>
      <c r="H105" t="s">
        <v>122</v>
      </c>
      <c r="I105" t="s">
        <v>123</v>
      </c>
      <c r="J105" t="s">
        <v>124</v>
      </c>
      <c r="K105" t="s">
        <v>125</v>
      </c>
      <c r="L105" t="s">
        <v>126</v>
      </c>
      <c r="M105" t="s">
        <v>127</v>
      </c>
      <c r="O105" t="s">
        <v>128</v>
      </c>
      <c r="T105" t="s">
        <v>60</v>
      </c>
      <c r="U105" t="s">
        <v>53</v>
      </c>
      <c r="V105" t="s">
        <v>129</v>
      </c>
    </row>
    <row r="106" spans="1:22" hidden="1" x14ac:dyDescent="0.2">
      <c r="A106" t="s">
        <v>117</v>
      </c>
      <c r="B106" t="s">
        <v>23</v>
      </c>
      <c r="C106" t="s">
        <v>118</v>
      </c>
      <c r="D106" t="s">
        <v>25</v>
      </c>
      <c r="E106" t="s">
        <v>119</v>
      </c>
      <c r="F106" t="s">
        <v>120</v>
      </c>
      <c r="G106" t="s">
        <v>121</v>
      </c>
      <c r="H106" t="s">
        <v>122</v>
      </c>
      <c r="I106" t="s">
        <v>123</v>
      </c>
      <c r="J106" t="s">
        <v>124</v>
      </c>
      <c r="K106" t="s">
        <v>125</v>
      </c>
      <c r="L106" t="s">
        <v>126</v>
      </c>
      <c r="M106" t="s">
        <v>127</v>
      </c>
      <c r="O106" t="s">
        <v>128</v>
      </c>
      <c r="T106" t="s">
        <v>60</v>
      </c>
      <c r="U106" t="s">
        <v>53</v>
      </c>
      <c r="V106" t="s">
        <v>130</v>
      </c>
    </row>
    <row r="107" spans="1:22" hidden="1" x14ac:dyDescent="0.2">
      <c r="A107" t="s">
        <v>117</v>
      </c>
      <c r="B107" t="s">
        <v>23</v>
      </c>
      <c r="C107" t="s">
        <v>118</v>
      </c>
      <c r="D107" t="s">
        <v>25</v>
      </c>
      <c r="E107" t="s">
        <v>119</v>
      </c>
      <c r="F107" t="s">
        <v>120</v>
      </c>
      <c r="G107" t="s">
        <v>121</v>
      </c>
      <c r="H107" t="s">
        <v>122</v>
      </c>
      <c r="I107" t="s">
        <v>123</v>
      </c>
      <c r="J107" t="s">
        <v>124</v>
      </c>
      <c r="K107" t="s">
        <v>125</v>
      </c>
      <c r="L107" t="s">
        <v>126</v>
      </c>
      <c r="M107" t="s">
        <v>127</v>
      </c>
      <c r="O107" t="s">
        <v>128</v>
      </c>
      <c r="T107" t="s">
        <v>131</v>
      </c>
      <c r="U107" t="s">
        <v>53</v>
      </c>
      <c r="V107" t="s">
        <v>129</v>
      </c>
    </row>
    <row r="108" spans="1:22" hidden="1" x14ac:dyDescent="0.2">
      <c r="A108" t="s">
        <v>117</v>
      </c>
      <c r="B108" t="s">
        <v>23</v>
      </c>
      <c r="C108" t="s">
        <v>118</v>
      </c>
      <c r="D108" t="s">
        <v>25</v>
      </c>
      <c r="E108" t="s">
        <v>119</v>
      </c>
      <c r="F108" t="s">
        <v>120</v>
      </c>
      <c r="G108" t="s">
        <v>121</v>
      </c>
      <c r="H108" t="s">
        <v>122</v>
      </c>
      <c r="I108" t="s">
        <v>123</v>
      </c>
      <c r="J108" t="s">
        <v>124</v>
      </c>
      <c r="K108" t="s">
        <v>125</v>
      </c>
      <c r="L108" t="s">
        <v>126</v>
      </c>
      <c r="M108" t="s">
        <v>127</v>
      </c>
      <c r="O108" t="s">
        <v>128</v>
      </c>
      <c r="T108" t="s">
        <v>131</v>
      </c>
      <c r="U108" t="s">
        <v>53</v>
      </c>
      <c r="V108" t="s">
        <v>130</v>
      </c>
    </row>
    <row r="109" spans="1:22" hidden="1" x14ac:dyDescent="0.2">
      <c r="A109" t="s">
        <v>117</v>
      </c>
      <c r="B109" t="s">
        <v>23</v>
      </c>
      <c r="C109" t="s">
        <v>118</v>
      </c>
      <c r="D109" t="s">
        <v>25</v>
      </c>
      <c r="E109" t="s">
        <v>119</v>
      </c>
      <c r="F109" t="s">
        <v>120</v>
      </c>
      <c r="G109" t="s">
        <v>121</v>
      </c>
      <c r="H109" t="s">
        <v>122</v>
      </c>
      <c r="I109" t="s">
        <v>123</v>
      </c>
      <c r="J109" t="s">
        <v>124</v>
      </c>
      <c r="K109" t="s">
        <v>125</v>
      </c>
      <c r="L109" t="s">
        <v>126</v>
      </c>
      <c r="M109" t="s">
        <v>127</v>
      </c>
      <c r="O109" t="s">
        <v>128</v>
      </c>
      <c r="T109" t="s">
        <v>79</v>
      </c>
      <c r="U109" t="s">
        <v>53</v>
      </c>
      <c r="V109" t="s">
        <v>129</v>
      </c>
    </row>
    <row r="110" spans="1:22" hidden="1" x14ac:dyDescent="0.2">
      <c r="A110" t="s">
        <v>117</v>
      </c>
      <c r="B110" t="s">
        <v>23</v>
      </c>
      <c r="C110" t="s">
        <v>118</v>
      </c>
      <c r="D110" t="s">
        <v>25</v>
      </c>
      <c r="E110" t="s">
        <v>119</v>
      </c>
      <c r="F110" t="s">
        <v>120</v>
      </c>
      <c r="G110" t="s">
        <v>121</v>
      </c>
      <c r="H110" t="s">
        <v>122</v>
      </c>
      <c r="I110" t="s">
        <v>123</v>
      </c>
      <c r="J110" t="s">
        <v>124</v>
      </c>
      <c r="K110" t="s">
        <v>125</v>
      </c>
      <c r="L110" t="s">
        <v>126</v>
      </c>
      <c r="M110" t="s">
        <v>127</v>
      </c>
      <c r="O110" t="s">
        <v>128</v>
      </c>
      <c r="T110" t="s">
        <v>79</v>
      </c>
      <c r="U110" t="s">
        <v>53</v>
      </c>
      <c r="V110" t="s">
        <v>130</v>
      </c>
    </row>
    <row r="111" spans="1:22" hidden="1" x14ac:dyDescent="0.2">
      <c r="A111" t="s">
        <v>132</v>
      </c>
      <c r="B111" t="s">
        <v>23</v>
      </c>
      <c r="C111" t="s">
        <v>130</v>
      </c>
      <c r="D111" t="s">
        <v>25</v>
      </c>
      <c r="E111" t="s">
        <v>133</v>
      </c>
      <c r="F111" t="s">
        <v>134</v>
      </c>
      <c r="G111" t="s">
        <v>135</v>
      </c>
      <c r="H111" t="s">
        <v>136</v>
      </c>
      <c r="I111" t="s">
        <v>25</v>
      </c>
      <c r="J111" t="s">
        <v>137</v>
      </c>
      <c r="K111" t="s">
        <v>25</v>
      </c>
      <c r="L111" t="s">
        <v>138</v>
      </c>
      <c r="M111" t="s">
        <v>139</v>
      </c>
      <c r="O111" t="s">
        <v>140</v>
      </c>
      <c r="T111" t="s">
        <v>57</v>
      </c>
      <c r="U111" t="s">
        <v>53</v>
      </c>
      <c r="V111" t="s">
        <v>118</v>
      </c>
    </row>
    <row r="112" spans="1:22" hidden="1" x14ac:dyDescent="0.2">
      <c r="A112" t="s">
        <v>132</v>
      </c>
      <c r="B112" t="s">
        <v>23</v>
      </c>
      <c r="C112" t="s">
        <v>130</v>
      </c>
      <c r="D112" t="s">
        <v>25</v>
      </c>
      <c r="E112" t="s">
        <v>133</v>
      </c>
      <c r="F112" t="s">
        <v>134</v>
      </c>
      <c r="G112" t="s">
        <v>135</v>
      </c>
      <c r="H112" t="s">
        <v>136</v>
      </c>
      <c r="I112" t="s">
        <v>25</v>
      </c>
      <c r="J112" t="s">
        <v>137</v>
      </c>
      <c r="K112" t="s">
        <v>25</v>
      </c>
      <c r="L112" t="s">
        <v>138</v>
      </c>
      <c r="M112" t="s">
        <v>139</v>
      </c>
      <c r="O112" t="s">
        <v>140</v>
      </c>
      <c r="T112" t="s">
        <v>39</v>
      </c>
      <c r="U112" t="s">
        <v>53</v>
      </c>
      <c r="V112" t="s">
        <v>118</v>
      </c>
    </row>
    <row r="113" spans="1:22" hidden="1" x14ac:dyDescent="0.2">
      <c r="A113" t="s">
        <v>132</v>
      </c>
      <c r="B113" t="s">
        <v>23</v>
      </c>
      <c r="C113" t="s">
        <v>130</v>
      </c>
      <c r="D113" t="s">
        <v>25</v>
      </c>
      <c r="E113" t="s">
        <v>133</v>
      </c>
      <c r="F113" t="s">
        <v>134</v>
      </c>
      <c r="G113" t="s">
        <v>135</v>
      </c>
      <c r="H113" t="s">
        <v>136</v>
      </c>
      <c r="I113" t="s">
        <v>25</v>
      </c>
      <c r="J113" t="s">
        <v>137</v>
      </c>
      <c r="K113" t="s">
        <v>25</v>
      </c>
      <c r="L113" t="s">
        <v>138</v>
      </c>
      <c r="M113" t="s">
        <v>139</v>
      </c>
      <c r="O113" t="s">
        <v>140</v>
      </c>
      <c r="T113" t="s">
        <v>59</v>
      </c>
      <c r="U113" t="s">
        <v>53</v>
      </c>
      <c r="V113" t="s">
        <v>118</v>
      </c>
    </row>
    <row r="114" spans="1:22" hidden="1" x14ac:dyDescent="0.2">
      <c r="A114" t="s">
        <v>132</v>
      </c>
      <c r="B114" t="s">
        <v>23</v>
      </c>
      <c r="C114" t="s">
        <v>130</v>
      </c>
      <c r="D114" t="s">
        <v>25</v>
      </c>
      <c r="E114" t="s">
        <v>133</v>
      </c>
      <c r="F114" t="s">
        <v>134</v>
      </c>
      <c r="G114" t="s">
        <v>135</v>
      </c>
      <c r="H114" t="s">
        <v>136</v>
      </c>
      <c r="I114" t="s">
        <v>25</v>
      </c>
      <c r="J114" t="s">
        <v>137</v>
      </c>
      <c r="K114" t="s">
        <v>25</v>
      </c>
      <c r="L114" t="s">
        <v>138</v>
      </c>
      <c r="M114" t="s">
        <v>139</v>
      </c>
      <c r="O114" t="s">
        <v>140</v>
      </c>
      <c r="T114" t="s">
        <v>60</v>
      </c>
      <c r="U114" t="s">
        <v>53</v>
      </c>
      <c r="V114" t="s">
        <v>118</v>
      </c>
    </row>
    <row r="115" spans="1:22" hidden="1" x14ac:dyDescent="0.2">
      <c r="A115" t="s">
        <v>132</v>
      </c>
      <c r="B115" t="s">
        <v>23</v>
      </c>
      <c r="C115" t="s">
        <v>130</v>
      </c>
      <c r="D115" t="s">
        <v>25</v>
      </c>
      <c r="E115" t="s">
        <v>133</v>
      </c>
      <c r="F115" t="s">
        <v>134</v>
      </c>
      <c r="G115" t="s">
        <v>135</v>
      </c>
      <c r="H115" t="s">
        <v>136</v>
      </c>
      <c r="I115" t="s">
        <v>25</v>
      </c>
      <c r="J115" t="s">
        <v>137</v>
      </c>
      <c r="K115" t="s">
        <v>25</v>
      </c>
      <c r="L115" t="s">
        <v>138</v>
      </c>
      <c r="M115" t="s">
        <v>139</v>
      </c>
      <c r="O115" t="s">
        <v>140</v>
      </c>
      <c r="T115" t="s">
        <v>141</v>
      </c>
      <c r="U115" t="s">
        <v>53</v>
      </c>
      <c r="V115" t="s">
        <v>118</v>
      </c>
    </row>
    <row r="116" spans="1:22" hidden="1" x14ac:dyDescent="0.2">
      <c r="A116" t="s">
        <v>132</v>
      </c>
      <c r="B116" t="s">
        <v>23</v>
      </c>
      <c r="C116" t="s">
        <v>130</v>
      </c>
      <c r="D116" t="s">
        <v>25</v>
      </c>
      <c r="E116" t="s">
        <v>133</v>
      </c>
      <c r="F116" t="s">
        <v>134</v>
      </c>
      <c r="G116" t="s">
        <v>135</v>
      </c>
      <c r="H116" t="s">
        <v>136</v>
      </c>
      <c r="I116" t="s">
        <v>25</v>
      </c>
      <c r="J116" t="s">
        <v>137</v>
      </c>
      <c r="K116" t="s">
        <v>25</v>
      </c>
      <c r="L116" t="s">
        <v>138</v>
      </c>
      <c r="M116" t="s">
        <v>139</v>
      </c>
      <c r="O116" t="s">
        <v>140</v>
      </c>
      <c r="T116" t="s">
        <v>79</v>
      </c>
      <c r="U116" t="s">
        <v>53</v>
      </c>
      <c r="V116" t="s">
        <v>118</v>
      </c>
    </row>
    <row r="117" spans="1:22" hidden="1" x14ac:dyDescent="0.2">
      <c r="A117" t="s">
        <v>132</v>
      </c>
      <c r="B117" t="s">
        <v>23</v>
      </c>
      <c r="C117" t="s">
        <v>130</v>
      </c>
      <c r="D117" t="s">
        <v>25</v>
      </c>
      <c r="E117" t="s">
        <v>133</v>
      </c>
      <c r="F117" t="s">
        <v>134</v>
      </c>
      <c r="G117" t="s">
        <v>135</v>
      </c>
      <c r="H117" t="s">
        <v>136</v>
      </c>
      <c r="I117" t="s">
        <v>25</v>
      </c>
      <c r="J117" t="s">
        <v>137</v>
      </c>
      <c r="K117" t="s">
        <v>25</v>
      </c>
      <c r="L117" t="s">
        <v>138</v>
      </c>
      <c r="M117" t="s">
        <v>139</v>
      </c>
      <c r="O117" t="s">
        <v>140</v>
      </c>
      <c r="T117" t="s">
        <v>80</v>
      </c>
      <c r="U117" t="s">
        <v>53</v>
      </c>
      <c r="V117" t="s">
        <v>118</v>
      </c>
    </row>
    <row r="118" spans="1:22" hidden="1" x14ac:dyDescent="0.2">
      <c r="A118" t="s">
        <v>142</v>
      </c>
      <c r="B118" t="s">
        <v>23</v>
      </c>
      <c r="C118" t="s">
        <v>143</v>
      </c>
      <c r="D118" t="s">
        <v>144</v>
      </c>
      <c r="E118" t="s">
        <v>145</v>
      </c>
      <c r="F118" t="s">
        <v>146</v>
      </c>
      <c r="G118" t="s">
        <v>147</v>
      </c>
      <c r="H118" t="s">
        <v>148</v>
      </c>
      <c r="I118" t="s">
        <v>149</v>
      </c>
      <c r="J118" t="s">
        <v>150</v>
      </c>
      <c r="K118" t="s">
        <v>151</v>
      </c>
      <c r="L118" t="s">
        <v>152</v>
      </c>
      <c r="M118" t="s">
        <v>153</v>
      </c>
      <c r="O118" t="s">
        <v>154</v>
      </c>
      <c r="P118" t="s">
        <v>155</v>
      </c>
      <c r="Q118" t="s">
        <v>37</v>
      </c>
      <c r="R118">
        <v>3</v>
      </c>
      <c r="S118" t="s">
        <v>156</v>
      </c>
      <c r="T118" t="s">
        <v>39</v>
      </c>
      <c r="U118" t="s">
        <v>157</v>
      </c>
      <c r="V118" t="s">
        <v>56</v>
      </c>
    </row>
    <row r="119" spans="1:22" hidden="1" x14ac:dyDescent="0.2">
      <c r="A119" t="s">
        <v>142</v>
      </c>
      <c r="B119" t="s">
        <v>23</v>
      </c>
      <c r="C119" t="s">
        <v>143</v>
      </c>
      <c r="D119" t="s">
        <v>144</v>
      </c>
      <c r="E119" t="s">
        <v>145</v>
      </c>
      <c r="F119" t="s">
        <v>146</v>
      </c>
      <c r="G119" t="s">
        <v>147</v>
      </c>
      <c r="H119" t="s">
        <v>148</v>
      </c>
      <c r="I119" t="s">
        <v>149</v>
      </c>
      <c r="J119" t="s">
        <v>150</v>
      </c>
      <c r="K119" t="s">
        <v>151</v>
      </c>
      <c r="L119" t="s">
        <v>152</v>
      </c>
      <c r="M119" t="s">
        <v>153</v>
      </c>
      <c r="O119" t="s">
        <v>154</v>
      </c>
      <c r="P119" t="s">
        <v>155</v>
      </c>
      <c r="Q119" t="s">
        <v>37</v>
      </c>
      <c r="R119">
        <v>3</v>
      </c>
      <c r="S119" t="s">
        <v>156</v>
      </c>
      <c r="T119" t="s">
        <v>57</v>
      </c>
      <c r="U119" t="s">
        <v>157</v>
      </c>
      <c r="V119" t="s">
        <v>56</v>
      </c>
    </row>
    <row r="120" spans="1:22" hidden="1" x14ac:dyDescent="0.2">
      <c r="A120" t="s">
        <v>142</v>
      </c>
      <c r="B120" t="s">
        <v>23</v>
      </c>
      <c r="C120" t="s">
        <v>143</v>
      </c>
      <c r="D120" t="s">
        <v>144</v>
      </c>
      <c r="E120" t="s">
        <v>145</v>
      </c>
      <c r="F120" t="s">
        <v>146</v>
      </c>
      <c r="G120" t="s">
        <v>147</v>
      </c>
      <c r="H120" t="s">
        <v>148</v>
      </c>
      <c r="I120" t="s">
        <v>149</v>
      </c>
      <c r="J120" t="s">
        <v>150</v>
      </c>
      <c r="K120" t="s">
        <v>151</v>
      </c>
      <c r="L120" t="s">
        <v>152</v>
      </c>
      <c r="M120" t="s">
        <v>153</v>
      </c>
      <c r="O120" t="s">
        <v>154</v>
      </c>
      <c r="P120" t="s">
        <v>155</v>
      </c>
      <c r="Q120" t="s">
        <v>37</v>
      </c>
      <c r="R120">
        <v>3</v>
      </c>
      <c r="S120" t="s">
        <v>156</v>
      </c>
      <c r="T120" t="s">
        <v>58</v>
      </c>
      <c r="U120" t="s">
        <v>157</v>
      </c>
      <c r="V120" t="s">
        <v>56</v>
      </c>
    </row>
    <row r="121" spans="1:22" hidden="1" x14ac:dyDescent="0.2">
      <c r="A121" t="s">
        <v>142</v>
      </c>
      <c r="B121" t="s">
        <v>23</v>
      </c>
      <c r="C121" t="s">
        <v>143</v>
      </c>
      <c r="D121" t="s">
        <v>144</v>
      </c>
      <c r="E121" t="s">
        <v>145</v>
      </c>
      <c r="F121" t="s">
        <v>146</v>
      </c>
      <c r="G121" t="s">
        <v>147</v>
      </c>
      <c r="H121" t="s">
        <v>148</v>
      </c>
      <c r="I121" t="s">
        <v>149</v>
      </c>
      <c r="J121" t="s">
        <v>150</v>
      </c>
      <c r="K121" t="s">
        <v>151</v>
      </c>
      <c r="L121" t="s">
        <v>152</v>
      </c>
      <c r="M121" t="s">
        <v>153</v>
      </c>
      <c r="O121" t="s">
        <v>154</v>
      </c>
      <c r="P121" t="s">
        <v>155</v>
      </c>
      <c r="Q121" t="s">
        <v>37</v>
      </c>
      <c r="R121">
        <v>3</v>
      </c>
      <c r="S121" t="s">
        <v>156</v>
      </c>
      <c r="T121" t="s">
        <v>59</v>
      </c>
      <c r="U121" t="s">
        <v>157</v>
      </c>
      <c r="V121" t="s">
        <v>56</v>
      </c>
    </row>
    <row r="122" spans="1:22" hidden="1" x14ac:dyDescent="0.2">
      <c r="A122" t="s">
        <v>142</v>
      </c>
      <c r="B122" t="s">
        <v>23</v>
      </c>
      <c r="C122" t="s">
        <v>143</v>
      </c>
      <c r="D122" t="s">
        <v>144</v>
      </c>
      <c r="E122" t="s">
        <v>145</v>
      </c>
      <c r="F122" t="s">
        <v>146</v>
      </c>
      <c r="G122" t="s">
        <v>147</v>
      </c>
      <c r="H122" t="s">
        <v>148</v>
      </c>
      <c r="I122" t="s">
        <v>149</v>
      </c>
      <c r="J122" t="s">
        <v>150</v>
      </c>
      <c r="K122" t="s">
        <v>151</v>
      </c>
      <c r="L122" t="s">
        <v>152</v>
      </c>
      <c r="M122" t="s">
        <v>153</v>
      </c>
      <c r="O122" t="s">
        <v>154</v>
      </c>
      <c r="P122" t="s">
        <v>155</v>
      </c>
      <c r="Q122" t="s">
        <v>37</v>
      </c>
      <c r="R122">
        <v>3</v>
      </c>
      <c r="S122" t="s">
        <v>156</v>
      </c>
      <c r="T122" t="s">
        <v>60</v>
      </c>
      <c r="U122" t="s">
        <v>157</v>
      </c>
      <c r="V122" t="s">
        <v>56</v>
      </c>
    </row>
    <row r="123" spans="1:22" hidden="1" x14ac:dyDescent="0.2">
      <c r="A123" t="s">
        <v>142</v>
      </c>
      <c r="B123" t="s">
        <v>23</v>
      </c>
      <c r="C123" t="s">
        <v>143</v>
      </c>
      <c r="D123" t="s">
        <v>144</v>
      </c>
      <c r="E123" t="s">
        <v>145</v>
      </c>
      <c r="F123" t="s">
        <v>146</v>
      </c>
      <c r="G123" t="s">
        <v>147</v>
      </c>
      <c r="H123" t="s">
        <v>148</v>
      </c>
      <c r="I123" t="s">
        <v>149</v>
      </c>
      <c r="J123" t="s">
        <v>150</v>
      </c>
      <c r="K123" t="s">
        <v>151</v>
      </c>
      <c r="L123" t="s">
        <v>152</v>
      </c>
      <c r="M123" t="s">
        <v>153</v>
      </c>
      <c r="O123" t="s">
        <v>154</v>
      </c>
      <c r="P123" t="s">
        <v>155</v>
      </c>
      <c r="Q123" t="s">
        <v>37</v>
      </c>
      <c r="R123">
        <v>3</v>
      </c>
      <c r="S123" t="s">
        <v>156</v>
      </c>
      <c r="T123" t="s">
        <v>131</v>
      </c>
      <c r="U123" t="s">
        <v>157</v>
      </c>
      <c r="V123" t="s">
        <v>56</v>
      </c>
    </row>
    <row r="124" spans="1:22" hidden="1" x14ac:dyDescent="0.2">
      <c r="A124" t="s">
        <v>142</v>
      </c>
      <c r="B124" t="s">
        <v>23</v>
      </c>
      <c r="C124" t="s">
        <v>143</v>
      </c>
      <c r="D124" t="s">
        <v>144</v>
      </c>
      <c r="E124" t="s">
        <v>145</v>
      </c>
      <c r="F124" t="s">
        <v>146</v>
      </c>
      <c r="G124" t="s">
        <v>147</v>
      </c>
      <c r="H124" t="s">
        <v>148</v>
      </c>
      <c r="I124" t="s">
        <v>149</v>
      </c>
      <c r="J124" t="s">
        <v>150</v>
      </c>
      <c r="K124" t="s">
        <v>151</v>
      </c>
      <c r="L124" t="s">
        <v>152</v>
      </c>
      <c r="M124" t="s">
        <v>153</v>
      </c>
      <c r="O124" t="s">
        <v>154</v>
      </c>
      <c r="P124" t="s">
        <v>155</v>
      </c>
      <c r="Q124" t="s">
        <v>37</v>
      </c>
      <c r="R124">
        <v>3</v>
      </c>
      <c r="S124" t="s">
        <v>156</v>
      </c>
      <c r="T124" t="s">
        <v>158</v>
      </c>
      <c r="U124" t="s">
        <v>157</v>
      </c>
      <c r="V124" t="s">
        <v>56</v>
      </c>
    </row>
    <row r="125" spans="1:22" hidden="1" x14ac:dyDescent="0.2">
      <c r="A125" t="s">
        <v>142</v>
      </c>
      <c r="B125" t="s">
        <v>23</v>
      </c>
      <c r="C125" t="s">
        <v>143</v>
      </c>
      <c r="D125" t="s">
        <v>144</v>
      </c>
      <c r="E125" t="s">
        <v>145</v>
      </c>
      <c r="F125" t="s">
        <v>146</v>
      </c>
      <c r="G125" t="s">
        <v>147</v>
      </c>
      <c r="H125" t="s">
        <v>148</v>
      </c>
      <c r="I125" t="s">
        <v>149</v>
      </c>
      <c r="J125" t="s">
        <v>150</v>
      </c>
      <c r="K125" t="s">
        <v>151</v>
      </c>
      <c r="L125" t="s">
        <v>152</v>
      </c>
      <c r="M125" t="s">
        <v>153</v>
      </c>
      <c r="O125" t="s">
        <v>154</v>
      </c>
      <c r="P125" t="s">
        <v>155</v>
      </c>
      <c r="Q125" t="s">
        <v>37</v>
      </c>
      <c r="R125">
        <v>3</v>
      </c>
      <c r="S125" t="s">
        <v>156</v>
      </c>
      <c r="T125" t="s">
        <v>62</v>
      </c>
      <c r="U125" t="s">
        <v>157</v>
      </c>
      <c r="V125" t="s">
        <v>56</v>
      </c>
    </row>
    <row r="126" spans="1:22" hidden="1" x14ac:dyDescent="0.2">
      <c r="A126" t="s">
        <v>142</v>
      </c>
      <c r="B126" t="s">
        <v>23</v>
      </c>
      <c r="C126" t="s">
        <v>143</v>
      </c>
      <c r="D126" t="s">
        <v>144</v>
      </c>
      <c r="E126" t="s">
        <v>145</v>
      </c>
      <c r="F126" t="s">
        <v>146</v>
      </c>
      <c r="G126" t="s">
        <v>147</v>
      </c>
      <c r="H126" t="s">
        <v>148</v>
      </c>
      <c r="I126" t="s">
        <v>149</v>
      </c>
      <c r="J126" t="s">
        <v>150</v>
      </c>
      <c r="K126" t="s">
        <v>151</v>
      </c>
      <c r="L126" t="s">
        <v>152</v>
      </c>
      <c r="M126" t="s">
        <v>153</v>
      </c>
      <c r="O126" t="s">
        <v>154</v>
      </c>
      <c r="P126" t="s">
        <v>159</v>
      </c>
      <c r="Q126" t="s">
        <v>37</v>
      </c>
      <c r="R126">
        <v>10</v>
      </c>
      <c r="S126" t="s">
        <v>160</v>
      </c>
      <c r="T126" t="s">
        <v>39</v>
      </c>
      <c r="U126" t="s">
        <v>157</v>
      </c>
      <c r="V126" t="s">
        <v>56</v>
      </c>
    </row>
    <row r="127" spans="1:22" hidden="1" x14ac:dyDescent="0.2">
      <c r="A127" t="s">
        <v>142</v>
      </c>
      <c r="B127" t="s">
        <v>23</v>
      </c>
      <c r="C127" t="s">
        <v>143</v>
      </c>
      <c r="D127" t="s">
        <v>144</v>
      </c>
      <c r="E127" t="s">
        <v>145</v>
      </c>
      <c r="F127" t="s">
        <v>146</v>
      </c>
      <c r="G127" t="s">
        <v>147</v>
      </c>
      <c r="H127" t="s">
        <v>148</v>
      </c>
      <c r="I127" t="s">
        <v>149</v>
      </c>
      <c r="J127" t="s">
        <v>150</v>
      </c>
      <c r="K127" t="s">
        <v>151</v>
      </c>
      <c r="L127" t="s">
        <v>152</v>
      </c>
      <c r="M127" t="s">
        <v>153</v>
      </c>
      <c r="O127" t="s">
        <v>154</v>
      </c>
      <c r="P127" t="s">
        <v>159</v>
      </c>
      <c r="Q127" t="s">
        <v>37</v>
      </c>
      <c r="R127">
        <v>10</v>
      </c>
      <c r="S127" t="s">
        <v>160</v>
      </c>
      <c r="T127" t="s">
        <v>57</v>
      </c>
      <c r="U127" t="s">
        <v>157</v>
      </c>
      <c r="V127" t="s">
        <v>56</v>
      </c>
    </row>
    <row r="128" spans="1:22" hidden="1" x14ac:dyDescent="0.2">
      <c r="A128" t="s">
        <v>142</v>
      </c>
      <c r="B128" t="s">
        <v>23</v>
      </c>
      <c r="C128" t="s">
        <v>143</v>
      </c>
      <c r="D128" t="s">
        <v>144</v>
      </c>
      <c r="E128" t="s">
        <v>145</v>
      </c>
      <c r="F128" t="s">
        <v>146</v>
      </c>
      <c r="G128" t="s">
        <v>147</v>
      </c>
      <c r="H128" t="s">
        <v>148</v>
      </c>
      <c r="I128" t="s">
        <v>149</v>
      </c>
      <c r="J128" t="s">
        <v>150</v>
      </c>
      <c r="K128" t="s">
        <v>151</v>
      </c>
      <c r="L128" t="s">
        <v>152</v>
      </c>
      <c r="M128" t="s">
        <v>153</v>
      </c>
      <c r="O128" t="s">
        <v>154</v>
      </c>
      <c r="P128" t="s">
        <v>159</v>
      </c>
      <c r="Q128" t="s">
        <v>37</v>
      </c>
      <c r="R128">
        <v>10</v>
      </c>
      <c r="S128" t="s">
        <v>160</v>
      </c>
      <c r="T128" t="s">
        <v>58</v>
      </c>
      <c r="U128" t="s">
        <v>157</v>
      </c>
      <c r="V128" t="s">
        <v>56</v>
      </c>
    </row>
    <row r="129" spans="1:22" hidden="1" x14ac:dyDescent="0.2">
      <c r="A129" t="s">
        <v>142</v>
      </c>
      <c r="B129" t="s">
        <v>23</v>
      </c>
      <c r="C129" t="s">
        <v>143</v>
      </c>
      <c r="D129" t="s">
        <v>144</v>
      </c>
      <c r="E129" t="s">
        <v>145</v>
      </c>
      <c r="F129" t="s">
        <v>146</v>
      </c>
      <c r="G129" t="s">
        <v>147</v>
      </c>
      <c r="H129" t="s">
        <v>148</v>
      </c>
      <c r="I129" t="s">
        <v>149</v>
      </c>
      <c r="J129" t="s">
        <v>150</v>
      </c>
      <c r="K129" t="s">
        <v>151</v>
      </c>
      <c r="L129" t="s">
        <v>152</v>
      </c>
      <c r="M129" t="s">
        <v>153</v>
      </c>
      <c r="O129" t="s">
        <v>154</v>
      </c>
      <c r="P129" t="s">
        <v>159</v>
      </c>
      <c r="Q129" t="s">
        <v>37</v>
      </c>
      <c r="R129">
        <v>10</v>
      </c>
      <c r="S129" t="s">
        <v>160</v>
      </c>
      <c r="T129" t="s">
        <v>59</v>
      </c>
      <c r="U129" t="s">
        <v>157</v>
      </c>
      <c r="V129" t="s">
        <v>56</v>
      </c>
    </row>
    <row r="130" spans="1:22" hidden="1" x14ac:dyDescent="0.2">
      <c r="A130" t="s">
        <v>142</v>
      </c>
      <c r="B130" t="s">
        <v>23</v>
      </c>
      <c r="C130" t="s">
        <v>143</v>
      </c>
      <c r="D130" t="s">
        <v>144</v>
      </c>
      <c r="E130" t="s">
        <v>145</v>
      </c>
      <c r="F130" t="s">
        <v>146</v>
      </c>
      <c r="G130" t="s">
        <v>147</v>
      </c>
      <c r="H130" t="s">
        <v>148</v>
      </c>
      <c r="I130" t="s">
        <v>149</v>
      </c>
      <c r="J130" t="s">
        <v>150</v>
      </c>
      <c r="K130" t="s">
        <v>151</v>
      </c>
      <c r="L130" t="s">
        <v>152</v>
      </c>
      <c r="M130" t="s">
        <v>153</v>
      </c>
      <c r="O130" t="s">
        <v>154</v>
      </c>
      <c r="P130" t="s">
        <v>159</v>
      </c>
      <c r="Q130" t="s">
        <v>37</v>
      </c>
      <c r="R130">
        <v>10</v>
      </c>
      <c r="S130" t="s">
        <v>160</v>
      </c>
      <c r="T130" t="s">
        <v>60</v>
      </c>
      <c r="U130" t="s">
        <v>157</v>
      </c>
      <c r="V130" t="s">
        <v>56</v>
      </c>
    </row>
    <row r="131" spans="1:22" hidden="1" x14ac:dyDescent="0.2">
      <c r="A131" t="s">
        <v>142</v>
      </c>
      <c r="B131" t="s">
        <v>23</v>
      </c>
      <c r="C131" t="s">
        <v>143</v>
      </c>
      <c r="D131" t="s">
        <v>144</v>
      </c>
      <c r="E131" t="s">
        <v>145</v>
      </c>
      <c r="F131" t="s">
        <v>146</v>
      </c>
      <c r="G131" t="s">
        <v>147</v>
      </c>
      <c r="H131" t="s">
        <v>148</v>
      </c>
      <c r="I131" t="s">
        <v>149</v>
      </c>
      <c r="J131" t="s">
        <v>150</v>
      </c>
      <c r="K131" t="s">
        <v>151</v>
      </c>
      <c r="L131" t="s">
        <v>152</v>
      </c>
      <c r="M131" t="s">
        <v>153</v>
      </c>
      <c r="O131" t="s">
        <v>154</v>
      </c>
      <c r="P131" t="s">
        <v>159</v>
      </c>
      <c r="Q131" t="s">
        <v>37</v>
      </c>
      <c r="R131">
        <v>10</v>
      </c>
      <c r="S131" t="s">
        <v>160</v>
      </c>
      <c r="T131" t="s">
        <v>131</v>
      </c>
      <c r="U131" t="s">
        <v>157</v>
      </c>
      <c r="V131" t="s">
        <v>56</v>
      </c>
    </row>
    <row r="132" spans="1:22" hidden="1" x14ac:dyDescent="0.2">
      <c r="A132" t="s">
        <v>142</v>
      </c>
      <c r="B132" t="s">
        <v>23</v>
      </c>
      <c r="C132" t="s">
        <v>143</v>
      </c>
      <c r="D132" t="s">
        <v>144</v>
      </c>
      <c r="E132" t="s">
        <v>145</v>
      </c>
      <c r="F132" t="s">
        <v>146</v>
      </c>
      <c r="G132" t="s">
        <v>147</v>
      </c>
      <c r="H132" t="s">
        <v>148</v>
      </c>
      <c r="I132" t="s">
        <v>149</v>
      </c>
      <c r="J132" t="s">
        <v>150</v>
      </c>
      <c r="K132" t="s">
        <v>151</v>
      </c>
      <c r="L132" t="s">
        <v>152</v>
      </c>
      <c r="M132" t="s">
        <v>153</v>
      </c>
      <c r="O132" t="s">
        <v>154</v>
      </c>
      <c r="P132" t="s">
        <v>159</v>
      </c>
      <c r="Q132" t="s">
        <v>37</v>
      </c>
      <c r="R132">
        <v>10</v>
      </c>
      <c r="S132" t="s">
        <v>160</v>
      </c>
      <c r="T132" t="s">
        <v>158</v>
      </c>
      <c r="U132" t="s">
        <v>157</v>
      </c>
      <c r="V132" t="s">
        <v>56</v>
      </c>
    </row>
    <row r="133" spans="1:22" hidden="1" x14ac:dyDescent="0.2">
      <c r="A133" t="s">
        <v>142</v>
      </c>
      <c r="B133" t="s">
        <v>23</v>
      </c>
      <c r="C133" t="s">
        <v>143</v>
      </c>
      <c r="D133" t="s">
        <v>144</v>
      </c>
      <c r="E133" t="s">
        <v>145</v>
      </c>
      <c r="F133" t="s">
        <v>146</v>
      </c>
      <c r="G133" t="s">
        <v>147</v>
      </c>
      <c r="H133" t="s">
        <v>148</v>
      </c>
      <c r="I133" t="s">
        <v>149</v>
      </c>
      <c r="J133" t="s">
        <v>150</v>
      </c>
      <c r="K133" t="s">
        <v>151</v>
      </c>
      <c r="L133" t="s">
        <v>152</v>
      </c>
      <c r="M133" t="s">
        <v>153</v>
      </c>
      <c r="O133" t="s">
        <v>154</v>
      </c>
      <c r="P133" t="s">
        <v>159</v>
      </c>
      <c r="Q133" t="s">
        <v>37</v>
      </c>
      <c r="R133">
        <v>10</v>
      </c>
      <c r="S133" t="s">
        <v>160</v>
      </c>
      <c r="T133" t="s">
        <v>62</v>
      </c>
      <c r="U133" t="s">
        <v>157</v>
      </c>
      <c r="V133" t="s">
        <v>56</v>
      </c>
    </row>
    <row r="134" spans="1:22" hidden="1" x14ac:dyDescent="0.2">
      <c r="A134" t="s">
        <v>142</v>
      </c>
      <c r="B134" t="s">
        <v>23</v>
      </c>
      <c r="C134" t="s">
        <v>143</v>
      </c>
      <c r="D134" t="s">
        <v>144</v>
      </c>
      <c r="E134" t="s">
        <v>145</v>
      </c>
      <c r="F134" t="s">
        <v>146</v>
      </c>
      <c r="G134" t="s">
        <v>147</v>
      </c>
      <c r="H134" t="s">
        <v>148</v>
      </c>
      <c r="I134" t="s">
        <v>149</v>
      </c>
      <c r="J134" t="s">
        <v>150</v>
      </c>
      <c r="K134" t="s">
        <v>151</v>
      </c>
      <c r="L134" t="s">
        <v>152</v>
      </c>
      <c r="M134" t="s">
        <v>153</v>
      </c>
      <c r="O134" t="s">
        <v>154</v>
      </c>
      <c r="P134" t="s">
        <v>161</v>
      </c>
      <c r="Q134" t="s">
        <v>37</v>
      </c>
      <c r="R134">
        <v>3</v>
      </c>
      <c r="S134" t="s">
        <v>162</v>
      </c>
      <c r="T134" t="s">
        <v>39</v>
      </c>
      <c r="U134" t="s">
        <v>157</v>
      </c>
      <c r="V134" t="s">
        <v>56</v>
      </c>
    </row>
    <row r="135" spans="1:22" hidden="1" x14ac:dyDescent="0.2">
      <c r="A135" t="s">
        <v>142</v>
      </c>
      <c r="B135" t="s">
        <v>23</v>
      </c>
      <c r="C135" t="s">
        <v>143</v>
      </c>
      <c r="D135" t="s">
        <v>144</v>
      </c>
      <c r="E135" t="s">
        <v>145</v>
      </c>
      <c r="F135" t="s">
        <v>146</v>
      </c>
      <c r="G135" t="s">
        <v>147</v>
      </c>
      <c r="H135" t="s">
        <v>148</v>
      </c>
      <c r="I135" t="s">
        <v>149</v>
      </c>
      <c r="J135" t="s">
        <v>150</v>
      </c>
      <c r="K135" t="s">
        <v>151</v>
      </c>
      <c r="L135" t="s">
        <v>152</v>
      </c>
      <c r="M135" t="s">
        <v>153</v>
      </c>
      <c r="O135" t="s">
        <v>154</v>
      </c>
      <c r="P135" t="s">
        <v>161</v>
      </c>
      <c r="Q135" t="s">
        <v>37</v>
      </c>
      <c r="R135">
        <v>3</v>
      </c>
      <c r="S135" t="s">
        <v>162</v>
      </c>
      <c r="T135" t="s">
        <v>57</v>
      </c>
      <c r="U135" t="s">
        <v>157</v>
      </c>
      <c r="V135" t="s">
        <v>56</v>
      </c>
    </row>
    <row r="136" spans="1:22" hidden="1" x14ac:dyDescent="0.2">
      <c r="A136" t="s">
        <v>142</v>
      </c>
      <c r="B136" t="s">
        <v>23</v>
      </c>
      <c r="C136" t="s">
        <v>143</v>
      </c>
      <c r="D136" t="s">
        <v>144</v>
      </c>
      <c r="E136" t="s">
        <v>145</v>
      </c>
      <c r="F136" t="s">
        <v>146</v>
      </c>
      <c r="G136" t="s">
        <v>147</v>
      </c>
      <c r="H136" t="s">
        <v>148</v>
      </c>
      <c r="I136" t="s">
        <v>149</v>
      </c>
      <c r="J136" t="s">
        <v>150</v>
      </c>
      <c r="K136" t="s">
        <v>151</v>
      </c>
      <c r="L136" t="s">
        <v>152</v>
      </c>
      <c r="M136" t="s">
        <v>153</v>
      </c>
      <c r="O136" t="s">
        <v>154</v>
      </c>
      <c r="P136" t="s">
        <v>161</v>
      </c>
      <c r="Q136" t="s">
        <v>37</v>
      </c>
      <c r="R136">
        <v>3</v>
      </c>
      <c r="S136" t="s">
        <v>162</v>
      </c>
      <c r="T136" t="s">
        <v>58</v>
      </c>
      <c r="U136" t="s">
        <v>157</v>
      </c>
      <c r="V136" t="s">
        <v>56</v>
      </c>
    </row>
    <row r="137" spans="1:22" hidden="1" x14ac:dyDescent="0.2">
      <c r="A137" t="s">
        <v>142</v>
      </c>
      <c r="B137" t="s">
        <v>23</v>
      </c>
      <c r="C137" t="s">
        <v>143</v>
      </c>
      <c r="D137" t="s">
        <v>144</v>
      </c>
      <c r="E137" t="s">
        <v>145</v>
      </c>
      <c r="F137" t="s">
        <v>146</v>
      </c>
      <c r="G137" t="s">
        <v>147</v>
      </c>
      <c r="H137" t="s">
        <v>148</v>
      </c>
      <c r="I137" t="s">
        <v>149</v>
      </c>
      <c r="J137" t="s">
        <v>150</v>
      </c>
      <c r="K137" t="s">
        <v>151</v>
      </c>
      <c r="L137" t="s">
        <v>152</v>
      </c>
      <c r="M137" t="s">
        <v>153</v>
      </c>
      <c r="O137" t="s">
        <v>154</v>
      </c>
      <c r="P137" t="s">
        <v>161</v>
      </c>
      <c r="Q137" t="s">
        <v>37</v>
      </c>
      <c r="R137">
        <v>3</v>
      </c>
      <c r="S137" t="s">
        <v>162</v>
      </c>
      <c r="T137" t="s">
        <v>59</v>
      </c>
      <c r="U137" t="s">
        <v>157</v>
      </c>
      <c r="V137" t="s">
        <v>56</v>
      </c>
    </row>
    <row r="138" spans="1:22" hidden="1" x14ac:dyDescent="0.2">
      <c r="A138" t="s">
        <v>142</v>
      </c>
      <c r="B138" t="s">
        <v>23</v>
      </c>
      <c r="C138" t="s">
        <v>143</v>
      </c>
      <c r="D138" t="s">
        <v>144</v>
      </c>
      <c r="E138" t="s">
        <v>145</v>
      </c>
      <c r="F138" t="s">
        <v>146</v>
      </c>
      <c r="G138" t="s">
        <v>147</v>
      </c>
      <c r="H138" t="s">
        <v>148</v>
      </c>
      <c r="I138" t="s">
        <v>149</v>
      </c>
      <c r="J138" t="s">
        <v>150</v>
      </c>
      <c r="K138" t="s">
        <v>151</v>
      </c>
      <c r="L138" t="s">
        <v>152</v>
      </c>
      <c r="M138" t="s">
        <v>153</v>
      </c>
      <c r="O138" t="s">
        <v>154</v>
      </c>
      <c r="P138" t="s">
        <v>161</v>
      </c>
      <c r="Q138" t="s">
        <v>37</v>
      </c>
      <c r="R138">
        <v>3</v>
      </c>
      <c r="S138" t="s">
        <v>162</v>
      </c>
      <c r="T138" t="s">
        <v>60</v>
      </c>
      <c r="U138" t="s">
        <v>157</v>
      </c>
      <c r="V138" t="s">
        <v>56</v>
      </c>
    </row>
    <row r="139" spans="1:22" hidden="1" x14ac:dyDescent="0.2">
      <c r="A139" t="s">
        <v>142</v>
      </c>
      <c r="B139" t="s">
        <v>23</v>
      </c>
      <c r="C139" t="s">
        <v>143</v>
      </c>
      <c r="D139" t="s">
        <v>144</v>
      </c>
      <c r="E139" t="s">
        <v>145</v>
      </c>
      <c r="F139" t="s">
        <v>146</v>
      </c>
      <c r="G139" t="s">
        <v>147</v>
      </c>
      <c r="H139" t="s">
        <v>148</v>
      </c>
      <c r="I139" t="s">
        <v>149</v>
      </c>
      <c r="J139" t="s">
        <v>150</v>
      </c>
      <c r="K139" t="s">
        <v>151</v>
      </c>
      <c r="L139" t="s">
        <v>152</v>
      </c>
      <c r="M139" t="s">
        <v>153</v>
      </c>
      <c r="O139" t="s">
        <v>154</v>
      </c>
      <c r="P139" t="s">
        <v>161</v>
      </c>
      <c r="Q139" t="s">
        <v>37</v>
      </c>
      <c r="R139">
        <v>3</v>
      </c>
      <c r="S139" t="s">
        <v>162</v>
      </c>
      <c r="T139" t="s">
        <v>131</v>
      </c>
      <c r="U139" t="s">
        <v>157</v>
      </c>
      <c r="V139" t="s">
        <v>56</v>
      </c>
    </row>
    <row r="140" spans="1:22" hidden="1" x14ac:dyDescent="0.2">
      <c r="A140" t="s">
        <v>142</v>
      </c>
      <c r="B140" t="s">
        <v>23</v>
      </c>
      <c r="C140" t="s">
        <v>143</v>
      </c>
      <c r="D140" t="s">
        <v>144</v>
      </c>
      <c r="E140" t="s">
        <v>145</v>
      </c>
      <c r="F140" t="s">
        <v>146</v>
      </c>
      <c r="G140" t="s">
        <v>147</v>
      </c>
      <c r="H140" t="s">
        <v>148</v>
      </c>
      <c r="I140" t="s">
        <v>149</v>
      </c>
      <c r="J140" t="s">
        <v>150</v>
      </c>
      <c r="K140" t="s">
        <v>151</v>
      </c>
      <c r="L140" t="s">
        <v>152</v>
      </c>
      <c r="M140" t="s">
        <v>153</v>
      </c>
      <c r="O140" t="s">
        <v>154</v>
      </c>
      <c r="P140" t="s">
        <v>161</v>
      </c>
      <c r="Q140" t="s">
        <v>37</v>
      </c>
      <c r="R140">
        <v>3</v>
      </c>
      <c r="S140" t="s">
        <v>162</v>
      </c>
      <c r="T140" t="s">
        <v>158</v>
      </c>
      <c r="U140" t="s">
        <v>157</v>
      </c>
      <c r="V140" t="s">
        <v>56</v>
      </c>
    </row>
    <row r="141" spans="1:22" hidden="1" x14ac:dyDescent="0.2">
      <c r="A141" t="s">
        <v>142</v>
      </c>
      <c r="B141" t="s">
        <v>23</v>
      </c>
      <c r="C141" t="s">
        <v>143</v>
      </c>
      <c r="D141" t="s">
        <v>144</v>
      </c>
      <c r="E141" t="s">
        <v>145</v>
      </c>
      <c r="F141" t="s">
        <v>146</v>
      </c>
      <c r="G141" t="s">
        <v>147</v>
      </c>
      <c r="H141" t="s">
        <v>148</v>
      </c>
      <c r="I141" t="s">
        <v>149</v>
      </c>
      <c r="J141" t="s">
        <v>150</v>
      </c>
      <c r="K141" t="s">
        <v>151</v>
      </c>
      <c r="L141" t="s">
        <v>152</v>
      </c>
      <c r="M141" t="s">
        <v>153</v>
      </c>
      <c r="O141" t="s">
        <v>154</v>
      </c>
      <c r="P141" t="s">
        <v>161</v>
      </c>
      <c r="Q141" t="s">
        <v>37</v>
      </c>
      <c r="R141">
        <v>3</v>
      </c>
      <c r="S141" t="s">
        <v>162</v>
      </c>
      <c r="T141" t="s">
        <v>62</v>
      </c>
      <c r="U141" t="s">
        <v>157</v>
      </c>
      <c r="V141" t="s">
        <v>56</v>
      </c>
    </row>
    <row r="142" spans="1:22" hidden="1" x14ac:dyDescent="0.2">
      <c r="A142" t="s">
        <v>163</v>
      </c>
      <c r="B142" t="s">
        <v>23</v>
      </c>
      <c r="C142" t="s">
        <v>164</v>
      </c>
      <c r="D142" t="s">
        <v>165</v>
      </c>
      <c r="E142" t="s">
        <v>166</v>
      </c>
      <c r="F142" t="s">
        <v>167</v>
      </c>
      <c r="G142" t="s">
        <v>168</v>
      </c>
      <c r="H142" t="s">
        <v>169</v>
      </c>
      <c r="I142" t="s">
        <v>170</v>
      </c>
      <c r="J142" t="s">
        <v>171</v>
      </c>
      <c r="K142" t="s">
        <v>25</v>
      </c>
      <c r="L142" t="s">
        <v>172</v>
      </c>
      <c r="M142" t="s">
        <v>173</v>
      </c>
      <c r="O142" t="s">
        <v>174</v>
      </c>
      <c r="P142" t="s">
        <v>175</v>
      </c>
      <c r="Q142" t="s">
        <v>176</v>
      </c>
      <c r="R142" t="s">
        <v>177</v>
      </c>
      <c r="S142" t="s">
        <v>178</v>
      </c>
      <c r="T142" t="s">
        <v>39</v>
      </c>
      <c r="U142" t="s">
        <v>25</v>
      </c>
      <c r="V142" t="s">
        <v>25</v>
      </c>
    </row>
    <row r="143" spans="1:22" hidden="1" x14ac:dyDescent="0.2">
      <c r="A143" t="s">
        <v>163</v>
      </c>
      <c r="B143" t="s">
        <v>23</v>
      </c>
      <c r="C143" t="s">
        <v>164</v>
      </c>
      <c r="D143" t="s">
        <v>165</v>
      </c>
      <c r="E143" t="s">
        <v>166</v>
      </c>
      <c r="F143" t="s">
        <v>167</v>
      </c>
      <c r="G143" t="s">
        <v>168</v>
      </c>
      <c r="H143" t="s">
        <v>169</v>
      </c>
      <c r="I143" t="s">
        <v>170</v>
      </c>
      <c r="J143" t="s">
        <v>171</v>
      </c>
      <c r="K143" t="s">
        <v>25</v>
      </c>
      <c r="L143" t="s">
        <v>172</v>
      </c>
      <c r="M143" t="s">
        <v>173</v>
      </c>
      <c r="O143" t="s">
        <v>174</v>
      </c>
      <c r="P143" t="s">
        <v>175</v>
      </c>
      <c r="Q143" t="s">
        <v>176</v>
      </c>
      <c r="R143" t="s">
        <v>177</v>
      </c>
      <c r="S143" t="s">
        <v>178</v>
      </c>
      <c r="T143" t="s">
        <v>57</v>
      </c>
      <c r="U143" t="s">
        <v>25</v>
      </c>
      <c r="V143" t="s">
        <v>25</v>
      </c>
    </row>
    <row r="144" spans="1:22" hidden="1" x14ac:dyDescent="0.2">
      <c r="A144" t="s">
        <v>163</v>
      </c>
      <c r="B144" t="s">
        <v>23</v>
      </c>
      <c r="C144" t="s">
        <v>164</v>
      </c>
      <c r="D144" t="s">
        <v>165</v>
      </c>
      <c r="E144" t="s">
        <v>166</v>
      </c>
      <c r="F144" t="s">
        <v>167</v>
      </c>
      <c r="G144" t="s">
        <v>168</v>
      </c>
      <c r="H144" t="s">
        <v>169</v>
      </c>
      <c r="I144" t="s">
        <v>170</v>
      </c>
      <c r="J144" t="s">
        <v>171</v>
      </c>
      <c r="K144" t="s">
        <v>25</v>
      </c>
      <c r="L144" t="s">
        <v>172</v>
      </c>
      <c r="M144" t="s">
        <v>173</v>
      </c>
      <c r="O144" t="s">
        <v>174</v>
      </c>
      <c r="P144" t="s">
        <v>175</v>
      </c>
      <c r="Q144" t="s">
        <v>176</v>
      </c>
      <c r="R144" t="s">
        <v>177</v>
      </c>
      <c r="S144" t="s">
        <v>178</v>
      </c>
      <c r="T144" t="s">
        <v>58</v>
      </c>
      <c r="U144" t="s">
        <v>25</v>
      </c>
      <c r="V144" t="s">
        <v>25</v>
      </c>
    </row>
    <row r="145" spans="1:22" hidden="1" x14ac:dyDescent="0.2">
      <c r="A145" t="s">
        <v>163</v>
      </c>
      <c r="B145" t="s">
        <v>23</v>
      </c>
      <c r="C145" t="s">
        <v>164</v>
      </c>
      <c r="D145" t="s">
        <v>165</v>
      </c>
      <c r="E145" t="s">
        <v>166</v>
      </c>
      <c r="F145" t="s">
        <v>167</v>
      </c>
      <c r="G145" t="s">
        <v>168</v>
      </c>
      <c r="H145" t="s">
        <v>169</v>
      </c>
      <c r="I145" t="s">
        <v>170</v>
      </c>
      <c r="J145" t="s">
        <v>171</v>
      </c>
      <c r="K145" t="s">
        <v>25</v>
      </c>
      <c r="L145" t="s">
        <v>172</v>
      </c>
      <c r="M145" t="s">
        <v>173</v>
      </c>
      <c r="O145" t="s">
        <v>174</v>
      </c>
      <c r="P145" t="s">
        <v>175</v>
      </c>
      <c r="Q145" t="s">
        <v>176</v>
      </c>
      <c r="R145" t="s">
        <v>177</v>
      </c>
      <c r="S145" t="s">
        <v>178</v>
      </c>
      <c r="T145" t="s">
        <v>59</v>
      </c>
      <c r="U145" t="s">
        <v>25</v>
      </c>
      <c r="V145" t="s">
        <v>25</v>
      </c>
    </row>
    <row r="146" spans="1:22" hidden="1" x14ac:dyDescent="0.2">
      <c r="A146" t="s">
        <v>163</v>
      </c>
      <c r="B146" t="s">
        <v>23</v>
      </c>
      <c r="C146" t="s">
        <v>164</v>
      </c>
      <c r="D146" t="s">
        <v>165</v>
      </c>
      <c r="E146" t="s">
        <v>166</v>
      </c>
      <c r="F146" t="s">
        <v>167</v>
      </c>
      <c r="G146" t="s">
        <v>168</v>
      </c>
      <c r="H146" t="s">
        <v>169</v>
      </c>
      <c r="I146" t="s">
        <v>170</v>
      </c>
      <c r="J146" t="s">
        <v>171</v>
      </c>
      <c r="K146" t="s">
        <v>25</v>
      </c>
      <c r="L146" t="s">
        <v>172</v>
      </c>
      <c r="M146" t="s">
        <v>173</v>
      </c>
      <c r="O146" t="s">
        <v>174</v>
      </c>
      <c r="P146" t="s">
        <v>175</v>
      </c>
      <c r="Q146" t="s">
        <v>176</v>
      </c>
      <c r="R146" t="s">
        <v>177</v>
      </c>
      <c r="S146" t="s">
        <v>178</v>
      </c>
      <c r="T146" t="s">
        <v>60</v>
      </c>
      <c r="U146" t="s">
        <v>25</v>
      </c>
      <c r="V146" t="s">
        <v>25</v>
      </c>
    </row>
    <row r="147" spans="1:22" hidden="1" x14ac:dyDescent="0.2">
      <c r="A147" t="s">
        <v>163</v>
      </c>
      <c r="B147" t="s">
        <v>23</v>
      </c>
      <c r="C147" t="s">
        <v>164</v>
      </c>
      <c r="D147" t="s">
        <v>165</v>
      </c>
      <c r="E147" t="s">
        <v>166</v>
      </c>
      <c r="F147" t="s">
        <v>167</v>
      </c>
      <c r="G147" t="s">
        <v>168</v>
      </c>
      <c r="H147" t="s">
        <v>169</v>
      </c>
      <c r="I147" t="s">
        <v>170</v>
      </c>
      <c r="J147" t="s">
        <v>171</v>
      </c>
      <c r="K147" t="s">
        <v>25</v>
      </c>
      <c r="L147" t="s">
        <v>172</v>
      </c>
      <c r="M147" t="s">
        <v>173</v>
      </c>
      <c r="O147" t="s">
        <v>174</v>
      </c>
      <c r="P147" t="s">
        <v>175</v>
      </c>
      <c r="Q147" t="s">
        <v>176</v>
      </c>
      <c r="R147" t="s">
        <v>177</v>
      </c>
      <c r="S147" t="s">
        <v>178</v>
      </c>
      <c r="T147" t="s">
        <v>79</v>
      </c>
      <c r="U147" t="s">
        <v>25</v>
      </c>
      <c r="V147" t="s">
        <v>25</v>
      </c>
    </row>
    <row r="148" spans="1:22" hidden="1" x14ac:dyDescent="0.2">
      <c r="A148" t="s">
        <v>163</v>
      </c>
      <c r="B148" t="s">
        <v>23</v>
      </c>
      <c r="C148" t="s">
        <v>164</v>
      </c>
      <c r="D148" t="s">
        <v>165</v>
      </c>
      <c r="E148" t="s">
        <v>166</v>
      </c>
      <c r="F148" t="s">
        <v>167</v>
      </c>
      <c r="G148" t="s">
        <v>168</v>
      </c>
      <c r="H148" t="s">
        <v>169</v>
      </c>
      <c r="I148" t="s">
        <v>170</v>
      </c>
      <c r="J148" t="s">
        <v>171</v>
      </c>
      <c r="K148" t="s">
        <v>25</v>
      </c>
      <c r="L148" t="s">
        <v>172</v>
      </c>
      <c r="M148" t="s">
        <v>173</v>
      </c>
      <c r="O148" t="s">
        <v>174</v>
      </c>
      <c r="P148" t="s">
        <v>175</v>
      </c>
      <c r="Q148" t="s">
        <v>176</v>
      </c>
      <c r="R148" t="s">
        <v>177</v>
      </c>
      <c r="S148" t="s">
        <v>178</v>
      </c>
      <c r="T148" t="s">
        <v>62</v>
      </c>
      <c r="U148" t="s">
        <v>25</v>
      </c>
      <c r="V148" t="s">
        <v>25</v>
      </c>
    </row>
    <row r="149" spans="1:22" hidden="1" x14ac:dyDescent="0.2">
      <c r="A149" t="s">
        <v>163</v>
      </c>
      <c r="B149" t="s">
        <v>23</v>
      </c>
      <c r="C149" t="s">
        <v>164</v>
      </c>
      <c r="D149" t="s">
        <v>165</v>
      </c>
      <c r="E149" t="s">
        <v>166</v>
      </c>
      <c r="F149" t="s">
        <v>167</v>
      </c>
      <c r="G149" t="s">
        <v>168</v>
      </c>
      <c r="H149" t="s">
        <v>169</v>
      </c>
      <c r="I149" t="s">
        <v>170</v>
      </c>
      <c r="J149" t="s">
        <v>171</v>
      </c>
      <c r="K149" t="s">
        <v>25</v>
      </c>
      <c r="L149" t="s">
        <v>172</v>
      </c>
      <c r="M149" t="s">
        <v>173</v>
      </c>
      <c r="O149" t="s">
        <v>174</v>
      </c>
      <c r="P149" t="s">
        <v>179</v>
      </c>
      <c r="Q149" t="s">
        <v>37</v>
      </c>
      <c r="R149" t="s">
        <v>180</v>
      </c>
      <c r="S149" t="s">
        <v>181</v>
      </c>
      <c r="T149" t="s">
        <v>39</v>
      </c>
      <c r="U149" t="s">
        <v>25</v>
      </c>
      <c r="V149" t="s">
        <v>25</v>
      </c>
    </row>
    <row r="150" spans="1:22" hidden="1" x14ac:dyDescent="0.2">
      <c r="A150" t="s">
        <v>163</v>
      </c>
      <c r="B150" t="s">
        <v>23</v>
      </c>
      <c r="C150" t="s">
        <v>164</v>
      </c>
      <c r="D150" t="s">
        <v>165</v>
      </c>
      <c r="E150" t="s">
        <v>166</v>
      </c>
      <c r="F150" t="s">
        <v>167</v>
      </c>
      <c r="G150" t="s">
        <v>168</v>
      </c>
      <c r="H150" t="s">
        <v>169</v>
      </c>
      <c r="I150" t="s">
        <v>170</v>
      </c>
      <c r="J150" t="s">
        <v>171</v>
      </c>
      <c r="K150" t="s">
        <v>25</v>
      </c>
      <c r="L150" t="s">
        <v>172</v>
      </c>
      <c r="M150" t="s">
        <v>173</v>
      </c>
      <c r="O150" t="s">
        <v>174</v>
      </c>
      <c r="P150" t="s">
        <v>179</v>
      </c>
      <c r="Q150" t="s">
        <v>37</v>
      </c>
      <c r="R150" t="s">
        <v>180</v>
      </c>
      <c r="S150" t="s">
        <v>181</v>
      </c>
      <c r="T150" t="s">
        <v>57</v>
      </c>
      <c r="U150" t="s">
        <v>25</v>
      </c>
      <c r="V150" t="s">
        <v>25</v>
      </c>
    </row>
    <row r="151" spans="1:22" hidden="1" x14ac:dyDescent="0.2">
      <c r="A151" t="s">
        <v>163</v>
      </c>
      <c r="B151" t="s">
        <v>23</v>
      </c>
      <c r="C151" t="s">
        <v>164</v>
      </c>
      <c r="D151" t="s">
        <v>165</v>
      </c>
      <c r="E151" t="s">
        <v>166</v>
      </c>
      <c r="F151" t="s">
        <v>167</v>
      </c>
      <c r="G151" t="s">
        <v>168</v>
      </c>
      <c r="H151" t="s">
        <v>169</v>
      </c>
      <c r="I151" t="s">
        <v>170</v>
      </c>
      <c r="J151" t="s">
        <v>171</v>
      </c>
      <c r="K151" t="s">
        <v>25</v>
      </c>
      <c r="L151" t="s">
        <v>172</v>
      </c>
      <c r="M151" t="s">
        <v>173</v>
      </c>
      <c r="O151" t="s">
        <v>174</v>
      </c>
      <c r="P151" t="s">
        <v>179</v>
      </c>
      <c r="Q151" t="s">
        <v>37</v>
      </c>
      <c r="R151" t="s">
        <v>180</v>
      </c>
      <c r="S151" t="s">
        <v>181</v>
      </c>
      <c r="T151" t="s">
        <v>58</v>
      </c>
      <c r="U151" t="s">
        <v>25</v>
      </c>
      <c r="V151" t="s">
        <v>25</v>
      </c>
    </row>
    <row r="152" spans="1:22" hidden="1" x14ac:dyDescent="0.2">
      <c r="A152" t="s">
        <v>163</v>
      </c>
      <c r="B152" t="s">
        <v>23</v>
      </c>
      <c r="C152" t="s">
        <v>164</v>
      </c>
      <c r="D152" t="s">
        <v>165</v>
      </c>
      <c r="E152" t="s">
        <v>166</v>
      </c>
      <c r="F152" t="s">
        <v>167</v>
      </c>
      <c r="G152" t="s">
        <v>168</v>
      </c>
      <c r="H152" t="s">
        <v>169</v>
      </c>
      <c r="I152" t="s">
        <v>170</v>
      </c>
      <c r="J152" t="s">
        <v>171</v>
      </c>
      <c r="K152" t="s">
        <v>25</v>
      </c>
      <c r="L152" t="s">
        <v>172</v>
      </c>
      <c r="M152" t="s">
        <v>173</v>
      </c>
      <c r="O152" t="s">
        <v>174</v>
      </c>
      <c r="P152" t="s">
        <v>179</v>
      </c>
      <c r="Q152" t="s">
        <v>37</v>
      </c>
      <c r="R152" t="s">
        <v>180</v>
      </c>
      <c r="S152" t="s">
        <v>181</v>
      </c>
      <c r="T152" t="s">
        <v>59</v>
      </c>
      <c r="U152" t="s">
        <v>25</v>
      </c>
      <c r="V152" t="s">
        <v>25</v>
      </c>
    </row>
    <row r="153" spans="1:22" hidden="1" x14ac:dyDescent="0.2">
      <c r="A153" t="s">
        <v>163</v>
      </c>
      <c r="B153" t="s">
        <v>23</v>
      </c>
      <c r="C153" t="s">
        <v>164</v>
      </c>
      <c r="D153" t="s">
        <v>165</v>
      </c>
      <c r="E153" t="s">
        <v>166</v>
      </c>
      <c r="F153" t="s">
        <v>167</v>
      </c>
      <c r="G153" t="s">
        <v>168</v>
      </c>
      <c r="H153" t="s">
        <v>169</v>
      </c>
      <c r="I153" t="s">
        <v>170</v>
      </c>
      <c r="J153" t="s">
        <v>171</v>
      </c>
      <c r="K153" t="s">
        <v>25</v>
      </c>
      <c r="L153" t="s">
        <v>172</v>
      </c>
      <c r="M153" t="s">
        <v>173</v>
      </c>
      <c r="O153" t="s">
        <v>174</v>
      </c>
      <c r="P153" t="s">
        <v>179</v>
      </c>
      <c r="Q153" t="s">
        <v>37</v>
      </c>
      <c r="R153" t="s">
        <v>180</v>
      </c>
      <c r="S153" t="s">
        <v>181</v>
      </c>
      <c r="T153" t="s">
        <v>60</v>
      </c>
      <c r="U153" t="s">
        <v>25</v>
      </c>
      <c r="V153" t="s">
        <v>25</v>
      </c>
    </row>
    <row r="154" spans="1:22" hidden="1" x14ac:dyDescent="0.2">
      <c r="A154" t="s">
        <v>163</v>
      </c>
      <c r="B154" t="s">
        <v>23</v>
      </c>
      <c r="C154" t="s">
        <v>164</v>
      </c>
      <c r="D154" t="s">
        <v>165</v>
      </c>
      <c r="E154" t="s">
        <v>166</v>
      </c>
      <c r="F154" t="s">
        <v>167</v>
      </c>
      <c r="G154" t="s">
        <v>168</v>
      </c>
      <c r="H154" t="s">
        <v>169</v>
      </c>
      <c r="I154" t="s">
        <v>170</v>
      </c>
      <c r="J154" t="s">
        <v>171</v>
      </c>
      <c r="K154" t="s">
        <v>25</v>
      </c>
      <c r="L154" t="s">
        <v>172</v>
      </c>
      <c r="M154" t="s">
        <v>173</v>
      </c>
      <c r="O154" t="s">
        <v>174</v>
      </c>
      <c r="P154" t="s">
        <v>179</v>
      </c>
      <c r="Q154" t="s">
        <v>37</v>
      </c>
      <c r="R154" t="s">
        <v>180</v>
      </c>
      <c r="S154" t="s">
        <v>181</v>
      </c>
      <c r="T154" t="s">
        <v>79</v>
      </c>
      <c r="U154" t="s">
        <v>25</v>
      </c>
      <c r="V154" t="s">
        <v>25</v>
      </c>
    </row>
    <row r="155" spans="1:22" hidden="1" x14ac:dyDescent="0.2">
      <c r="A155" t="s">
        <v>163</v>
      </c>
      <c r="B155" t="s">
        <v>23</v>
      </c>
      <c r="C155" t="s">
        <v>164</v>
      </c>
      <c r="D155" t="s">
        <v>165</v>
      </c>
      <c r="E155" t="s">
        <v>166</v>
      </c>
      <c r="F155" t="s">
        <v>167</v>
      </c>
      <c r="G155" t="s">
        <v>168</v>
      </c>
      <c r="H155" t="s">
        <v>169</v>
      </c>
      <c r="I155" t="s">
        <v>170</v>
      </c>
      <c r="J155" t="s">
        <v>171</v>
      </c>
      <c r="K155" t="s">
        <v>25</v>
      </c>
      <c r="L155" t="s">
        <v>172</v>
      </c>
      <c r="M155" t="s">
        <v>173</v>
      </c>
      <c r="O155" t="s">
        <v>174</v>
      </c>
      <c r="P155" t="s">
        <v>179</v>
      </c>
      <c r="Q155" t="s">
        <v>37</v>
      </c>
      <c r="R155" t="s">
        <v>180</v>
      </c>
      <c r="S155" t="s">
        <v>181</v>
      </c>
      <c r="T155" t="s">
        <v>62</v>
      </c>
      <c r="U155" t="s">
        <v>25</v>
      </c>
      <c r="V155" t="s">
        <v>25</v>
      </c>
    </row>
    <row r="156" spans="1:22" hidden="1" x14ac:dyDescent="0.2">
      <c r="A156" t="s">
        <v>182</v>
      </c>
      <c r="B156" t="s">
        <v>23</v>
      </c>
      <c r="C156" t="s">
        <v>183</v>
      </c>
      <c r="D156" t="s">
        <v>184</v>
      </c>
      <c r="E156" t="s">
        <v>185</v>
      </c>
      <c r="F156" t="s">
        <v>186</v>
      </c>
      <c r="G156" t="s">
        <v>187</v>
      </c>
      <c r="H156" t="s">
        <v>188</v>
      </c>
      <c r="I156" t="s">
        <v>189</v>
      </c>
      <c r="J156" t="s">
        <v>190</v>
      </c>
      <c r="K156" t="s">
        <v>191</v>
      </c>
      <c r="L156" t="s">
        <v>192</v>
      </c>
      <c r="M156" t="s">
        <v>193</v>
      </c>
      <c r="O156" t="s">
        <v>194</v>
      </c>
      <c r="T156" t="s">
        <v>39</v>
      </c>
      <c r="U156" t="s">
        <v>55</v>
      </c>
      <c r="V156" t="s">
        <v>195</v>
      </c>
    </row>
    <row r="157" spans="1:22" hidden="1" x14ac:dyDescent="0.2">
      <c r="A157" t="s">
        <v>182</v>
      </c>
      <c r="B157" t="s">
        <v>23</v>
      </c>
      <c r="C157" t="s">
        <v>183</v>
      </c>
      <c r="D157" t="s">
        <v>184</v>
      </c>
      <c r="E157" t="s">
        <v>185</v>
      </c>
      <c r="F157" t="s">
        <v>186</v>
      </c>
      <c r="G157" t="s">
        <v>187</v>
      </c>
      <c r="H157" t="s">
        <v>188</v>
      </c>
      <c r="I157" t="s">
        <v>189</v>
      </c>
      <c r="J157" t="s">
        <v>190</v>
      </c>
      <c r="K157" t="s">
        <v>191</v>
      </c>
      <c r="L157" t="s">
        <v>192</v>
      </c>
      <c r="M157" t="s">
        <v>193</v>
      </c>
      <c r="O157" t="s">
        <v>194</v>
      </c>
      <c r="T157" t="s">
        <v>39</v>
      </c>
      <c r="U157" t="s">
        <v>157</v>
      </c>
      <c r="V157" t="s">
        <v>196</v>
      </c>
    </row>
    <row r="158" spans="1:22" hidden="1" x14ac:dyDescent="0.2">
      <c r="A158" t="s">
        <v>182</v>
      </c>
      <c r="B158" t="s">
        <v>23</v>
      </c>
      <c r="C158" t="s">
        <v>183</v>
      </c>
      <c r="D158" t="s">
        <v>184</v>
      </c>
      <c r="E158" t="s">
        <v>185</v>
      </c>
      <c r="F158" t="s">
        <v>186</v>
      </c>
      <c r="G158" t="s">
        <v>187</v>
      </c>
      <c r="H158" t="s">
        <v>188</v>
      </c>
      <c r="I158" t="s">
        <v>189</v>
      </c>
      <c r="J158" t="s">
        <v>190</v>
      </c>
      <c r="K158" t="s">
        <v>191</v>
      </c>
      <c r="L158" t="s">
        <v>192</v>
      </c>
      <c r="M158" t="s">
        <v>193</v>
      </c>
      <c r="O158" t="s">
        <v>194</v>
      </c>
      <c r="T158" t="s">
        <v>39</v>
      </c>
      <c r="U158" t="s">
        <v>53</v>
      </c>
      <c r="V158" t="s">
        <v>197</v>
      </c>
    </row>
    <row r="159" spans="1:22" hidden="1" x14ac:dyDescent="0.2">
      <c r="A159" t="s">
        <v>182</v>
      </c>
      <c r="B159" t="s">
        <v>23</v>
      </c>
      <c r="C159" t="s">
        <v>183</v>
      </c>
      <c r="D159" t="s">
        <v>184</v>
      </c>
      <c r="E159" t="s">
        <v>185</v>
      </c>
      <c r="F159" t="s">
        <v>186</v>
      </c>
      <c r="G159" t="s">
        <v>187</v>
      </c>
      <c r="H159" t="s">
        <v>188</v>
      </c>
      <c r="I159" t="s">
        <v>189</v>
      </c>
      <c r="J159" t="s">
        <v>190</v>
      </c>
      <c r="K159" t="s">
        <v>191</v>
      </c>
      <c r="L159" t="s">
        <v>192</v>
      </c>
      <c r="M159" t="s">
        <v>193</v>
      </c>
      <c r="O159" t="s">
        <v>194</v>
      </c>
      <c r="T159" t="s">
        <v>57</v>
      </c>
      <c r="U159" t="s">
        <v>55</v>
      </c>
      <c r="V159" t="s">
        <v>195</v>
      </c>
    </row>
    <row r="160" spans="1:22" hidden="1" x14ac:dyDescent="0.2">
      <c r="A160" t="s">
        <v>182</v>
      </c>
      <c r="B160" t="s">
        <v>23</v>
      </c>
      <c r="C160" t="s">
        <v>183</v>
      </c>
      <c r="D160" t="s">
        <v>184</v>
      </c>
      <c r="E160" t="s">
        <v>185</v>
      </c>
      <c r="F160" t="s">
        <v>186</v>
      </c>
      <c r="G160" t="s">
        <v>187</v>
      </c>
      <c r="H160" t="s">
        <v>188</v>
      </c>
      <c r="I160" t="s">
        <v>189</v>
      </c>
      <c r="J160" t="s">
        <v>190</v>
      </c>
      <c r="K160" t="s">
        <v>191</v>
      </c>
      <c r="L160" t="s">
        <v>192</v>
      </c>
      <c r="M160" t="s">
        <v>193</v>
      </c>
      <c r="O160" t="s">
        <v>194</v>
      </c>
      <c r="T160" t="s">
        <v>57</v>
      </c>
      <c r="U160" t="s">
        <v>157</v>
      </c>
      <c r="V160" t="s">
        <v>196</v>
      </c>
    </row>
    <row r="161" spans="1:22" hidden="1" x14ac:dyDescent="0.2">
      <c r="A161" t="s">
        <v>182</v>
      </c>
      <c r="B161" t="s">
        <v>23</v>
      </c>
      <c r="C161" t="s">
        <v>183</v>
      </c>
      <c r="D161" t="s">
        <v>184</v>
      </c>
      <c r="E161" t="s">
        <v>185</v>
      </c>
      <c r="F161" t="s">
        <v>186</v>
      </c>
      <c r="G161" t="s">
        <v>187</v>
      </c>
      <c r="H161" t="s">
        <v>188</v>
      </c>
      <c r="I161" t="s">
        <v>189</v>
      </c>
      <c r="J161" t="s">
        <v>190</v>
      </c>
      <c r="K161" t="s">
        <v>191</v>
      </c>
      <c r="L161" t="s">
        <v>192</v>
      </c>
      <c r="M161" t="s">
        <v>193</v>
      </c>
      <c r="O161" t="s">
        <v>194</v>
      </c>
      <c r="T161" t="s">
        <v>57</v>
      </c>
      <c r="U161" t="s">
        <v>53</v>
      </c>
      <c r="V161" t="s">
        <v>197</v>
      </c>
    </row>
    <row r="162" spans="1:22" hidden="1" x14ac:dyDescent="0.2">
      <c r="A162" t="s">
        <v>182</v>
      </c>
      <c r="B162" t="s">
        <v>23</v>
      </c>
      <c r="C162" t="s">
        <v>183</v>
      </c>
      <c r="D162" t="s">
        <v>184</v>
      </c>
      <c r="E162" t="s">
        <v>185</v>
      </c>
      <c r="F162" t="s">
        <v>186</v>
      </c>
      <c r="G162" t="s">
        <v>187</v>
      </c>
      <c r="H162" t="s">
        <v>188</v>
      </c>
      <c r="I162" t="s">
        <v>189</v>
      </c>
      <c r="J162" t="s">
        <v>190</v>
      </c>
      <c r="K162" t="s">
        <v>191</v>
      </c>
      <c r="L162" t="s">
        <v>192</v>
      </c>
      <c r="M162" t="s">
        <v>193</v>
      </c>
      <c r="O162" t="s">
        <v>194</v>
      </c>
      <c r="T162" t="s">
        <v>58</v>
      </c>
      <c r="U162" t="s">
        <v>55</v>
      </c>
      <c r="V162" t="s">
        <v>195</v>
      </c>
    </row>
    <row r="163" spans="1:22" hidden="1" x14ac:dyDescent="0.2">
      <c r="A163" t="s">
        <v>182</v>
      </c>
      <c r="B163" t="s">
        <v>23</v>
      </c>
      <c r="C163" t="s">
        <v>183</v>
      </c>
      <c r="D163" t="s">
        <v>184</v>
      </c>
      <c r="E163" t="s">
        <v>185</v>
      </c>
      <c r="F163" t="s">
        <v>186</v>
      </c>
      <c r="G163" t="s">
        <v>187</v>
      </c>
      <c r="H163" t="s">
        <v>188</v>
      </c>
      <c r="I163" t="s">
        <v>189</v>
      </c>
      <c r="J163" t="s">
        <v>190</v>
      </c>
      <c r="K163" t="s">
        <v>191</v>
      </c>
      <c r="L163" t="s">
        <v>192</v>
      </c>
      <c r="M163" t="s">
        <v>193</v>
      </c>
      <c r="O163" t="s">
        <v>194</v>
      </c>
      <c r="T163" t="s">
        <v>58</v>
      </c>
      <c r="U163" t="s">
        <v>157</v>
      </c>
      <c r="V163" t="s">
        <v>196</v>
      </c>
    </row>
    <row r="164" spans="1:22" hidden="1" x14ac:dyDescent="0.2">
      <c r="A164" t="s">
        <v>182</v>
      </c>
      <c r="B164" t="s">
        <v>23</v>
      </c>
      <c r="C164" t="s">
        <v>183</v>
      </c>
      <c r="D164" t="s">
        <v>184</v>
      </c>
      <c r="E164" t="s">
        <v>185</v>
      </c>
      <c r="F164" t="s">
        <v>186</v>
      </c>
      <c r="G164" t="s">
        <v>187</v>
      </c>
      <c r="H164" t="s">
        <v>188</v>
      </c>
      <c r="I164" t="s">
        <v>189</v>
      </c>
      <c r="J164" t="s">
        <v>190</v>
      </c>
      <c r="K164" t="s">
        <v>191</v>
      </c>
      <c r="L164" t="s">
        <v>192</v>
      </c>
      <c r="M164" t="s">
        <v>193</v>
      </c>
      <c r="O164" t="s">
        <v>194</v>
      </c>
      <c r="T164" t="s">
        <v>58</v>
      </c>
      <c r="U164" t="s">
        <v>53</v>
      </c>
      <c r="V164" t="s">
        <v>197</v>
      </c>
    </row>
    <row r="165" spans="1:22" hidden="1" x14ac:dyDescent="0.2">
      <c r="A165" t="s">
        <v>182</v>
      </c>
      <c r="B165" t="s">
        <v>23</v>
      </c>
      <c r="C165" t="s">
        <v>183</v>
      </c>
      <c r="D165" t="s">
        <v>184</v>
      </c>
      <c r="E165" t="s">
        <v>185</v>
      </c>
      <c r="F165" t="s">
        <v>186</v>
      </c>
      <c r="G165" t="s">
        <v>187</v>
      </c>
      <c r="H165" t="s">
        <v>188</v>
      </c>
      <c r="I165" t="s">
        <v>189</v>
      </c>
      <c r="J165" t="s">
        <v>190</v>
      </c>
      <c r="K165" t="s">
        <v>191</v>
      </c>
      <c r="L165" t="s">
        <v>192</v>
      </c>
      <c r="M165" t="s">
        <v>193</v>
      </c>
      <c r="O165" t="s">
        <v>194</v>
      </c>
      <c r="T165" t="s">
        <v>59</v>
      </c>
      <c r="U165" t="s">
        <v>55</v>
      </c>
      <c r="V165" t="s">
        <v>195</v>
      </c>
    </row>
    <row r="166" spans="1:22" hidden="1" x14ac:dyDescent="0.2">
      <c r="A166" t="s">
        <v>182</v>
      </c>
      <c r="B166" t="s">
        <v>23</v>
      </c>
      <c r="C166" t="s">
        <v>183</v>
      </c>
      <c r="D166" t="s">
        <v>184</v>
      </c>
      <c r="E166" t="s">
        <v>185</v>
      </c>
      <c r="F166" t="s">
        <v>186</v>
      </c>
      <c r="G166" t="s">
        <v>187</v>
      </c>
      <c r="H166" t="s">
        <v>188</v>
      </c>
      <c r="I166" t="s">
        <v>189</v>
      </c>
      <c r="J166" t="s">
        <v>190</v>
      </c>
      <c r="K166" t="s">
        <v>191</v>
      </c>
      <c r="L166" t="s">
        <v>192</v>
      </c>
      <c r="M166" t="s">
        <v>193</v>
      </c>
      <c r="O166" t="s">
        <v>194</v>
      </c>
      <c r="T166" t="s">
        <v>59</v>
      </c>
      <c r="U166" t="s">
        <v>157</v>
      </c>
      <c r="V166" t="s">
        <v>196</v>
      </c>
    </row>
    <row r="167" spans="1:22" hidden="1" x14ac:dyDescent="0.2">
      <c r="A167" t="s">
        <v>182</v>
      </c>
      <c r="B167" t="s">
        <v>23</v>
      </c>
      <c r="C167" t="s">
        <v>183</v>
      </c>
      <c r="D167" t="s">
        <v>184</v>
      </c>
      <c r="E167" t="s">
        <v>185</v>
      </c>
      <c r="F167" t="s">
        <v>186</v>
      </c>
      <c r="G167" t="s">
        <v>187</v>
      </c>
      <c r="H167" t="s">
        <v>188</v>
      </c>
      <c r="I167" t="s">
        <v>189</v>
      </c>
      <c r="J167" t="s">
        <v>190</v>
      </c>
      <c r="K167" t="s">
        <v>191</v>
      </c>
      <c r="L167" t="s">
        <v>192</v>
      </c>
      <c r="M167" t="s">
        <v>193</v>
      </c>
      <c r="O167" t="s">
        <v>194</v>
      </c>
      <c r="T167" t="s">
        <v>59</v>
      </c>
      <c r="U167" t="s">
        <v>53</v>
      </c>
      <c r="V167" t="s">
        <v>197</v>
      </c>
    </row>
    <row r="168" spans="1:22" hidden="1" x14ac:dyDescent="0.2">
      <c r="A168" t="s">
        <v>182</v>
      </c>
      <c r="B168" t="s">
        <v>23</v>
      </c>
      <c r="C168" t="s">
        <v>183</v>
      </c>
      <c r="D168" t="s">
        <v>184</v>
      </c>
      <c r="E168" t="s">
        <v>185</v>
      </c>
      <c r="F168" t="s">
        <v>186</v>
      </c>
      <c r="G168" t="s">
        <v>187</v>
      </c>
      <c r="H168" t="s">
        <v>188</v>
      </c>
      <c r="I168" t="s">
        <v>189</v>
      </c>
      <c r="J168" t="s">
        <v>190</v>
      </c>
      <c r="K168" t="s">
        <v>191</v>
      </c>
      <c r="L168" t="s">
        <v>192</v>
      </c>
      <c r="M168" t="s">
        <v>193</v>
      </c>
      <c r="O168" t="s">
        <v>194</v>
      </c>
      <c r="T168" t="s">
        <v>95</v>
      </c>
      <c r="U168" t="s">
        <v>55</v>
      </c>
      <c r="V168" t="s">
        <v>195</v>
      </c>
    </row>
    <row r="169" spans="1:22" hidden="1" x14ac:dyDescent="0.2">
      <c r="A169" t="s">
        <v>182</v>
      </c>
      <c r="B169" t="s">
        <v>23</v>
      </c>
      <c r="C169" t="s">
        <v>183</v>
      </c>
      <c r="D169" t="s">
        <v>184</v>
      </c>
      <c r="E169" t="s">
        <v>185</v>
      </c>
      <c r="F169" t="s">
        <v>186</v>
      </c>
      <c r="G169" t="s">
        <v>187</v>
      </c>
      <c r="H169" t="s">
        <v>188</v>
      </c>
      <c r="I169" t="s">
        <v>189</v>
      </c>
      <c r="J169" t="s">
        <v>190</v>
      </c>
      <c r="K169" t="s">
        <v>191</v>
      </c>
      <c r="L169" t="s">
        <v>192</v>
      </c>
      <c r="M169" t="s">
        <v>193</v>
      </c>
      <c r="O169" t="s">
        <v>194</v>
      </c>
      <c r="T169" t="s">
        <v>95</v>
      </c>
      <c r="U169" t="s">
        <v>157</v>
      </c>
      <c r="V169" t="s">
        <v>196</v>
      </c>
    </row>
    <row r="170" spans="1:22" hidden="1" x14ac:dyDescent="0.2">
      <c r="A170" t="s">
        <v>182</v>
      </c>
      <c r="B170" t="s">
        <v>23</v>
      </c>
      <c r="C170" t="s">
        <v>183</v>
      </c>
      <c r="D170" t="s">
        <v>184</v>
      </c>
      <c r="E170" t="s">
        <v>185</v>
      </c>
      <c r="F170" t="s">
        <v>186</v>
      </c>
      <c r="G170" t="s">
        <v>187</v>
      </c>
      <c r="H170" t="s">
        <v>188</v>
      </c>
      <c r="I170" t="s">
        <v>189</v>
      </c>
      <c r="J170" t="s">
        <v>190</v>
      </c>
      <c r="K170" t="s">
        <v>191</v>
      </c>
      <c r="L170" t="s">
        <v>192</v>
      </c>
      <c r="M170" t="s">
        <v>193</v>
      </c>
      <c r="O170" t="s">
        <v>194</v>
      </c>
      <c r="T170" t="s">
        <v>95</v>
      </c>
      <c r="U170" t="s">
        <v>53</v>
      </c>
      <c r="V170" t="s">
        <v>197</v>
      </c>
    </row>
    <row r="171" spans="1:22" hidden="1" x14ac:dyDescent="0.2">
      <c r="A171" t="s">
        <v>182</v>
      </c>
      <c r="B171" t="s">
        <v>23</v>
      </c>
      <c r="C171" t="s">
        <v>183</v>
      </c>
      <c r="D171" t="s">
        <v>184</v>
      </c>
      <c r="E171" t="s">
        <v>185</v>
      </c>
      <c r="F171" t="s">
        <v>186</v>
      </c>
      <c r="G171" t="s">
        <v>187</v>
      </c>
      <c r="H171" t="s">
        <v>188</v>
      </c>
      <c r="I171" t="s">
        <v>189</v>
      </c>
      <c r="J171" t="s">
        <v>190</v>
      </c>
      <c r="K171" t="s">
        <v>191</v>
      </c>
      <c r="L171" t="s">
        <v>192</v>
      </c>
      <c r="M171" t="s">
        <v>193</v>
      </c>
      <c r="O171" t="s">
        <v>194</v>
      </c>
      <c r="T171" t="s">
        <v>141</v>
      </c>
      <c r="U171" t="s">
        <v>55</v>
      </c>
      <c r="V171" t="s">
        <v>195</v>
      </c>
    </row>
    <row r="172" spans="1:22" hidden="1" x14ac:dyDescent="0.2">
      <c r="A172" t="s">
        <v>182</v>
      </c>
      <c r="B172" t="s">
        <v>23</v>
      </c>
      <c r="C172" t="s">
        <v>183</v>
      </c>
      <c r="D172" t="s">
        <v>184</v>
      </c>
      <c r="E172" t="s">
        <v>185</v>
      </c>
      <c r="F172" t="s">
        <v>186</v>
      </c>
      <c r="G172" t="s">
        <v>187</v>
      </c>
      <c r="H172" t="s">
        <v>188</v>
      </c>
      <c r="I172" t="s">
        <v>189</v>
      </c>
      <c r="J172" t="s">
        <v>190</v>
      </c>
      <c r="K172" t="s">
        <v>191</v>
      </c>
      <c r="L172" t="s">
        <v>192</v>
      </c>
      <c r="M172" t="s">
        <v>193</v>
      </c>
      <c r="O172" t="s">
        <v>194</v>
      </c>
      <c r="T172" t="s">
        <v>141</v>
      </c>
      <c r="U172" t="s">
        <v>157</v>
      </c>
      <c r="V172" t="s">
        <v>196</v>
      </c>
    </row>
    <row r="173" spans="1:22" hidden="1" x14ac:dyDescent="0.2">
      <c r="A173" t="s">
        <v>182</v>
      </c>
      <c r="B173" t="s">
        <v>23</v>
      </c>
      <c r="C173" t="s">
        <v>183</v>
      </c>
      <c r="D173" t="s">
        <v>184</v>
      </c>
      <c r="E173" t="s">
        <v>185</v>
      </c>
      <c r="F173" t="s">
        <v>186</v>
      </c>
      <c r="G173" t="s">
        <v>187</v>
      </c>
      <c r="H173" t="s">
        <v>188</v>
      </c>
      <c r="I173" t="s">
        <v>189</v>
      </c>
      <c r="J173" t="s">
        <v>190</v>
      </c>
      <c r="K173" t="s">
        <v>191</v>
      </c>
      <c r="L173" t="s">
        <v>192</v>
      </c>
      <c r="M173" t="s">
        <v>193</v>
      </c>
      <c r="O173" t="s">
        <v>194</v>
      </c>
      <c r="T173" t="s">
        <v>141</v>
      </c>
      <c r="U173" t="s">
        <v>53</v>
      </c>
      <c r="V173" t="s">
        <v>197</v>
      </c>
    </row>
    <row r="174" spans="1:22" hidden="1" x14ac:dyDescent="0.2">
      <c r="A174" t="s">
        <v>182</v>
      </c>
      <c r="B174" t="s">
        <v>23</v>
      </c>
      <c r="C174" t="s">
        <v>183</v>
      </c>
      <c r="D174" t="s">
        <v>184</v>
      </c>
      <c r="E174" t="s">
        <v>185</v>
      </c>
      <c r="F174" t="s">
        <v>186</v>
      </c>
      <c r="G174" t="s">
        <v>187</v>
      </c>
      <c r="H174" t="s">
        <v>188</v>
      </c>
      <c r="I174" t="s">
        <v>189</v>
      </c>
      <c r="J174" t="s">
        <v>190</v>
      </c>
      <c r="K174" t="s">
        <v>191</v>
      </c>
      <c r="L174" t="s">
        <v>192</v>
      </c>
      <c r="M174" t="s">
        <v>193</v>
      </c>
      <c r="O174" t="s">
        <v>194</v>
      </c>
      <c r="T174" t="s">
        <v>62</v>
      </c>
      <c r="U174" t="s">
        <v>55</v>
      </c>
      <c r="V174" t="s">
        <v>195</v>
      </c>
    </row>
    <row r="175" spans="1:22" hidden="1" x14ac:dyDescent="0.2">
      <c r="A175" t="s">
        <v>182</v>
      </c>
      <c r="B175" t="s">
        <v>23</v>
      </c>
      <c r="C175" t="s">
        <v>183</v>
      </c>
      <c r="D175" t="s">
        <v>184</v>
      </c>
      <c r="E175" t="s">
        <v>185</v>
      </c>
      <c r="F175" t="s">
        <v>186</v>
      </c>
      <c r="G175" t="s">
        <v>187</v>
      </c>
      <c r="H175" t="s">
        <v>188</v>
      </c>
      <c r="I175" t="s">
        <v>189</v>
      </c>
      <c r="J175" t="s">
        <v>190</v>
      </c>
      <c r="K175" t="s">
        <v>191</v>
      </c>
      <c r="L175" t="s">
        <v>192</v>
      </c>
      <c r="M175" t="s">
        <v>193</v>
      </c>
      <c r="O175" t="s">
        <v>194</v>
      </c>
      <c r="T175" t="s">
        <v>62</v>
      </c>
      <c r="U175" t="s">
        <v>157</v>
      </c>
      <c r="V175" t="s">
        <v>196</v>
      </c>
    </row>
    <row r="176" spans="1:22" hidden="1" x14ac:dyDescent="0.2">
      <c r="A176" t="s">
        <v>182</v>
      </c>
      <c r="B176" t="s">
        <v>23</v>
      </c>
      <c r="C176" t="s">
        <v>183</v>
      </c>
      <c r="D176" t="s">
        <v>184</v>
      </c>
      <c r="E176" t="s">
        <v>185</v>
      </c>
      <c r="F176" t="s">
        <v>186</v>
      </c>
      <c r="G176" t="s">
        <v>187</v>
      </c>
      <c r="H176" t="s">
        <v>188</v>
      </c>
      <c r="I176" t="s">
        <v>189</v>
      </c>
      <c r="J176" t="s">
        <v>190</v>
      </c>
      <c r="K176" t="s">
        <v>191</v>
      </c>
      <c r="L176" t="s">
        <v>192</v>
      </c>
      <c r="M176" t="s">
        <v>193</v>
      </c>
      <c r="O176" t="s">
        <v>194</v>
      </c>
      <c r="T176" t="s">
        <v>62</v>
      </c>
      <c r="U176" t="s">
        <v>53</v>
      </c>
      <c r="V176" t="s">
        <v>197</v>
      </c>
    </row>
    <row r="177" spans="1:22" hidden="1" x14ac:dyDescent="0.2">
      <c r="A177" t="s">
        <v>182</v>
      </c>
      <c r="B177" t="s">
        <v>23</v>
      </c>
      <c r="C177" t="s">
        <v>183</v>
      </c>
      <c r="D177" t="s">
        <v>184</v>
      </c>
      <c r="E177" t="s">
        <v>185</v>
      </c>
      <c r="F177" t="s">
        <v>186</v>
      </c>
      <c r="G177" t="s">
        <v>187</v>
      </c>
      <c r="H177" t="s">
        <v>188</v>
      </c>
      <c r="I177" t="s">
        <v>189</v>
      </c>
      <c r="J177" t="s">
        <v>190</v>
      </c>
      <c r="K177" t="s">
        <v>191</v>
      </c>
      <c r="L177" t="s">
        <v>192</v>
      </c>
      <c r="M177" t="s">
        <v>193</v>
      </c>
      <c r="O177" t="s">
        <v>194</v>
      </c>
      <c r="T177" t="s">
        <v>198</v>
      </c>
      <c r="U177" t="s">
        <v>55</v>
      </c>
      <c r="V177" t="s">
        <v>195</v>
      </c>
    </row>
    <row r="178" spans="1:22" hidden="1" x14ac:dyDescent="0.2">
      <c r="A178" t="s">
        <v>182</v>
      </c>
      <c r="B178" t="s">
        <v>23</v>
      </c>
      <c r="C178" t="s">
        <v>183</v>
      </c>
      <c r="D178" t="s">
        <v>184</v>
      </c>
      <c r="E178" t="s">
        <v>185</v>
      </c>
      <c r="F178" t="s">
        <v>186</v>
      </c>
      <c r="G178" t="s">
        <v>187</v>
      </c>
      <c r="H178" t="s">
        <v>188</v>
      </c>
      <c r="I178" t="s">
        <v>189</v>
      </c>
      <c r="J178" t="s">
        <v>190</v>
      </c>
      <c r="K178" t="s">
        <v>191</v>
      </c>
      <c r="L178" t="s">
        <v>192</v>
      </c>
      <c r="M178" t="s">
        <v>193</v>
      </c>
      <c r="O178" t="s">
        <v>194</v>
      </c>
      <c r="T178" t="s">
        <v>198</v>
      </c>
      <c r="U178" t="s">
        <v>157</v>
      </c>
      <c r="V178" t="s">
        <v>196</v>
      </c>
    </row>
    <row r="179" spans="1:22" hidden="1" x14ac:dyDescent="0.2">
      <c r="A179" t="s">
        <v>182</v>
      </c>
      <c r="B179" t="s">
        <v>23</v>
      </c>
      <c r="C179" t="s">
        <v>183</v>
      </c>
      <c r="D179" t="s">
        <v>184</v>
      </c>
      <c r="E179" t="s">
        <v>185</v>
      </c>
      <c r="F179" t="s">
        <v>186</v>
      </c>
      <c r="G179" t="s">
        <v>187</v>
      </c>
      <c r="H179" t="s">
        <v>188</v>
      </c>
      <c r="I179" t="s">
        <v>189</v>
      </c>
      <c r="J179" t="s">
        <v>190</v>
      </c>
      <c r="K179" t="s">
        <v>191</v>
      </c>
      <c r="L179" t="s">
        <v>192</v>
      </c>
      <c r="M179" t="s">
        <v>193</v>
      </c>
      <c r="O179" t="s">
        <v>194</v>
      </c>
      <c r="T179" t="s">
        <v>198</v>
      </c>
      <c r="U179" t="s">
        <v>53</v>
      </c>
      <c r="V179" t="s">
        <v>197</v>
      </c>
    </row>
    <row r="180" spans="1:22" hidden="1" x14ac:dyDescent="0.2">
      <c r="A180" t="s">
        <v>182</v>
      </c>
      <c r="B180" t="s">
        <v>23</v>
      </c>
      <c r="C180" t="s">
        <v>183</v>
      </c>
      <c r="D180" t="s">
        <v>184</v>
      </c>
      <c r="E180" t="s">
        <v>185</v>
      </c>
      <c r="F180" t="s">
        <v>186</v>
      </c>
      <c r="G180" t="s">
        <v>187</v>
      </c>
      <c r="H180" t="s">
        <v>188</v>
      </c>
      <c r="I180" t="s">
        <v>189</v>
      </c>
      <c r="J180" t="s">
        <v>190</v>
      </c>
      <c r="K180" t="s">
        <v>191</v>
      </c>
      <c r="L180" t="s">
        <v>192</v>
      </c>
      <c r="M180" t="s">
        <v>193</v>
      </c>
      <c r="O180" t="s">
        <v>194</v>
      </c>
      <c r="T180" t="s">
        <v>80</v>
      </c>
      <c r="U180" t="s">
        <v>55</v>
      </c>
      <c r="V180" t="s">
        <v>195</v>
      </c>
    </row>
    <row r="181" spans="1:22" hidden="1" x14ac:dyDescent="0.2">
      <c r="A181" t="s">
        <v>182</v>
      </c>
      <c r="B181" t="s">
        <v>23</v>
      </c>
      <c r="C181" t="s">
        <v>183</v>
      </c>
      <c r="D181" t="s">
        <v>184</v>
      </c>
      <c r="E181" t="s">
        <v>185</v>
      </c>
      <c r="F181" t="s">
        <v>186</v>
      </c>
      <c r="G181" t="s">
        <v>187</v>
      </c>
      <c r="H181" t="s">
        <v>188</v>
      </c>
      <c r="I181" t="s">
        <v>189</v>
      </c>
      <c r="J181" t="s">
        <v>190</v>
      </c>
      <c r="K181" t="s">
        <v>191</v>
      </c>
      <c r="L181" t="s">
        <v>192</v>
      </c>
      <c r="M181" t="s">
        <v>193</v>
      </c>
      <c r="O181" t="s">
        <v>194</v>
      </c>
      <c r="T181" t="s">
        <v>80</v>
      </c>
      <c r="U181" t="s">
        <v>157</v>
      </c>
      <c r="V181" t="s">
        <v>196</v>
      </c>
    </row>
    <row r="182" spans="1:22" hidden="1" x14ac:dyDescent="0.2">
      <c r="A182" t="s">
        <v>182</v>
      </c>
      <c r="B182" t="s">
        <v>23</v>
      </c>
      <c r="C182" t="s">
        <v>183</v>
      </c>
      <c r="D182" t="s">
        <v>184</v>
      </c>
      <c r="E182" t="s">
        <v>185</v>
      </c>
      <c r="F182" t="s">
        <v>186</v>
      </c>
      <c r="G182" t="s">
        <v>187</v>
      </c>
      <c r="H182" t="s">
        <v>188</v>
      </c>
      <c r="I182" t="s">
        <v>189</v>
      </c>
      <c r="J182" t="s">
        <v>190</v>
      </c>
      <c r="K182" t="s">
        <v>191</v>
      </c>
      <c r="L182" t="s">
        <v>192</v>
      </c>
      <c r="M182" t="s">
        <v>193</v>
      </c>
      <c r="O182" t="s">
        <v>194</v>
      </c>
      <c r="T182" t="s">
        <v>80</v>
      </c>
      <c r="U182" t="s">
        <v>53</v>
      </c>
      <c r="V182" t="s">
        <v>197</v>
      </c>
    </row>
    <row r="183" spans="1:22" hidden="1" x14ac:dyDescent="0.2">
      <c r="A183" t="s">
        <v>199</v>
      </c>
      <c r="B183" t="s">
        <v>23</v>
      </c>
      <c r="C183" t="s">
        <v>200</v>
      </c>
      <c r="D183" t="s">
        <v>25</v>
      </c>
      <c r="E183" t="s">
        <v>201</v>
      </c>
      <c r="F183" t="s">
        <v>202</v>
      </c>
      <c r="G183" t="s">
        <v>203</v>
      </c>
      <c r="H183" t="s">
        <v>204</v>
      </c>
      <c r="I183" t="s">
        <v>25</v>
      </c>
      <c r="J183" t="s">
        <v>25</v>
      </c>
      <c r="K183" t="s">
        <v>25</v>
      </c>
      <c r="L183" t="s">
        <v>205</v>
      </c>
      <c r="M183" t="s">
        <v>25</v>
      </c>
      <c r="O183" t="s">
        <v>206</v>
      </c>
      <c r="P183" t="s">
        <v>207</v>
      </c>
      <c r="Q183" t="s">
        <v>37</v>
      </c>
      <c r="R183">
        <v>5</v>
      </c>
      <c r="S183" t="s">
        <v>41</v>
      </c>
      <c r="T183" t="s">
        <v>103</v>
      </c>
      <c r="U183" t="s">
        <v>25</v>
      </c>
      <c r="V183" t="s">
        <v>25</v>
      </c>
    </row>
    <row r="184" spans="1:22" hidden="1" x14ac:dyDescent="0.2">
      <c r="A184" t="s">
        <v>199</v>
      </c>
      <c r="B184" t="s">
        <v>23</v>
      </c>
      <c r="C184" t="s">
        <v>200</v>
      </c>
      <c r="D184" t="s">
        <v>25</v>
      </c>
      <c r="E184" t="s">
        <v>201</v>
      </c>
      <c r="F184" t="s">
        <v>202</v>
      </c>
      <c r="G184" t="s">
        <v>203</v>
      </c>
      <c r="H184" t="s">
        <v>204</v>
      </c>
      <c r="I184" t="s">
        <v>25</v>
      </c>
      <c r="J184" t="s">
        <v>25</v>
      </c>
      <c r="K184" t="s">
        <v>25</v>
      </c>
      <c r="L184" t="s">
        <v>205</v>
      </c>
      <c r="M184" t="s">
        <v>25</v>
      </c>
      <c r="O184" t="s">
        <v>206</v>
      </c>
      <c r="P184" t="s">
        <v>207</v>
      </c>
      <c r="Q184" t="s">
        <v>37</v>
      </c>
      <c r="R184">
        <v>5</v>
      </c>
      <c r="S184" t="s">
        <v>41</v>
      </c>
      <c r="T184" t="s">
        <v>208</v>
      </c>
      <c r="U184" t="s">
        <v>25</v>
      </c>
      <c r="V184" t="s">
        <v>25</v>
      </c>
    </row>
    <row r="185" spans="1:22" hidden="1" x14ac:dyDescent="0.2">
      <c r="A185" t="s">
        <v>209</v>
      </c>
      <c r="B185" t="s">
        <v>23</v>
      </c>
      <c r="C185" t="s">
        <v>210</v>
      </c>
      <c r="D185" t="s">
        <v>25</v>
      </c>
      <c r="E185" t="s">
        <v>211</v>
      </c>
      <c r="F185" t="s">
        <v>212</v>
      </c>
      <c r="G185" t="s">
        <v>25</v>
      </c>
      <c r="H185" t="s">
        <v>213</v>
      </c>
      <c r="I185" t="s">
        <v>214</v>
      </c>
      <c r="J185" t="s">
        <v>215</v>
      </c>
      <c r="K185" t="s">
        <v>25</v>
      </c>
      <c r="T185" t="s">
        <v>57</v>
      </c>
    </row>
    <row r="186" spans="1:22" hidden="1" x14ac:dyDescent="0.2">
      <c r="A186" t="s">
        <v>209</v>
      </c>
      <c r="B186" t="s">
        <v>23</v>
      </c>
      <c r="C186" t="s">
        <v>210</v>
      </c>
      <c r="D186" t="s">
        <v>25</v>
      </c>
      <c r="E186" t="s">
        <v>211</v>
      </c>
      <c r="F186" t="s">
        <v>212</v>
      </c>
      <c r="G186" t="s">
        <v>25</v>
      </c>
      <c r="H186" t="s">
        <v>213</v>
      </c>
      <c r="I186" t="s">
        <v>214</v>
      </c>
      <c r="J186" t="s">
        <v>215</v>
      </c>
      <c r="K186" t="s">
        <v>25</v>
      </c>
      <c r="T186" t="s">
        <v>59</v>
      </c>
    </row>
    <row r="187" spans="1:22" hidden="1" x14ac:dyDescent="0.2">
      <c r="A187" t="s">
        <v>209</v>
      </c>
      <c r="B187" t="s">
        <v>23</v>
      </c>
      <c r="C187" t="s">
        <v>210</v>
      </c>
      <c r="D187" t="s">
        <v>25</v>
      </c>
      <c r="E187" t="s">
        <v>211</v>
      </c>
      <c r="F187" t="s">
        <v>212</v>
      </c>
      <c r="G187" t="s">
        <v>25</v>
      </c>
      <c r="H187" t="s">
        <v>213</v>
      </c>
      <c r="I187" t="s">
        <v>214</v>
      </c>
      <c r="J187" t="s">
        <v>215</v>
      </c>
      <c r="K187" t="s">
        <v>25</v>
      </c>
      <c r="T187" t="s">
        <v>60</v>
      </c>
    </row>
    <row r="188" spans="1:22" hidden="1" x14ac:dyDescent="0.2">
      <c r="A188" t="s">
        <v>209</v>
      </c>
      <c r="B188" t="s">
        <v>23</v>
      </c>
      <c r="C188" t="s">
        <v>210</v>
      </c>
      <c r="D188" t="s">
        <v>25</v>
      </c>
      <c r="E188" t="s">
        <v>211</v>
      </c>
      <c r="F188" t="s">
        <v>212</v>
      </c>
      <c r="G188" t="s">
        <v>25</v>
      </c>
      <c r="H188" t="s">
        <v>213</v>
      </c>
      <c r="I188" t="s">
        <v>214</v>
      </c>
      <c r="J188" t="s">
        <v>215</v>
      </c>
      <c r="K188" t="s">
        <v>25</v>
      </c>
      <c r="T188" t="s">
        <v>116</v>
      </c>
    </row>
    <row r="189" spans="1:22" hidden="1" x14ac:dyDescent="0.2">
      <c r="A189" t="s">
        <v>209</v>
      </c>
      <c r="B189" t="s">
        <v>23</v>
      </c>
      <c r="C189" t="s">
        <v>210</v>
      </c>
      <c r="D189" t="s">
        <v>25</v>
      </c>
      <c r="E189" t="s">
        <v>211</v>
      </c>
      <c r="F189" t="s">
        <v>212</v>
      </c>
      <c r="G189" t="s">
        <v>25</v>
      </c>
      <c r="H189" t="s">
        <v>213</v>
      </c>
      <c r="I189" t="s">
        <v>214</v>
      </c>
      <c r="J189" t="s">
        <v>215</v>
      </c>
      <c r="K189" t="s">
        <v>25</v>
      </c>
      <c r="T189" t="s">
        <v>141</v>
      </c>
    </row>
    <row r="190" spans="1:22" hidden="1" x14ac:dyDescent="0.2">
      <c r="A190" t="s">
        <v>216</v>
      </c>
      <c r="B190" t="s">
        <v>23</v>
      </c>
      <c r="C190" t="s">
        <v>217</v>
      </c>
      <c r="D190" t="s">
        <v>25</v>
      </c>
      <c r="E190" t="s">
        <v>218</v>
      </c>
      <c r="F190" t="s">
        <v>219</v>
      </c>
      <c r="G190" t="s">
        <v>220</v>
      </c>
      <c r="H190" t="s">
        <v>221</v>
      </c>
      <c r="I190" t="s">
        <v>30</v>
      </c>
      <c r="J190" t="s">
        <v>31</v>
      </c>
      <c r="K190" t="s">
        <v>222</v>
      </c>
      <c r="L190" t="s">
        <v>223</v>
      </c>
      <c r="M190" t="s">
        <v>224</v>
      </c>
      <c r="O190" t="s">
        <v>225</v>
      </c>
      <c r="P190" t="s">
        <v>226</v>
      </c>
      <c r="Q190" t="s">
        <v>176</v>
      </c>
      <c r="R190" t="s">
        <v>177</v>
      </c>
      <c r="S190" t="s">
        <v>227</v>
      </c>
      <c r="T190" t="s">
        <v>102</v>
      </c>
      <c r="U190" t="s">
        <v>53</v>
      </c>
      <c r="V190" t="s">
        <v>54</v>
      </c>
    </row>
    <row r="191" spans="1:22" hidden="1" x14ac:dyDescent="0.2">
      <c r="A191" t="s">
        <v>216</v>
      </c>
      <c r="B191" t="s">
        <v>23</v>
      </c>
      <c r="C191" t="s">
        <v>217</v>
      </c>
      <c r="D191" t="s">
        <v>25</v>
      </c>
      <c r="E191" t="s">
        <v>218</v>
      </c>
      <c r="F191" t="s">
        <v>219</v>
      </c>
      <c r="G191" t="s">
        <v>220</v>
      </c>
      <c r="H191" t="s">
        <v>221</v>
      </c>
      <c r="I191" t="s">
        <v>30</v>
      </c>
      <c r="J191" t="s">
        <v>31</v>
      </c>
      <c r="K191" t="s">
        <v>222</v>
      </c>
      <c r="L191" t="s">
        <v>223</v>
      </c>
      <c r="M191" t="s">
        <v>224</v>
      </c>
      <c r="O191" t="s">
        <v>225</v>
      </c>
      <c r="P191" t="s">
        <v>226</v>
      </c>
      <c r="Q191" t="s">
        <v>176</v>
      </c>
      <c r="R191" t="s">
        <v>177</v>
      </c>
      <c r="S191" t="s">
        <v>227</v>
      </c>
      <c r="T191" t="s">
        <v>102</v>
      </c>
      <c r="U191" t="s">
        <v>55</v>
      </c>
      <c r="V191" t="s">
        <v>56</v>
      </c>
    </row>
    <row r="192" spans="1:22" hidden="1" x14ac:dyDescent="0.2">
      <c r="A192" t="s">
        <v>216</v>
      </c>
      <c r="B192" t="s">
        <v>23</v>
      </c>
      <c r="C192" t="s">
        <v>217</v>
      </c>
      <c r="D192" t="s">
        <v>25</v>
      </c>
      <c r="E192" t="s">
        <v>218</v>
      </c>
      <c r="F192" t="s">
        <v>219</v>
      </c>
      <c r="G192" t="s">
        <v>220</v>
      </c>
      <c r="H192" t="s">
        <v>221</v>
      </c>
      <c r="I192" t="s">
        <v>30</v>
      </c>
      <c r="J192" t="s">
        <v>31</v>
      </c>
      <c r="K192" t="s">
        <v>222</v>
      </c>
      <c r="L192" t="s">
        <v>223</v>
      </c>
      <c r="M192" t="s">
        <v>224</v>
      </c>
      <c r="O192" t="s">
        <v>225</v>
      </c>
      <c r="P192" t="s">
        <v>226</v>
      </c>
      <c r="Q192" t="s">
        <v>176</v>
      </c>
      <c r="R192" t="s">
        <v>177</v>
      </c>
      <c r="S192" t="s">
        <v>227</v>
      </c>
      <c r="T192" t="s">
        <v>103</v>
      </c>
      <c r="U192" t="s">
        <v>53</v>
      </c>
      <c r="V192" t="s">
        <v>54</v>
      </c>
    </row>
    <row r="193" spans="1:22" hidden="1" x14ac:dyDescent="0.2">
      <c r="A193" t="s">
        <v>216</v>
      </c>
      <c r="B193" t="s">
        <v>23</v>
      </c>
      <c r="C193" t="s">
        <v>217</v>
      </c>
      <c r="D193" t="s">
        <v>25</v>
      </c>
      <c r="E193" t="s">
        <v>218</v>
      </c>
      <c r="F193" t="s">
        <v>219</v>
      </c>
      <c r="G193" t="s">
        <v>220</v>
      </c>
      <c r="H193" t="s">
        <v>221</v>
      </c>
      <c r="I193" t="s">
        <v>30</v>
      </c>
      <c r="J193" t="s">
        <v>31</v>
      </c>
      <c r="K193" t="s">
        <v>222</v>
      </c>
      <c r="L193" t="s">
        <v>223</v>
      </c>
      <c r="M193" t="s">
        <v>224</v>
      </c>
      <c r="O193" t="s">
        <v>225</v>
      </c>
      <c r="P193" t="s">
        <v>226</v>
      </c>
      <c r="Q193" t="s">
        <v>176</v>
      </c>
      <c r="R193" t="s">
        <v>177</v>
      </c>
      <c r="S193" t="s">
        <v>227</v>
      </c>
      <c r="T193" t="s">
        <v>103</v>
      </c>
      <c r="U193" t="s">
        <v>55</v>
      </c>
      <c r="V193" t="s">
        <v>56</v>
      </c>
    </row>
    <row r="194" spans="1:22" hidden="1" x14ac:dyDescent="0.2">
      <c r="A194" t="s">
        <v>228</v>
      </c>
      <c r="B194" t="s">
        <v>23</v>
      </c>
      <c r="C194" t="s">
        <v>229</v>
      </c>
      <c r="D194" t="s">
        <v>25</v>
      </c>
      <c r="E194" t="s">
        <v>230</v>
      </c>
      <c r="F194" t="s">
        <v>231</v>
      </c>
      <c r="G194" t="s">
        <v>25</v>
      </c>
      <c r="H194" t="s">
        <v>25</v>
      </c>
      <c r="I194" t="s">
        <v>232</v>
      </c>
      <c r="J194" t="s">
        <v>233</v>
      </c>
      <c r="K194" t="s">
        <v>234</v>
      </c>
      <c r="T194" t="s">
        <v>39</v>
      </c>
      <c r="U194" t="s">
        <v>53</v>
      </c>
      <c r="V194" t="s">
        <v>235</v>
      </c>
    </row>
    <row r="195" spans="1:22" hidden="1" x14ac:dyDescent="0.2">
      <c r="A195" t="s">
        <v>228</v>
      </c>
      <c r="B195" t="s">
        <v>23</v>
      </c>
      <c r="C195" t="s">
        <v>229</v>
      </c>
      <c r="D195" t="s">
        <v>25</v>
      </c>
      <c r="E195" t="s">
        <v>230</v>
      </c>
      <c r="F195" t="s">
        <v>231</v>
      </c>
      <c r="G195" t="s">
        <v>25</v>
      </c>
      <c r="H195" t="s">
        <v>25</v>
      </c>
      <c r="I195" t="s">
        <v>232</v>
      </c>
      <c r="J195" t="s">
        <v>233</v>
      </c>
      <c r="K195" t="s">
        <v>234</v>
      </c>
      <c r="T195" t="s">
        <v>57</v>
      </c>
      <c r="U195" t="s">
        <v>53</v>
      </c>
      <c r="V195" t="s">
        <v>235</v>
      </c>
    </row>
    <row r="196" spans="1:22" hidden="1" x14ac:dyDescent="0.2">
      <c r="A196" t="s">
        <v>228</v>
      </c>
      <c r="B196" t="s">
        <v>23</v>
      </c>
      <c r="C196" t="s">
        <v>229</v>
      </c>
      <c r="D196" t="s">
        <v>25</v>
      </c>
      <c r="E196" t="s">
        <v>230</v>
      </c>
      <c r="F196" t="s">
        <v>231</v>
      </c>
      <c r="G196" t="s">
        <v>25</v>
      </c>
      <c r="H196" t="s">
        <v>25</v>
      </c>
      <c r="I196" t="s">
        <v>232</v>
      </c>
      <c r="J196" t="s">
        <v>233</v>
      </c>
      <c r="K196" t="s">
        <v>234</v>
      </c>
      <c r="T196" t="s">
        <v>58</v>
      </c>
      <c r="U196" t="s">
        <v>53</v>
      </c>
      <c r="V196" t="s">
        <v>235</v>
      </c>
    </row>
    <row r="197" spans="1:22" hidden="1" x14ac:dyDescent="0.2">
      <c r="A197" t="s">
        <v>228</v>
      </c>
      <c r="B197" t="s">
        <v>23</v>
      </c>
      <c r="C197" t="s">
        <v>229</v>
      </c>
      <c r="D197" t="s">
        <v>25</v>
      </c>
      <c r="E197" t="s">
        <v>230</v>
      </c>
      <c r="F197" t="s">
        <v>231</v>
      </c>
      <c r="G197" t="s">
        <v>25</v>
      </c>
      <c r="H197" t="s">
        <v>25</v>
      </c>
      <c r="I197" t="s">
        <v>232</v>
      </c>
      <c r="J197" t="s">
        <v>233</v>
      </c>
      <c r="K197" t="s">
        <v>234</v>
      </c>
      <c r="T197" t="s">
        <v>59</v>
      </c>
      <c r="U197" t="s">
        <v>53</v>
      </c>
      <c r="V197" t="s">
        <v>235</v>
      </c>
    </row>
    <row r="198" spans="1:22" hidden="1" x14ac:dyDescent="0.2">
      <c r="A198" t="s">
        <v>228</v>
      </c>
      <c r="B198" t="s">
        <v>23</v>
      </c>
      <c r="C198" t="s">
        <v>229</v>
      </c>
      <c r="D198" t="s">
        <v>25</v>
      </c>
      <c r="E198" t="s">
        <v>230</v>
      </c>
      <c r="F198" t="s">
        <v>231</v>
      </c>
      <c r="G198" t="s">
        <v>25</v>
      </c>
      <c r="H198" t="s">
        <v>25</v>
      </c>
      <c r="I198" t="s">
        <v>232</v>
      </c>
      <c r="J198" t="s">
        <v>233</v>
      </c>
      <c r="K198" t="s">
        <v>234</v>
      </c>
      <c r="T198" t="s">
        <v>60</v>
      </c>
      <c r="U198" t="s">
        <v>53</v>
      </c>
      <c r="V198" t="s">
        <v>235</v>
      </c>
    </row>
    <row r="199" spans="1:22" hidden="1" x14ac:dyDescent="0.2">
      <c r="A199" t="s">
        <v>228</v>
      </c>
      <c r="B199" t="s">
        <v>23</v>
      </c>
      <c r="C199" t="s">
        <v>229</v>
      </c>
      <c r="D199" t="s">
        <v>25</v>
      </c>
      <c r="E199" t="s">
        <v>230</v>
      </c>
      <c r="F199" t="s">
        <v>231</v>
      </c>
      <c r="G199" t="s">
        <v>25</v>
      </c>
      <c r="H199" t="s">
        <v>25</v>
      </c>
      <c r="I199" t="s">
        <v>232</v>
      </c>
      <c r="J199" t="s">
        <v>233</v>
      </c>
      <c r="K199" t="s">
        <v>234</v>
      </c>
      <c r="T199" t="s">
        <v>236</v>
      </c>
      <c r="U199" t="s">
        <v>53</v>
      </c>
      <c r="V199" t="s">
        <v>235</v>
      </c>
    </row>
    <row r="200" spans="1:22" hidden="1" x14ac:dyDescent="0.2">
      <c r="A200" t="s">
        <v>237</v>
      </c>
      <c r="B200" t="s">
        <v>23</v>
      </c>
      <c r="C200" t="s">
        <v>115</v>
      </c>
      <c r="D200" t="s">
        <v>238</v>
      </c>
      <c r="E200" t="s">
        <v>239</v>
      </c>
      <c r="F200" t="s">
        <v>240</v>
      </c>
      <c r="G200" t="s">
        <v>25</v>
      </c>
      <c r="H200" t="s">
        <v>241</v>
      </c>
      <c r="I200" t="s">
        <v>242</v>
      </c>
      <c r="J200" t="s">
        <v>243</v>
      </c>
      <c r="K200" t="s">
        <v>244</v>
      </c>
      <c r="T200" t="s">
        <v>57</v>
      </c>
      <c r="U200" t="s">
        <v>53</v>
      </c>
      <c r="V200" t="s">
        <v>105</v>
      </c>
    </row>
    <row r="201" spans="1:22" hidden="1" x14ac:dyDescent="0.2">
      <c r="A201" t="s">
        <v>237</v>
      </c>
      <c r="B201" t="s">
        <v>23</v>
      </c>
      <c r="C201" t="s">
        <v>115</v>
      </c>
      <c r="D201" t="s">
        <v>238</v>
      </c>
      <c r="E201" t="s">
        <v>239</v>
      </c>
      <c r="F201" t="s">
        <v>240</v>
      </c>
      <c r="G201" t="s">
        <v>25</v>
      </c>
      <c r="H201" t="s">
        <v>241</v>
      </c>
      <c r="I201" t="s">
        <v>242</v>
      </c>
      <c r="J201" t="s">
        <v>243</v>
      </c>
      <c r="K201" t="s">
        <v>244</v>
      </c>
      <c r="T201" t="s">
        <v>57</v>
      </c>
      <c r="U201" t="s">
        <v>53</v>
      </c>
      <c r="V201" t="s">
        <v>245</v>
      </c>
    </row>
    <row r="202" spans="1:22" hidden="1" x14ac:dyDescent="0.2">
      <c r="A202" t="s">
        <v>237</v>
      </c>
      <c r="B202" t="s">
        <v>23</v>
      </c>
      <c r="C202" t="s">
        <v>115</v>
      </c>
      <c r="D202" t="s">
        <v>238</v>
      </c>
      <c r="E202" t="s">
        <v>239</v>
      </c>
      <c r="F202" t="s">
        <v>240</v>
      </c>
      <c r="G202" t="s">
        <v>25</v>
      </c>
      <c r="H202" t="s">
        <v>241</v>
      </c>
      <c r="I202" t="s">
        <v>242</v>
      </c>
      <c r="J202" t="s">
        <v>243</v>
      </c>
      <c r="K202" t="s">
        <v>244</v>
      </c>
      <c r="T202" t="s">
        <v>39</v>
      </c>
      <c r="U202" t="s">
        <v>53</v>
      </c>
      <c r="V202" t="s">
        <v>105</v>
      </c>
    </row>
    <row r="203" spans="1:22" hidden="1" x14ac:dyDescent="0.2">
      <c r="A203" t="s">
        <v>237</v>
      </c>
      <c r="B203" t="s">
        <v>23</v>
      </c>
      <c r="C203" t="s">
        <v>115</v>
      </c>
      <c r="D203" t="s">
        <v>238</v>
      </c>
      <c r="E203" t="s">
        <v>239</v>
      </c>
      <c r="F203" t="s">
        <v>240</v>
      </c>
      <c r="G203" t="s">
        <v>25</v>
      </c>
      <c r="H203" t="s">
        <v>241</v>
      </c>
      <c r="I203" t="s">
        <v>242</v>
      </c>
      <c r="J203" t="s">
        <v>243</v>
      </c>
      <c r="K203" t="s">
        <v>244</v>
      </c>
      <c r="T203" t="s">
        <v>39</v>
      </c>
      <c r="U203" t="s">
        <v>53</v>
      </c>
      <c r="V203" t="s">
        <v>245</v>
      </c>
    </row>
    <row r="204" spans="1:22" hidden="1" x14ac:dyDescent="0.2">
      <c r="A204" t="s">
        <v>237</v>
      </c>
      <c r="B204" t="s">
        <v>23</v>
      </c>
      <c r="C204" t="s">
        <v>115</v>
      </c>
      <c r="D204" t="s">
        <v>238</v>
      </c>
      <c r="E204" t="s">
        <v>239</v>
      </c>
      <c r="F204" t="s">
        <v>240</v>
      </c>
      <c r="G204" t="s">
        <v>25</v>
      </c>
      <c r="H204" t="s">
        <v>241</v>
      </c>
      <c r="I204" t="s">
        <v>242</v>
      </c>
      <c r="J204" t="s">
        <v>243</v>
      </c>
      <c r="K204" t="s">
        <v>244</v>
      </c>
      <c r="T204" t="s">
        <v>58</v>
      </c>
      <c r="U204" t="s">
        <v>53</v>
      </c>
      <c r="V204" t="s">
        <v>105</v>
      </c>
    </row>
    <row r="205" spans="1:22" hidden="1" x14ac:dyDescent="0.2">
      <c r="A205" t="s">
        <v>237</v>
      </c>
      <c r="B205" t="s">
        <v>23</v>
      </c>
      <c r="C205" t="s">
        <v>115</v>
      </c>
      <c r="D205" t="s">
        <v>238</v>
      </c>
      <c r="E205" t="s">
        <v>239</v>
      </c>
      <c r="F205" t="s">
        <v>240</v>
      </c>
      <c r="G205" t="s">
        <v>25</v>
      </c>
      <c r="H205" t="s">
        <v>241</v>
      </c>
      <c r="I205" t="s">
        <v>242</v>
      </c>
      <c r="J205" t="s">
        <v>243</v>
      </c>
      <c r="K205" t="s">
        <v>244</v>
      </c>
      <c r="T205" t="s">
        <v>58</v>
      </c>
      <c r="U205" t="s">
        <v>53</v>
      </c>
      <c r="V205" t="s">
        <v>245</v>
      </c>
    </row>
    <row r="206" spans="1:22" hidden="1" x14ac:dyDescent="0.2">
      <c r="A206" t="s">
        <v>237</v>
      </c>
      <c r="B206" t="s">
        <v>23</v>
      </c>
      <c r="C206" t="s">
        <v>115</v>
      </c>
      <c r="D206" t="s">
        <v>238</v>
      </c>
      <c r="E206" t="s">
        <v>239</v>
      </c>
      <c r="F206" t="s">
        <v>240</v>
      </c>
      <c r="G206" t="s">
        <v>25</v>
      </c>
      <c r="H206" t="s">
        <v>241</v>
      </c>
      <c r="I206" t="s">
        <v>242</v>
      </c>
      <c r="J206" t="s">
        <v>243</v>
      </c>
      <c r="K206" t="s">
        <v>244</v>
      </c>
      <c r="T206" t="s">
        <v>59</v>
      </c>
      <c r="U206" t="s">
        <v>53</v>
      </c>
      <c r="V206" t="s">
        <v>105</v>
      </c>
    </row>
    <row r="207" spans="1:22" hidden="1" x14ac:dyDescent="0.2">
      <c r="A207" t="s">
        <v>237</v>
      </c>
      <c r="B207" t="s">
        <v>23</v>
      </c>
      <c r="C207" t="s">
        <v>115</v>
      </c>
      <c r="D207" t="s">
        <v>238</v>
      </c>
      <c r="E207" t="s">
        <v>239</v>
      </c>
      <c r="F207" t="s">
        <v>240</v>
      </c>
      <c r="G207" t="s">
        <v>25</v>
      </c>
      <c r="H207" t="s">
        <v>241</v>
      </c>
      <c r="I207" t="s">
        <v>242</v>
      </c>
      <c r="J207" t="s">
        <v>243</v>
      </c>
      <c r="K207" t="s">
        <v>244</v>
      </c>
      <c r="T207" t="s">
        <v>59</v>
      </c>
      <c r="U207" t="s">
        <v>53</v>
      </c>
      <c r="V207" t="s">
        <v>245</v>
      </c>
    </row>
    <row r="208" spans="1:22" hidden="1" x14ac:dyDescent="0.2">
      <c r="A208" t="s">
        <v>237</v>
      </c>
      <c r="B208" t="s">
        <v>23</v>
      </c>
      <c r="C208" t="s">
        <v>115</v>
      </c>
      <c r="D208" t="s">
        <v>238</v>
      </c>
      <c r="E208" t="s">
        <v>239</v>
      </c>
      <c r="F208" t="s">
        <v>240</v>
      </c>
      <c r="G208" t="s">
        <v>25</v>
      </c>
      <c r="H208" t="s">
        <v>241</v>
      </c>
      <c r="I208" t="s">
        <v>242</v>
      </c>
      <c r="J208" t="s">
        <v>243</v>
      </c>
      <c r="K208" t="s">
        <v>244</v>
      </c>
      <c r="T208" t="s">
        <v>60</v>
      </c>
      <c r="U208" t="s">
        <v>53</v>
      </c>
      <c r="V208" t="s">
        <v>105</v>
      </c>
    </row>
    <row r="209" spans="1:22" hidden="1" x14ac:dyDescent="0.2">
      <c r="A209" t="s">
        <v>237</v>
      </c>
      <c r="B209" t="s">
        <v>23</v>
      </c>
      <c r="C209" t="s">
        <v>115</v>
      </c>
      <c r="D209" t="s">
        <v>238</v>
      </c>
      <c r="E209" t="s">
        <v>239</v>
      </c>
      <c r="F209" t="s">
        <v>240</v>
      </c>
      <c r="G209" t="s">
        <v>25</v>
      </c>
      <c r="H209" t="s">
        <v>241</v>
      </c>
      <c r="I209" t="s">
        <v>242</v>
      </c>
      <c r="J209" t="s">
        <v>243</v>
      </c>
      <c r="K209" t="s">
        <v>244</v>
      </c>
      <c r="T209" t="s">
        <v>60</v>
      </c>
      <c r="U209" t="s">
        <v>53</v>
      </c>
      <c r="V209" t="s">
        <v>245</v>
      </c>
    </row>
    <row r="210" spans="1:22" hidden="1" x14ac:dyDescent="0.2">
      <c r="A210" t="s">
        <v>237</v>
      </c>
      <c r="B210" t="s">
        <v>23</v>
      </c>
      <c r="C210" t="s">
        <v>115</v>
      </c>
      <c r="D210" t="s">
        <v>238</v>
      </c>
      <c r="E210" t="s">
        <v>239</v>
      </c>
      <c r="F210" t="s">
        <v>240</v>
      </c>
      <c r="G210" t="s">
        <v>25</v>
      </c>
      <c r="H210" t="s">
        <v>241</v>
      </c>
      <c r="I210" t="s">
        <v>242</v>
      </c>
      <c r="J210" t="s">
        <v>243</v>
      </c>
      <c r="K210" t="s">
        <v>244</v>
      </c>
      <c r="T210" t="s">
        <v>131</v>
      </c>
      <c r="U210" t="s">
        <v>53</v>
      </c>
      <c r="V210" t="s">
        <v>105</v>
      </c>
    </row>
    <row r="211" spans="1:22" hidden="1" x14ac:dyDescent="0.2">
      <c r="A211" t="s">
        <v>237</v>
      </c>
      <c r="B211" t="s">
        <v>23</v>
      </c>
      <c r="C211" t="s">
        <v>115</v>
      </c>
      <c r="D211" t="s">
        <v>238</v>
      </c>
      <c r="E211" t="s">
        <v>239</v>
      </c>
      <c r="F211" t="s">
        <v>240</v>
      </c>
      <c r="G211" t="s">
        <v>25</v>
      </c>
      <c r="H211" t="s">
        <v>241</v>
      </c>
      <c r="I211" t="s">
        <v>242</v>
      </c>
      <c r="J211" t="s">
        <v>243</v>
      </c>
      <c r="K211" t="s">
        <v>244</v>
      </c>
      <c r="T211" t="s">
        <v>131</v>
      </c>
      <c r="U211" t="s">
        <v>53</v>
      </c>
      <c r="V211" t="s">
        <v>245</v>
      </c>
    </row>
    <row r="212" spans="1:22" hidden="1" x14ac:dyDescent="0.2">
      <c r="A212" t="s">
        <v>237</v>
      </c>
      <c r="B212" t="s">
        <v>23</v>
      </c>
      <c r="C212" t="s">
        <v>115</v>
      </c>
      <c r="D212" t="s">
        <v>246</v>
      </c>
      <c r="E212" t="s">
        <v>239</v>
      </c>
      <c r="F212" t="s">
        <v>240</v>
      </c>
      <c r="G212" t="s">
        <v>25</v>
      </c>
      <c r="H212" t="s">
        <v>241</v>
      </c>
      <c r="I212" t="s">
        <v>242</v>
      </c>
      <c r="J212" t="s">
        <v>243</v>
      </c>
      <c r="K212" t="s">
        <v>244</v>
      </c>
      <c r="T212" t="s">
        <v>57</v>
      </c>
      <c r="U212" t="s">
        <v>53</v>
      </c>
      <c r="V212" t="s">
        <v>105</v>
      </c>
    </row>
    <row r="213" spans="1:22" hidden="1" x14ac:dyDescent="0.2">
      <c r="A213" t="s">
        <v>237</v>
      </c>
      <c r="B213" t="s">
        <v>23</v>
      </c>
      <c r="C213" t="s">
        <v>115</v>
      </c>
      <c r="D213" t="s">
        <v>246</v>
      </c>
      <c r="E213" t="s">
        <v>239</v>
      </c>
      <c r="F213" t="s">
        <v>240</v>
      </c>
      <c r="G213" t="s">
        <v>25</v>
      </c>
      <c r="H213" t="s">
        <v>241</v>
      </c>
      <c r="I213" t="s">
        <v>242</v>
      </c>
      <c r="J213" t="s">
        <v>243</v>
      </c>
      <c r="K213" t="s">
        <v>244</v>
      </c>
      <c r="T213" t="s">
        <v>57</v>
      </c>
      <c r="U213" t="s">
        <v>53</v>
      </c>
      <c r="V213" t="s">
        <v>245</v>
      </c>
    </row>
    <row r="214" spans="1:22" hidden="1" x14ac:dyDescent="0.2">
      <c r="A214" t="s">
        <v>237</v>
      </c>
      <c r="B214" t="s">
        <v>23</v>
      </c>
      <c r="C214" t="s">
        <v>115</v>
      </c>
      <c r="D214" t="s">
        <v>246</v>
      </c>
      <c r="E214" t="s">
        <v>239</v>
      </c>
      <c r="F214" t="s">
        <v>240</v>
      </c>
      <c r="G214" t="s">
        <v>25</v>
      </c>
      <c r="H214" t="s">
        <v>241</v>
      </c>
      <c r="I214" t="s">
        <v>242</v>
      </c>
      <c r="J214" t="s">
        <v>243</v>
      </c>
      <c r="K214" t="s">
        <v>244</v>
      </c>
      <c r="T214" t="s">
        <v>39</v>
      </c>
      <c r="U214" t="s">
        <v>53</v>
      </c>
      <c r="V214" t="s">
        <v>105</v>
      </c>
    </row>
    <row r="215" spans="1:22" hidden="1" x14ac:dyDescent="0.2">
      <c r="A215" t="s">
        <v>237</v>
      </c>
      <c r="B215" t="s">
        <v>23</v>
      </c>
      <c r="C215" t="s">
        <v>115</v>
      </c>
      <c r="D215" t="s">
        <v>246</v>
      </c>
      <c r="E215" t="s">
        <v>239</v>
      </c>
      <c r="F215" t="s">
        <v>240</v>
      </c>
      <c r="G215" t="s">
        <v>25</v>
      </c>
      <c r="H215" t="s">
        <v>241</v>
      </c>
      <c r="I215" t="s">
        <v>242</v>
      </c>
      <c r="J215" t="s">
        <v>243</v>
      </c>
      <c r="K215" t="s">
        <v>244</v>
      </c>
      <c r="T215" t="s">
        <v>39</v>
      </c>
      <c r="U215" t="s">
        <v>53</v>
      </c>
      <c r="V215" t="s">
        <v>245</v>
      </c>
    </row>
    <row r="216" spans="1:22" hidden="1" x14ac:dyDescent="0.2">
      <c r="A216" t="s">
        <v>237</v>
      </c>
      <c r="B216" t="s">
        <v>23</v>
      </c>
      <c r="C216" t="s">
        <v>115</v>
      </c>
      <c r="D216" t="s">
        <v>246</v>
      </c>
      <c r="E216" t="s">
        <v>239</v>
      </c>
      <c r="F216" t="s">
        <v>240</v>
      </c>
      <c r="G216" t="s">
        <v>25</v>
      </c>
      <c r="H216" t="s">
        <v>241</v>
      </c>
      <c r="I216" t="s">
        <v>242</v>
      </c>
      <c r="J216" t="s">
        <v>243</v>
      </c>
      <c r="K216" t="s">
        <v>244</v>
      </c>
      <c r="T216" t="s">
        <v>58</v>
      </c>
      <c r="U216" t="s">
        <v>53</v>
      </c>
      <c r="V216" t="s">
        <v>105</v>
      </c>
    </row>
    <row r="217" spans="1:22" hidden="1" x14ac:dyDescent="0.2">
      <c r="A217" t="s">
        <v>237</v>
      </c>
      <c r="B217" t="s">
        <v>23</v>
      </c>
      <c r="C217" t="s">
        <v>115</v>
      </c>
      <c r="D217" t="s">
        <v>246</v>
      </c>
      <c r="E217" t="s">
        <v>239</v>
      </c>
      <c r="F217" t="s">
        <v>240</v>
      </c>
      <c r="G217" t="s">
        <v>25</v>
      </c>
      <c r="H217" t="s">
        <v>241</v>
      </c>
      <c r="I217" t="s">
        <v>242</v>
      </c>
      <c r="J217" t="s">
        <v>243</v>
      </c>
      <c r="K217" t="s">
        <v>244</v>
      </c>
      <c r="T217" t="s">
        <v>58</v>
      </c>
      <c r="U217" t="s">
        <v>53</v>
      </c>
      <c r="V217" t="s">
        <v>245</v>
      </c>
    </row>
    <row r="218" spans="1:22" hidden="1" x14ac:dyDescent="0.2">
      <c r="A218" t="s">
        <v>237</v>
      </c>
      <c r="B218" t="s">
        <v>23</v>
      </c>
      <c r="C218" t="s">
        <v>115</v>
      </c>
      <c r="D218" t="s">
        <v>246</v>
      </c>
      <c r="E218" t="s">
        <v>239</v>
      </c>
      <c r="F218" t="s">
        <v>240</v>
      </c>
      <c r="G218" t="s">
        <v>25</v>
      </c>
      <c r="H218" t="s">
        <v>241</v>
      </c>
      <c r="I218" t="s">
        <v>242</v>
      </c>
      <c r="J218" t="s">
        <v>243</v>
      </c>
      <c r="K218" t="s">
        <v>244</v>
      </c>
      <c r="T218" t="s">
        <v>59</v>
      </c>
      <c r="U218" t="s">
        <v>53</v>
      </c>
      <c r="V218" t="s">
        <v>105</v>
      </c>
    </row>
    <row r="219" spans="1:22" hidden="1" x14ac:dyDescent="0.2">
      <c r="A219" t="s">
        <v>237</v>
      </c>
      <c r="B219" t="s">
        <v>23</v>
      </c>
      <c r="C219" t="s">
        <v>115</v>
      </c>
      <c r="D219" t="s">
        <v>246</v>
      </c>
      <c r="E219" t="s">
        <v>239</v>
      </c>
      <c r="F219" t="s">
        <v>240</v>
      </c>
      <c r="G219" t="s">
        <v>25</v>
      </c>
      <c r="H219" t="s">
        <v>241</v>
      </c>
      <c r="I219" t="s">
        <v>242</v>
      </c>
      <c r="J219" t="s">
        <v>243</v>
      </c>
      <c r="K219" t="s">
        <v>244</v>
      </c>
      <c r="T219" t="s">
        <v>59</v>
      </c>
      <c r="U219" t="s">
        <v>53</v>
      </c>
      <c r="V219" t="s">
        <v>245</v>
      </c>
    </row>
    <row r="220" spans="1:22" hidden="1" x14ac:dyDescent="0.2">
      <c r="A220" t="s">
        <v>237</v>
      </c>
      <c r="B220" t="s">
        <v>23</v>
      </c>
      <c r="C220" t="s">
        <v>115</v>
      </c>
      <c r="D220" t="s">
        <v>246</v>
      </c>
      <c r="E220" t="s">
        <v>239</v>
      </c>
      <c r="F220" t="s">
        <v>240</v>
      </c>
      <c r="G220" t="s">
        <v>25</v>
      </c>
      <c r="H220" t="s">
        <v>241</v>
      </c>
      <c r="I220" t="s">
        <v>242</v>
      </c>
      <c r="J220" t="s">
        <v>243</v>
      </c>
      <c r="K220" t="s">
        <v>244</v>
      </c>
      <c r="T220" t="s">
        <v>60</v>
      </c>
      <c r="U220" t="s">
        <v>53</v>
      </c>
      <c r="V220" t="s">
        <v>105</v>
      </c>
    </row>
    <row r="221" spans="1:22" hidden="1" x14ac:dyDescent="0.2">
      <c r="A221" t="s">
        <v>237</v>
      </c>
      <c r="B221" t="s">
        <v>23</v>
      </c>
      <c r="C221" t="s">
        <v>115</v>
      </c>
      <c r="D221" t="s">
        <v>246</v>
      </c>
      <c r="E221" t="s">
        <v>239</v>
      </c>
      <c r="F221" t="s">
        <v>240</v>
      </c>
      <c r="G221" t="s">
        <v>25</v>
      </c>
      <c r="H221" t="s">
        <v>241</v>
      </c>
      <c r="I221" t="s">
        <v>242</v>
      </c>
      <c r="J221" t="s">
        <v>243</v>
      </c>
      <c r="K221" t="s">
        <v>244</v>
      </c>
      <c r="T221" t="s">
        <v>60</v>
      </c>
      <c r="U221" t="s">
        <v>53</v>
      </c>
      <c r="V221" t="s">
        <v>245</v>
      </c>
    </row>
    <row r="222" spans="1:22" hidden="1" x14ac:dyDescent="0.2">
      <c r="A222" t="s">
        <v>237</v>
      </c>
      <c r="B222" t="s">
        <v>23</v>
      </c>
      <c r="C222" t="s">
        <v>115</v>
      </c>
      <c r="D222" t="s">
        <v>246</v>
      </c>
      <c r="E222" t="s">
        <v>239</v>
      </c>
      <c r="F222" t="s">
        <v>240</v>
      </c>
      <c r="G222" t="s">
        <v>25</v>
      </c>
      <c r="H222" t="s">
        <v>241</v>
      </c>
      <c r="I222" t="s">
        <v>242</v>
      </c>
      <c r="J222" t="s">
        <v>243</v>
      </c>
      <c r="K222" t="s">
        <v>244</v>
      </c>
      <c r="T222" t="s">
        <v>131</v>
      </c>
      <c r="U222" t="s">
        <v>53</v>
      </c>
      <c r="V222" t="s">
        <v>105</v>
      </c>
    </row>
    <row r="223" spans="1:22" hidden="1" x14ac:dyDescent="0.2">
      <c r="A223" t="s">
        <v>237</v>
      </c>
      <c r="B223" t="s">
        <v>23</v>
      </c>
      <c r="C223" t="s">
        <v>115</v>
      </c>
      <c r="D223" t="s">
        <v>246</v>
      </c>
      <c r="E223" t="s">
        <v>239</v>
      </c>
      <c r="F223" t="s">
        <v>240</v>
      </c>
      <c r="G223" t="s">
        <v>25</v>
      </c>
      <c r="H223" t="s">
        <v>241</v>
      </c>
      <c r="I223" t="s">
        <v>242</v>
      </c>
      <c r="J223" t="s">
        <v>243</v>
      </c>
      <c r="K223" t="s">
        <v>244</v>
      </c>
      <c r="T223" t="s">
        <v>131</v>
      </c>
      <c r="U223" t="s">
        <v>53</v>
      </c>
      <c r="V223" t="s">
        <v>245</v>
      </c>
    </row>
    <row r="224" spans="1:22" hidden="1" x14ac:dyDescent="0.2">
      <c r="A224" t="s">
        <v>247</v>
      </c>
      <c r="B224" t="s">
        <v>23</v>
      </c>
      <c r="C224" t="s">
        <v>196</v>
      </c>
      <c r="D224" t="s">
        <v>25</v>
      </c>
      <c r="E224" t="s">
        <v>248</v>
      </c>
      <c r="F224" t="s">
        <v>249</v>
      </c>
      <c r="G224" t="s">
        <v>250</v>
      </c>
      <c r="H224" t="s">
        <v>251</v>
      </c>
      <c r="I224" t="s">
        <v>252</v>
      </c>
      <c r="J224" t="s">
        <v>253</v>
      </c>
      <c r="K224" t="s">
        <v>25</v>
      </c>
      <c r="L224" t="s">
        <v>254</v>
      </c>
      <c r="M224" t="s">
        <v>255</v>
      </c>
      <c r="O224" t="s">
        <v>256</v>
      </c>
      <c r="T224" t="s">
        <v>57</v>
      </c>
      <c r="U224" t="s">
        <v>55</v>
      </c>
      <c r="V224" t="s">
        <v>183</v>
      </c>
    </row>
    <row r="225" spans="1:22" hidden="1" x14ac:dyDescent="0.2">
      <c r="A225" t="s">
        <v>247</v>
      </c>
      <c r="B225" t="s">
        <v>23</v>
      </c>
      <c r="C225" t="s">
        <v>196</v>
      </c>
      <c r="D225" t="s">
        <v>25</v>
      </c>
      <c r="E225" t="s">
        <v>248</v>
      </c>
      <c r="F225" t="s">
        <v>249</v>
      </c>
      <c r="G225" t="s">
        <v>250</v>
      </c>
      <c r="H225" t="s">
        <v>251</v>
      </c>
      <c r="I225" t="s">
        <v>252</v>
      </c>
      <c r="J225" t="s">
        <v>253</v>
      </c>
      <c r="K225" t="s">
        <v>25</v>
      </c>
      <c r="L225" t="s">
        <v>254</v>
      </c>
      <c r="M225" t="s">
        <v>255</v>
      </c>
      <c r="O225" t="s">
        <v>256</v>
      </c>
      <c r="T225" t="s">
        <v>57</v>
      </c>
      <c r="U225" t="s">
        <v>55</v>
      </c>
      <c r="V225" t="s">
        <v>257</v>
      </c>
    </row>
    <row r="226" spans="1:22" hidden="1" x14ac:dyDescent="0.2">
      <c r="A226" t="s">
        <v>247</v>
      </c>
      <c r="B226" t="s">
        <v>23</v>
      </c>
      <c r="C226" t="s">
        <v>196</v>
      </c>
      <c r="D226" t="s">
        <v>25</v>
      </c>
      <c r="E226" t="s">
        <v>248</v>
      </c>
      <c r="F226" t="s">
        <v>249</v>
      </c>
      <c r="G226" t="s">
        <v>250</v>
      </c>
      <c r="H226" t="s">
        <v>251</v>
      </c>
      <c r="I226" t="s">
        <v>252</v>
      </c>
      <c r="J226" t="s">
        <v>253</v>
      </c>
      <c r="K226" t="s">
        <v>25</v>
      </c>
      <c r="L226" t="s">
        <v>254</v>
      </c>
      <c r="M226" t="s">
        <v>255</v>
      </c>
      <c r="O226" t="s">
        <v>256</v>
      </c>
      <c r="T226" t="s">
        <v>57</v>
      </c>
      <c r="U226" t="s">
        <v>53</v>
      </c>
      <c r="V226" t="s">
        <v>56</v>
      </c>
    </row>
    <row r="227" spans="1:22" hidden="1" x14ac:dyDescent="0.2">
      <c r="A227" t="s">
        <v>247</v>
      </c>
      <c r="B227" t="s">
        <v>23</v>
      </c>
      <c r="C227" t="s">
        <v>196</v>
      </c>
      <c r="D227" t="s">
        <v>25</v>
      </c>
      <c r="E227" t="s">
        <v>248</v>
      </c>
      <c r="F227" t="s">
        <v>249</v>
      </c>
      <c r="G227" t="s">
        <v>250</v>
      </c>
      <c r="H227" t="s">
        <v>251</v>
      </c>
      <c r="I227" t="s">
        <v>252</v>
      </c>
      <c r="J227" t="s">
        <v>253</v>
      </c>
      <c r="K227" t="s">
        <v>25</v>
      </c>
      <c r="L227" t="s">
        <v>254</v>
      </c>
      <c r="M227" t="s">
        <v>255</v>
      </c>
      <c r="O227" t="s">
        <v>256</v>
      </c>
      <c r="T227" t="s">
        <v>58</v>
      </c>
      <c r="U227" t="s">
        <v>55</v>
      </c>
      <c r="V227" t="s">
        <v>183</v>
      </c>
    </row>
    <row r="228" spans="1:22" hidden="1" x14ac:dyDescent="0.2">
      <c r="A228" t="s">
        <v>247</v>
      </c>
      <c r="B228" t="s">
        <v>23</v>
      </c>
      <c r="C228" t="s">
        <v>196</v>
      </c>
      <c r="D228" t="s">
        <v>25</v>
      </c>
      <c r="E228" t="s">
        <v>248</v>
      </c>
      <c r="F228" t="s">
        <v>249</v>
      </c>
      <c r="G228" t="s">
        <v>250</v>
      </c>
      <c r="H228" t="s">
        <v>251</v>
      </c>
      <c r="I228" t="s">
        <v>252</v>
      </c>
      <c r="J228" t="s">
        <v>253</v>
      </c>
      <c r="K228" t="s">
        <v>25</v>
      </c>
      <c r="L228" t="s">
        <v>254</v>
      </c>
      <c r="M228" t="s">
        <v>255</v>
      </c>
      <c r="O228" t="s">
        <v>256</v>
      </c>
      <c r="T228" t="s">
        <v>58</v>
      </c>
      <c r="U228" t="s">
        <v>55</v>
      </c>
      <c r="V228" t="s">
        <v>257</v>
      </c>
    </row>
    <row r="229" spans="1:22" hidden="1" x14ac:dyDescent="0.2">
      <c r="A229" t="s">
        <v>247</v>
      </c>
      <c r="B229" t="s">
        <v>23</v>
      </c>
      <c r="C229" t="s">
        <v>196</v>
      </c>
      <c r="D229" t="s">
        <v>25</v>
      </c>
      <c r="E229" t="s">
        <v>248</v>
      </c>
      <c r="F229" t="s">
        <v>249</v>
      </c>
      <c r="G229" t="s">
        <v>250</v>
      </c>
      <c r="H229" t="s">
        <v>251</v>
      </c>
      <c r="I229" t="s">
        <v>252</v>
      </c>
      <c r="J229" t="s">
        <v>253</v>
      </c>
      <c r="K229" t="s">
        <v>25</v>
      </c>
      <c r="L229" t="s">
        <v>254</v>
      </c>
      <c r="M229" t="s">
        <v>255</v>
      </c>
      <c r="O229" t="s">
        <v>256</v>
      </c>
      <c r="T229" t="s">
        <v>58</v>
      </c>
      <c r="U229" t="s">
        <v>53</v>
      </c>
      <c r="V229" t="s">
        <v>56</v>
      </c>
    </row>
    <row r="230" spans="1:22" hidden="1" x14ac:dyDescent="0.2">
      <c r="A230" t="s">
        <v>247</v>
      </c>
      <c r="B230" t="s">
        <v>23</v>
      </c>
      <c r="C230" t="s">
        <v>196</v>
      </c>
      <c r="D230" t="s">
        <v>25</v>
      </c>
      <c r="E230" t="s">
        <v>248</v>
      </c>
      <c r="F230" t="s">
        <v>249</v>
      </c>
      <c r="G230" t="s">
        <v>250</v>
      </c>
      <c r="H230" t="s">
        <v>251</v>
      </c>
      <c r="I230" t="s">
        <v>252</v>
      </c>
      <c r="J230" t="s">
        <v>253</v>
      </c>
      <c r="K230" t="s">
        <v>25</v>
      </c>
      <c r="L230" t="s">
        <v>254</v>
      </c>
      <c r="M230" t="s">
        <v>255</v>
      </c>
      <c r="O230" t="s">
        <v>256</v>
      </c>
      <c r="T230" t="s">
        <v>59</v>
      </c>
      <c r="U230" t="s">
        <v>55</v>
      </c>
      <c r="V230" t="s">
        <v>183</v>
      </c>
    </row>
    <row r="231" spans="1:22" hidden="1" x14ac:dyDescent="0.2">
      <c r="A231" t="s">
        <v>247</v>
      </c>
      <c r="B231" t="s">
        <v>23</v>
      </c>
      <c r="C231" t="s">
        <v>196</v>
      </c>
      <c r="D231" t="s">
        <v>25</v>
      </c>
      <c r="E231" t="s">
        <v>248</v>
      </c>
      <c r="F231" t="s">
        <v>249</v>
      </c>
      <c r="G231" t="s">
        <v>250</v>
      </c>
      <c r="H231" t="s">
        <v>251</v>
      </c>
      <c r="I231" t="s">
        <v>252</v>
      </c>
      <c r="J231" t="s">
        <v>253</v>
      </c>
      <c r="K231" t="s">
        <v>25</v>
      </c>
      <c r="L231" t="s">
        <v>254</v>
      </c>
      <c r="M231" t="s">
        <v>255</v>
      </c>
      <c r="O231" t="s">
        <v>256</v>
      </c>
      <c r="T231" t="s">
        <v>59</v>
      </c>
      <c r="U231" t="s">
        <v>55</v>
      </c>
      <c r="V231" t="s">
        <v>257</v>
      </c>
    </row>
    <row r="232" spans="1:22" hidden="1" x14ac:dyDescent="0.2">
      <c r="A232" t="s">
        <v>247</v>
      </c>
      <c r="B232" t="s">
        <v>23</v>
      </c>
      <c r="C232" t="s">
        <v>196</v>
      </c>
      <c r="D232" t="s">
        <v>25</v>
      </c>
      <c r="E232" t="s">
        <v>248</v>
      </c>
      <c r="F232" t="s">
        <v>249</v>
      </c>
      <c r="G232" t="s">
        <v>250</v>
      </c>
      <c r="H232" t="s">
        <v>251</v>
      </c>
      <c r="I232" t="s">
        <v>252</v>
      </c>
      <c r="J232" t="s">
        <v>253</v>
      </c>
      <c r="K232" t="s">
        <v>25</v>
      </c>
      <c r="L232" t="s">
        <v>254</v>
      </c>
      <c r="M232" t="s">
        <v>255</v>
      </c>
      <c r="O232" t="s">
        <v>256</v>
      </c>
      <c r="T232" t="s">
        <v>59</v>
      </c>
      <c r="U232" t="s">
        <v>53</v>
      </c>
      <c r="V232" t="s">
        <v>56</v>
      </c>
    </row>
    <row r="233" spans="1:22" hidden="1" x14ac:dyDescent="0.2">
      <c r="A233" t="s">
        <v>247</v>
      </c>
      <c r="B233" t="s">
        <v>23</v>
      </c>
      <c r="C233" t="s">
        <v>196</v>
      </c>
      <c r="D233" t="s">
        <v>25</v>
      </c>
      <c r="E233" t="s">
        <v>248</v>
      </c>
      <c r="F233" t="s">
        <v>249</v>
      </c>
      <c r="G233" t="s">
        <v>250</v>
      </c>
      <c r="H233" t="s">
        <v>251</v>
      </c>
      <c r="I233" t="s">
        <v>252</v>
      </c>
      <c r="J233" t="s">
        <v>253</v>
      </c>
      <c r="K233" t="s">
        <v>25</v>
      </c>
      <c r="L233" t="s">
        <v>254</v>
      </c>
      <c r="M233" t="s">
        <v>255</v>
      </c>
      <c r="O233" t="s">
        <v>256</v>
      </c>
      <c r="T233" t="s">
        <v>60</v>
      </c>
      <c r="U233" t="s">
        <v>55</v>
      </c>
      <c r="V233" t="s">
        <v>183</v>
      </c>
    </row>
    <row r="234" spans="1:22" hidden="1" x14ac:dyDescent="0.2">
      <c r="A234" t="s">
        <v>247</v>
      </c>
      <c r="B234" t="s">
        <v>23</v>
      </c>
      <c r="C234" t="s">
        <v>196</v>
      </c>
      <c r="D234" t="s">
        <v>25</v>
      </c>
      <c r="E234" t="s">
        <v>248</v>
      </c>
      <c r="F234" t="s">
        <v>249</v>
      </c>
      <c r="G234" t="s">
        <v>250</v>
      </c>
      <c r="H234" t="s">
        <v>251</v>
      </c>
      <c r="I234" t="s">
        <v>252</v>
      </c>
      <c r="J234" t="s">
        <v>253</v>
      </c>
      <c r="K234" t="s">
        <v>25</v>
      </c>
      <c r="L234" t="s">
        <v>254</v>
      </c>
      <c r="M234" t="s">
        <v>255</v>
      </c>
      <c r="O234" t="s">
        <v>256</v>
      </c>
      <c r="T234" t="s">
        <v>60</v>
      </c>
      <c r="U234" t="s">
        <v>55</v>
      </c>
      <c r="V234" t="s">
        <v>257</v>
      </c>
    </row>
    <row r="235" spans="1:22" hidden="1" x14ac:dyDescent="0.2">
      <c r="A235" t="s">
        <v>247</v>
      </c>
      <c r="B235" t="s">
        <v>23</v>
      </c>
      <c r="C235" t="s">
        <v>196</v>
      </c>
      <c r="D235" t="s">
        <v>25</v>
      </c>
      <c r="E235" t="s">
        <v>248</v>
      </c>
      <c r="F235" t="s">
        <v>249</v>
      </c>
      <c r="G235" t="s">
        <v>250</v>
      </c>
      <c r="H235" t="s">
        <v>251</v>
      </c>
      <c r="I235" t="s">
        <v>252</v>
      </c>
      <c r="J235" t="s">
        <v>253</v>
      </c>
      <c r="K235" t="s">
        <v>25</v>
      </c>
      <c r="L235" t="s">
        <v>254</v>
      </c>
      <c r="M235" t="s">
        <v>255</v>
      </c>
      <c r="O235" t="s">
        <v>256</v>
      </c>
      <c r="T235" t="s">
        <v>60</v>
      </c>
      <c r="U235" t="s">
        <v>53</v>
      </c>
      <c r="V235" t="s">
        <v>56</v>
      </c>
    </row>
    <row r="236" spans="1:22" hidden="1" x14ac:dyDescent="0.2">
      <c r="A236" t="s">
        <v>247</v>
      </c>
      <c r="B236" t="s">
        <v>23</v>
      </c>
      <c r="C236" t="s">
        <v>196</v>
      </c>
      <c r="D236" t="s">
        <v>25</v>
      </c>
      <c r="E236" t="s">
        <v>248</v>
      </c>
      <c r="F236" t="s">
        <v>249</v>
      </c>
      <c r="G236" t="s">
        <v>250</v>
      </c>
      <c r="H236" t="s">
        <v>251</v>
      </c>
      <c r="I236" t="s">
        <v>252</v>
      </c>
      <c r="J236" t="s">
        <v>253</v>
      </c>
      <c r="K236" t="s">
        <v>25</v>
      </c>
      <c r="L236" t="s">
        <v>254</v>
      </c>
      <c r="M236" t="s">
        <v>255</v>
      </c>
      <c r="O236" t="s">
        <v>256</v>
      </c>
      <c r="T236" t="s">
        <v>95</v>
      </c>
      <c r="U236" t="s">
        <v>55</v>
      </c>
      <c r="V236" t="s">
        <v>183</v>
      </c>
    </row>
    <row r="237" spans="1:22" hidden="1" x14ac:dyDescent="0.2">
      <c r="A237" t="s">
        <v>247</v>
      </c>
      <c r="B237" t="s">
        <v>23</v>
      </c>
      <c r="C237" t="s">
        <v>196</v>
      </c>
      <c r="D237" t="s">
        <v>25</v>
      </c>
      <c r="E237" t="s">
        <v>248</v>
      </c>
      <c r="F237" t="s">
        <v>249</v>
      </c>
      <c r="G237" t="s">
        <v>250</v>
      </c>
      <c r="H237" t="s">
        <v>251</v>
      </c>
      <c r="I237" t="s">
        <v>252</v>
      </c>
      <c r="J237" t="s">
        <v>253</v>
      </c>
      <c r="K237" t="s">
        <v>25</v>
      </c>
      <c r="L237" t="s">
        <v>254</v>
      </c>
      <c r="M237" t="s">
        <v>255</v>
      </c>
      <c r="O237" t="s">
        <v>256</v>
      </c>
      <c r="T237" t="s">
        <v>95</v>
      </c>
      <c r="U237" t="s">
        <v>55</v>
      </c>
      <c r="V237" t="s">
        <v>257</v>
      </c>
    </row>
    <row r="238" spans="1:22" hidden="1" x14ac:dyDescent="0.2">
      <c r="A238" t="s">
        <v>247</v>
      </c>
      <c r="B238" t="s">
        <v>23</v>
      </c>
      <c r="C238" t="s">
        <v>196</v>
      </c>
      <c r="D238" t="s">
        <v>25</v>
      </c>
      <c r="E238" t="s">
        <v>248</v>
      </c>
      <c r="F238" t="s">
        <v>249</v>
      </c>
      <c r="G238" t="s">
        <v>250</v>
      </c>
      <c r="H238" t="s">
        <v>251</v>
      </c>
      <c r="I238" t="s">
        <v>252</v>
      </c>
      <c r="J238" t="s">
        <v>253</v>
      </c>
      <c r="K238" t="s">
        <v>25</v>
      </c>
      <c r="L238" t="s">
        <v>254</v>
      </c>
      <c r="M238" t="s">
        <v>255</v>
      </c>
      <c r="O238" t="s">
        <v>256</v>
      </c>
      <c r="T238" t="s">
        <v>95</v>
      </c>
      <c r="U238" t="s">
        <v>53</v>
      </c>
      <c r="V238" t="s">
        <v>56</v>
      </c>
    </row>
    <row r="239" spans="1:22" hidden="1" x14ac:dyDescent="0.2">
      <c r="A239" t="s">
        <v>247</v>
      </c>
      <c r="B239" t="s">
        <v>23</v>
      </c>
      <c r="C239" t="s">
        <v>196</v>
      </c>
      <c r="D239" t="s">
        <v>25</v>
      </c>
      <c r="E239" t="s">
        <v>248</v>
      </c>
      <c r="F239" t="s">
        <v>249</v>
      </c>
      <c r="G239" t="s">
        <v>250</v>
      </c>
      <c r="H239" t="s">
        <v>251</v>
      </c>
      <c r="I239" t="s">
        <v>252</v>
      </c>
      <c r="J239" t="s">
        <v>253</v>
      </c>
      <c r="K239" t="s">
        <v>25</v>
      </c>
      <c r="L239" t="s">
        <v>254</v>
      </c>
      <c r="M239" t="s">
        <v>255</v>
      </c>
      <c r="O239" t="s">
        <v>256</v>
      </c>
      <c r="T239" t="s">
        <v>79</v>
      </c>
      <c r="U239" t="s">
        <v>55</v>
      </c>
      <c r="V239" t="s">
        <v>183</v>
      </c>
    </row>
    <row r="240" spans="1:22" hidden="1" x14ac:dyDescent="0.2">
      <c r="A240" t="s">
        <v>247</v>
      </c>
      <c r="B240" t="s">
        <v>23</v>
      </c>
      <c r="C240" t="s">
        <v>196</v>
      </c>
      <c r="D240" t="s">
        <v>25</v>
      </c>
      <c r="E240" t="s">
        <v>248</v>
      </c>
      <c r="F240" t="s">
        <v>249</v>
      </c>
      <c r="G240" t="s">
        <v>250</v>
      </c>
      <c r="H240" t="s">
        <v>251</v>
      </c>
      <c r="I240" t="s">
        <v>252</v>
      </c>
      <c r="J240" t="s">
        <v>253</v>
      </c>
      <c r="K240" t="s">
        <v>25</v>
      </c>
      <c r="L240" t="s">
        <v>254</v>
      </c>
      <c r="M240" t="s">
        <v>255</v>
      </c>
      <c r="O240" t="s">
        <v>256</v>
      </c>
      <c r="T240" t="s">
        <v>79</v>
      </c>
      <c r="U240" t="s">
        <v>55</v>
      </c>
      <c r="V240" t="s">
        <v>257</v>
      </c>
    </row>
    <row r="241" spans="1:22" hidden="1" x14ac:dyDescent="0.2">
      <c r="A241" t="s">
        <v>247</v>
      </c>
      <c r="B241" t="s">
        <v>23</v>
      </c>
      <c r="C241" t="s">
        <v>196</v>
      </c>
      <c r="D241" t="s">
        <v>25</v>
      </c>
      <c r="E241" t="s">
        <v>248</v>
      </c>
      <c r="F241" t="s">
        <v>249</v>
      </c>
      <c r="G241" t="s">
        <v>250</v>
      </c>
      <c r="H241" t="s">
        <v>251</v>
      </c>
      <c r="I241" t="s">
        <v>252</v>
      </c>
      <c r="J241" t="s">
        <v>253</v>
      </c>
      <c r="K241" t="s">
        <v>25</v>
      </c>
      <c r="L241" t="s">
        <v>254</v>
      </c>
      <c r="M241" t="s">
        <v>255</v>
      </c>
      <c r="O241" t="s">
        <v>256</v>
      </c>
      <c r="T241" t="s">
        <v>79</v>
      </c>
      <c r="U241" t="s">
        <v>53</v>
      </c>
      <c r="V241" t="s">
        <v>56</v>
      </c>
    </row>
    <row r="242" spans="1:22" hidden="1" x14ac:dyDescent="0.2">
      <c r="A242" t="s">
        <v>258</v>
      </c>
      <c r="B242" t="s">
        <v>23</v>
      </c>
      <c r="C242" t="s">
        <v>259</v>
      </c>
      <c r="D242" t="s">
        <v>25</v>
      </c>
      <c r="E242" t="s">
        <v>260</v>
      </c>
      <c r="F242" t="s">
        <v>261</v>
      </c>
      <c r="G242" t="s">
        <v>25</v>
      </c>
      <c r="H242" t="s">
        <v>25</v>
      </c>
      <c r="I242" t="s">
        <v>262</v>
      </c>
      <c r="J242" t="s">
        <v>263</v>
      </c>
      <c r="K242" t="s">
        <v>264</v>
      </c>
      <c r="T242" t="s">
        <v>39</v>
      </c>
      <c r="U242" t="s">
        <v>25</v>
      </c>
      <c r="V242" t="s">
        <v>25</v>
      </c>
    </row>
    <row r="243" spans="1:22" hidden="1" x14ac:dyDescent="0.2">
      <c r="A243" t="s">
        <v>258</v>
      </c>
      <c r="B243" t="s">
        <v>23</v>
      </c>
      <c r="C243" t="s">
        <v>259</v>
      </c>
      <c r="D243" t="s">
        <v>25</v>
      </c>
      <c r="E243" t="s">
        <v>260</v>
      </c>
      <c r="F243" t="s">
        <v>261</v>
      </c>
      <c r="G243" t="s">
        <v>25</v>
      </c>
      <c r="H243" t="s">
        <v>25</v>
      </c>
      <c r="I243" t="s">
        <v>262</v>
      </c>
      <c r="J243" t="s">
        <v>263</v>
      </c>
      <c r="K243" t="s">
        <v>264</v>
      </c>
      <c r="T243" t="s">
        <v>57</v>
      </c>
      <c r="U243" t="s">
        <v>25</v>
      </c>
      <c r="V243" t="s">
        <v>25</v>
      </c>
    </row>
    <row r="244" spans="1:22" hidden="1" x14ac:dyDescent="0.2">
      <c r="A244" t="s">
        <v>258</v>
      </c>
      <c r="B244" t="s">
        <v>23</v>
      </c>
      <c r="C244" t="s">
        <v>259</v>
      </c>
      <c r="D244" t="s">
        <v>25</v>
      </c>
      <c r="E244" t="s">
        <v>260</v>
      </c>
      <c r="F244" t="s">
        <v>261</v>
      </c>
      <c r="G244" t="s">
        <v>25</v>
      </c>
      <c r="H244" t="s">
        <v>25</v>
      </c>
      <c r="I244" t="s">
        <v>262</v>
      </c>
      <c r="J244" t="s">
        <v>263</v>
      </c>
      <c r="K244" t="s">
        <v>264</v>
      </c>
      <c r="T244" t="s">
        <v>58</v>
      </c>
      <c r="U244" t="s">
        <v>25</v>
      </c>
      <c r="V244" t="s">
        <v>25</v>
      </c>
    </row>
    <row r="245" spans="1:22" hidden="1" x14ac:dyDescent="0.2">
      <c r="A245" t="s">
        <v>258</v>
      </c>
      <c r="B245" t="s">
        <v>23</v>
      </c>
      <c r="C245" t="s">
        <v>259</v>
      </c>
      <c r="D245" t="s">
        <v>25</v>
      </c>
      <c r="E245" t="s">
        <v>260</v>
      </c>
      <c r="F245" t="s">
        <v>261</v>
      </c>
      <c r="G245" t="s">
        <v>25</v>
      </c>
      <c r="H245" t="s">
        <v>25</v>
      </c>
      <c r="I245" t="s">
        <v>262</v>
      </c>
      <c r="J245" t="s">
        <v>263</v>
      </c>
      <c r="K245" t="s">
        <v>264</v>
      </c>
      <c r="T245" t="s">
        <v>59</v>
      </c>
      <c r="U245" t="s">
        <v>25</v>
      </c>
      <c r="V245" t="s">
        <v>25</v>
      </c>
    </row>
    <row r="246" spans="1:22" hidden="1" x14ac:dyDescent="0.2">
      <c r="A246" t="s">
        <v>258</v>
      </c>
      <c r="B246" t="s">
        <v>23</v>
      </c>
      <c r="C246" t="s">
        <v>259</v>
      </c>
      <c r="D246" t="s">
        <v>25</v>
      </c>
      <c r="E246" t="s">
        <v>260</v>
      </c>
      <c r="F246" t="s">
        <v>261</v>
      </c>
      <c r="G246" t="s">
        <v>25</v>
      </c>
      <c r="H246" t="s">
        <v>25</v>
      </c>
      <c r="I246" t="s">
        <v>262</v>
      </c>
      <c r="J246" t="s">
        <v>263</v>
      </c>
      <c r="K246" t="s">
        <v>264</v>
      </c>
      <c r="T246" t="s">
        <v>60</v>
      </c>
      <c r="U246" t="s">
        <v>25</v>
      </c>
      <c r="V246" t="s">
        <v>25</v>
      </c>
    </row>
    <row r="247" spans="1:22" hidden="1" x14ac:dyDescent="0.2">
      <c r="A247" t="s">
        <v>265</v>
      </c>
      <c r="B247" t="s">
        <v>23</v>
      </c>
      <c r="C247" t="s">
        <v>114</v>
      </c>
      <c r="D247" t="s">
        <v>25</v>
      </c>
      <c r="E247" t="s">
        <v>266</v>
      </c>
      <c r="F247" t="s">
        <v>267</v>
      </c>
      <c r="G247" t="s">
        <v>268</v>
      </c>
      <c r="H247" t="s">
        <v>269</v>
      </c>
      <c r="I247" t="s">
        <v>270</v>
      </c>
      <c r="J247" t="s">
        <v>271</v>
      </c>
      <c r="K247" t="s">
        <v>272</v>
      </c>
      <c r="L247" t="s">
        <v>273</v>
      </c>
      <c r="M247" t="s">
        <v>274</v>
      </c>
      <c r="O247" t="s">
        <v>275</v>
      </c>
      <c r="P247" t="s">
        <v>236</v>
      </c>
      <c r="Q247" t="s">
        <v>176</v>
      </c>
      <c r="R247" t="s">
        <v>177</v>
      </c>
      <c r="S247" t="s">
        <v>276</v>
      </c>
      <c r="T247" t="s">
        <v>39</v>
      </c>
      <c r="U247" t="s">
        <v>157</v>
      </c>
      <c r="V247" t="s">
        <v>113</v>
      </c>
    </row>
    <row r="248" spans="1:22" hidden="1" x14ac:dyDescent="0.2">
      <c r="A248" t="s">
        <v>265</v>
      </c>
      <c r="B248" t="s">
        <v>23</v>
      </c>
      <c r="C248" t="s">
        <v>114</v>
      </c>
      <c r="D248" t="s">
        <v>25</v>
      </c>
      <c r="E248" t="s">
        <v>266</v>
      </c>
      <c r="F248" t="s">
        <v>267</v>
      </c>
      <c r="G248" t="s">
        <v>268</v>
      </c>
      <c r="H248" t="s">
        <v>269</v>
      </c>
      <c r="I248" t="s">
        <v>270</v>
      </c>
      <c r="J248" t="s">
        <v>271</v>
      </c>
      <c r="K248" t="s">
        <v>272</v>
      </c>
      <c r="L248" t="s">
        <v>273</v>
      </c>
      <c r="M248" t="s">
        <v>274</v>
      </c>
      <c r="O248" t="s">
        <v>275</v>
      </c>
      <c r="P248" t="s">
        <v>236</v>
      </c>
      <c r="Q248" t="s">
        <v>176</v>
      </c>
      <c r="R248" t="s">
        <v>177</v>
      </c>
      <c r="S248" t="s">
        <v>276</v>
      </c>
      <c r="T248" t="s">
        <v>39</v>
      </c>
      <c r="U248" t="s">
        <v>157</v>
      </c>
      <c r="V248" t="s">
        <v>105</v>
      </c>
    </row>
    <row r="249" spans="1:22" hidden="1" x14ac:dyDescent="0.2">
      <c r="A249" t="s">
        <v>265</v>
      </c>
      <c r="B249" t="s">
        <v>23</v>
      </c>
      <c r="C249" t="s">
        <v>114</v>
      </c>
      <c r="D249" t="s">
        <v>25</v>
      </c>
      <c r="E249" t="s">
        <v>266</v>
      </c>
      <c r="F249" t="s">
        <v>267</v>
      </c>
      <c r="G249" t="s">
        <v>268</v>
      </c>
      <c r="H249" t="s">
        <v>269</v>
      </c>
      <c r="I249" t="s">
        <v>270</v>
      </c>
      <c r="J249" t="s">
        <v>271</v>
      </c>
      <c r="K249" t="s">
        <v>272</v>
      </c>
      <c r="L249" t="s">
        <v>273</v>
      </c>
      <c r="M249" t="s">
        <v>274</v>
      </c>
      <c r="O249" t="s">
        <v>275</v>
      </c>
      <c r="P249" t="s">
        <v>236</v>
      </c>
      <c r="Q249" t="s">
        <v>176</v>
      </c>
      <c r="R249" t="s">
        <v>177</v>
      </c>
      <c r="S249" t="s">
        <v>276</v>
      </c>
      <c r="T249" t="s">
        <v>39</v>
      </c>
      <c r="U249" t="s">
        <v>53</v>
      </c>
      <c r="V249" t="s">
        <v>277</v>
      </c>
    </row>
    <row r="250" spans="1:22" hidden="1" x14ac:dyDescent="0.2">
      <c r="A250" t="s">
        <v>265</v>
      </c>
      <c r="B250" t="s">
        <v>23</v>
      </c>
      <c r="C250" t="s">
        <v>114</v>
      </c>
      <c r="D250" t="s">
        <v>25</v>
      </c>
      <c r="E250" t="s">
        <v>266</v>
      </c>
      <c r="F250" t="s">
        <v>267</v>
      </c>
      <c r="G250" t="s">
        <v>268</v>
      </c>
      <c r="H250" t="s">
        <v>269</v>
      </c>
      <c r="I250" t="s">
        <v>270</v>
      </c>
      <c r="J250" t="s">
        <v>271</v>
      </c>
      <c r="K250" t="s">
        <v>272</v>
      </c>
      <c r="L250" t="s">
        <v>273</v>
      </c>
      <c r="M250" t="s">
        <v>274</v>
      </c>
      <c r="O250" t="s">
        <v>275</v>
      </c>
      <c r="P250" t="s">
        <v>236</v>
      </c>
      <c r="Q250" t="s">
        <v>176</v>
      </c>
      <c r="R250" t="s">
        <v>177</v>
      </c>
      <c r="S250" t="s">
        <v>276</v>
      </c>
      <c r="T250" t="s">
        <v>58</v>
      </c>
      <c r="U250" t="s">
        <v>157</v>
      </c>
      <c r="V250" t="s">
        <v>113</v>
      </c>
    </row>
    <row r="251" spans="1:22" hidden="1" x14ac:dyDescent="0.2">
      <c r="A251" t="s">
        <v>265</v>
      </c>
      <c r="B251" t="s">
        <v>23</v>
      </c>
      <c r="C251" t="s">
        <v>114</v>
      </c>
      <c r="D251" t="s">
        <v>25</v>
      </c>
      <c r="E251" t="s">
        <v>266</v>
      </c>
      <c r="F251" t="s">
        <v>267</v>
      </c>
      <c r="G251" t="s">
        <v>268</v>
      </c>
      <c r="H251" t="s">
        <v>269</v>
      </c>
      <c r="I251" t="s">
        <v>270</v>
      </c>
      <c r="J251" t="s">
        <v>271</v>
      </c>
      <c r="K251" t="s">
        <v>272</v>
      </c>
      <c r="L251" t="s">
        <v>273</v>
      </c>
      <c r="M251" t="s">
        <v>274</v>
      </c>
      <c r="O251" t="s">
        <v>275</v>
      </c>
      <c r="P251" t="s">
        <v>236</v>
      </c>
      <c r="Q251" t="s">
        <v>176</v>
      </c>
      <c r="R251" t="s">
        <v>177</v>
      </c>
      <c r="S251" t="s">
        <v>276</v>
      </c>
      <c r="T251" t="s">
        <v>58</v>
      </c>
      <c r="U251" t="s">
        <v>157</v>
      </c>
      <c r="V251" t="s">
        <v>105</v>
      </c>
    </row>
    <row r="252" spans="1:22" hidden="1" x14ac:dyDescent="0.2">
      <c r="A252" t="s">
        <v>265</v>
      </c>
      <c r="B252" t="s">
        <v>23</v>
      </c>
      <c r="C252" t="s">
        <v>114</v>
      </c>
      <c r="D252" t="s">
        <v>25</v>
      </c>
      <c r="E252" t="s">
        <v>266</v>
      </c>
      <c r="F252" t="s">
        <v>267</v>
      </c>
      <c r="G252" t="s">
        <v>268</v>
      </c>
      <c r="H252" t="s">
        <v>269</v>
      </c>
      <c r="I252" t="s">
        <v>270</v>
      </c>
      <c r="J252" t="s">
        <v>271</v>
      </c>
      <c r="K252" t="s">
        <v>272</v>
      </c>
      <c r="L252" t="s">
        <v>273</v>
      </c>
      <c r="M252" t="s">
        <v>274</v>
      </c>
      <c r="O252" t="s">
        <v>275</v>
      </c>
      <c r="P252" t="s">
        <v>236</v>
      </c>
      <c r="Q252" t="s">
        <v>176</v>
      </c>
      <c r="R252" t="s">
        <v>177</v>
      </c>
      <c r="S252" t="s">
        <v>276</v>
      </c>
      <c r="T252" t="s">
        <v>58</v>
      </c>
      <c r="U252" t="s">
        <v>53</v>
      </c>
      <c r="V252" t="s">
        <v>277</v>
      </c>
    </row>
    <row r="253" spans="1:22" hidden="1" x14ac:dyDescent="0.2">
      <c r="A253" t="s">
        <v>265</v>
      </c>
      <c r="B253" t="s">
        <v>23</v>
      </c>
      <c r="C253" t="s">
        <v>114</v>
      </c>
      <c r="D253" t="s">
        <v>25</v>
      </c>
      <c r="E253" t="s">
        <v>266</v>
      </c>
      <c r="F253" t="s">
        <v>267</v>
      </c>
      <c r="G253" t="s">
        <v>268</v>
      </c>
      <c r="H253" t="s">
        <v>269</v>
      </c>
      <c r="I253" t="s">
        <v>270</v>
      </c>
      <c r="J253" t="s">
        <v>271</v>
      </c>
      <c r="K253" t="s">
        <v>272</v>
      </c>
      <c r="L253" t="s">
        <v>273</v>
      </c>
      <c r="M253" t="s">
        <v>274</v>
      </c>
      <c r="O253" t="s">
        <v>275</v>
      </c>
      <c r="P253" t="s">
        <v>236</v>
      </c>
      <c r="Q253" t="s">
        <v>176</v>
      </c>
      <c r="R253" t="s">
        <v>177</v>
      </c>
      <c r="S253" t="s">
        <v>276</v>
      </c>
      <c r="T253" t="s">
        <v>59</v>
      </c>
      <c r="U253" t="s">
        <v>157</v>
      </c>
      <c r="V253" t="s">
        <v>113</v>
      </c>
    </row>
    <row r="254" spans="1:22" hidden="1" x14ac:dyDescent="0.2">
      <c r="A254" t="s">
        <v>265</v>
      </c>
      <c r="B254" t="s">
        <v>23</v>
      </c>
      <c r="C254" t="s">
        <v>114</v>
      </c>
      <c r="D254" t="s">
        <v>25</v>
      </c>
      <c r="E254" t="s">
        <v>266</v>
      </c>
      <c r="F254" t="s">
        <v>267</v>
      </c>
      <c r="G254" t="s">
        <v>268</v>
      </c>
      <c r="H254" t="s">
        <v>269</v>
      </c>
      <c r="I254" t="s">
        <v>270</v>
      </c>
      <c r="J254" t="s">
        <v>271</v>
      </c>
      <c r="K254" t="s">
        <v>272</v>
      </c>
      <c r="L254" t="s">
        <v>273</v>
      </c>
      <c r="M254" t="s">
        <v>274</v>
      </c>
      <c r="O254" t="s">
        <v>275</v>
      </c>
      <c r="P254" t="s">
        <v>236</v>
      </c>
      <c r="Q254" t="s">
        <v>176</v>
      </c>
      <c r="R254" t="s">
        <v>177</v>
      </c>
      <c r="S254" t="s">
        <v>276</v>
      </c>
      <c r="T254" t="s">
        <v>59</v>
      </c>
      <c r="U254" t="s">
        <v>157</v>
      </c>
      <c r="V254" t="s">
        <v>105</v>
      </c>
    </row>
    <row r="255" spans="1:22" hidden="1" x14ac:dyDescent="0.2">
      <c r="A255" t="s">
        <v>265</v>
      </c>
      <c r="B255" t="s">
        <v>23</v>
      </c>
      <c r="C255" t="s">
        <v>114</v>
      </c>
      <c r="D255" t="s">
        <v>25</v>
      </c>
      <c r="E255" t="s">
        <v>266</v>
      </c>
      <c r="F255" t="s">
        <v>267</v>
      </c>
      <c r="G255" t="s">
        <v>268</v>
      </c>
      <c r="H255" t="s">
        <v>269</v>
      </c>
      <c r="I255" t="s">
        <v>270</v>
      </c>
      <c r="J255" t="s">
        <v>271</v>
      </c>
      <c r="K255" t="s">
        <v>272</v>
      </c>
      <c r="L255" t="s">
        <v>273</v>
      </c>
      <c r="M255" t="s">
        <v>274</v>
      </c>
      <c r="O255" t="s">
        <v>275</v>
      </c>
      <c r="P255" t="s">
        <v>236</v>
      </c>
      <c r="Q255" t="s">
        <v>176</v>
      </c>
      <c r="R255" t="s">
        <v>177</v>
      </c>
      <c r="S255" t="s">
        <v>276</v>
      </c>
      <c r="T255" t="s">
        <v>59</v>
      </c>
      <c r="U255" t="s">
        <v>53</v>
      </c>
      <c r="V255" t="s">
        <v>277</v>
      </c>
    </row>
    <row r="256" spans="1:22" hidden="1" x14ac:dyDescent="0.2">
      <c r="A256" t="s">
        <v>265</v>
      </c>
      <c r="B256" t="s">
        <v>23</v>
      </c>
      <c r="C256" t="s">
        <v>114</v>
      </c>
      <c r="D256" t="s">
        <v>25</v>
      </c>
      <c r="E256" t="s">
        <v>266</v>
      </c>
      <c r="F256" t="s">
        <v>267</v>
      </c>
      <c r="G256" t="s">
        <v>268</v>
      </c>
      <c r="H256" t="s">
        <v>269</v>
      </c>
      <c r="I256" t="s">
        <v>270</v>
      </c>
      <c r="J256" t="s">
        <v>271</v>
      </c>
      <c r="K256" t="s">
        <v>272</v>
      </c>
      <c r="L256" t="s">
        <v>273</v>
      </c>
      <c r="M256" t="s">
        <v>274</v>
      </c>
      <c r="O256" t="s">
        <v>275</v>
      </c>
      <c r="P256" t="s">
        <v>236</v>
      </c>
      <c r="Q256" t="s">
        <v>176</v>
      </c>
      <c r="R256" t="s">
        <v>177</v>
      </c>
      <c r="S256" t="s">
        <v>276</v>
      </c>
      <c r="T256" t="s">
        <v>60</v>
      </c>
      <c r="U256" t="s">
        <v>157</v>
      </c>
      <c r="V256" t="s">
        <v>113</v>
      </c>
    </row>
    <row r="257" spans="1:22" hidden="1" x14ac:dyDescent="0.2">
      <c r="A257" t="s">
        <v>265</v>
      </c>
      <c r="B257" t="s">
        <v>23</v>
      </c>
      <c r="C257" t="s">
        <v>114</v>
      </c>
      <c r="D257" t="s">
        <v>25</v>
      </c>
      <c r="E257" t="s">
        <v>266</v>
      </c>
      <c r="F257" t="s">
        <v>267</v>
      </c>
      <c r="G257" t="s">
        <v>268</v>
      </c>
      <c r="H257" t="s">
        <v>269</v>
      </c>
      <c r="I257" t="s">
        <v>270</v>
      </c>
      <c r="J257" t="s">
        <v>271</v>
      </c>
      <c r="K257" t="s">
        <v>272</v>
      </c>
      <c r="L257" t="s">
        <v>273</v>
      </c>
      <c r="M257" t="s">
        <v>274</v>
      </c>
      <c r="O257" t="s">
        <v>275</v>
      </c>
      <c r="P257" t="s">
        <v>236</v>
      </c>
      <c r="Q257" t="s">
        <v>176</v>
      </c>
      <c r="R257" t="s">
        <v>177</v>
      </c>
      <c r="S257" t="s">
        <v>276</v>
      </c>
      <c r="T257" t="s">
        <v>60</v>
      </c>
      <c r="U257" t="s">
        <v>157</v>
      </c>
      <c r="V257" t="s">
        <v>105</v>
      </c>
    </row>
    <row r="258" spans="1:22" hidden="1" x14ac:dyDescent="0.2">
      <c r="A258" t="s">
        <v>265</v>
      </c>
      <c r="B258" t="s">
        <v>23</v>
      </c>
      <c r="C258" t="s">
        <v>114</v>
      </c>
      <c r="D258" t="s">
        <v>25</v>
      </c>
      <c r="E258" t="s">
        <v>266</v>
      </c>
      <c r="F258" t="s">
        <v>267</v>
      </c>
      <c r="G258" t="s">
        <v>268</v>
      </c>
      <c r="H258" t="s">
        <v>269</v>
      </c>
      <c r="I258" t="s">
        <v>270</v>
      </c>
      <c r="J258" t="s">
        <v>271</v>
      </c>
      <c r="K258" t="s">
        <v>272</v>
      </c>
      <c r="L258" t="s">
        <v>273</v>
      </c>
      <c r="M258" t="s">
        <v>274</v>
      </c>
      <c r="O258" t="s">
        <v>275</v>
      </c>
      <c r="P258" t="s">
        <v>236</v>
      </c>
      <c r="Q258" t="s">
        <v>176</v>
      </c>
      <c r="R258" t="s">
        <v>177</v>
      </c>
      <c r="S258" t="s">
        <v>276</v>
      </c>
      <c r="T258" t="s">
        <v>60</v>
      </c>
      <c r="U258" t="s">
        <v>53</v>
      </c>
      <c r="V258" t="s">
        <v>277</v>
      </c>
    </row>
    <row r="259" spans="1:22" hidden="1" x14ac:dyDescent="0.2">
      <c r="A259" t="s">
        <v>265</v>
      </c>
      <c r="B259" t="s">
        <v>23</v>
      </c>
      <c r="C259" t="s">
        <v>114</v>
      </c>
      <c r="D259" t="s">
        <v>25</v>
      </c>
      <c r="E259" t="s">
        <v>266</v>
      </c>
      <c r="F259" t="s">
        <v>267</v>
      </c>
      <c r="G259" t="s">
        <v>268</v>
      </c>
      <c r="H259" t="s">
        <v>269</v>
      </c>
      <c r="I259" t="s">
        <v>270</v>
      </c>
      <c r="J259" t="s">
        <v>271</v>
      </c>
      <c r="K259" t="s">
        <v>272</v>
      </c>
      <c r="L259" t="s">
        <v>273</v>
      </c>
      <c r="M259" t="s">
        <v>274</v>
      </c>
      <c r="O259" t="s">
        <v>275</v>
      </c>
      <c r="P259" t="s">
        <v>236</v>
      </c>
      <c r="Q259" t="s">
        <v>176</v>
      </c>
      <c r="R259" t="s">
        <v>177</v>
      </c>
      <c r="S259" t="s">
        <v>276</v>
      </c>
      <c r="T259" t="s">
        <v>236</v>
      </c>
      <c r="U259" t="s">
        <v>157</v>
      </c>
      <c r="V259" t="s">
        <v>113</v>
      </c>
    </row>
    <row r="260" spans="1:22" hidden="1" x14ac:dyDescent="0.2">
      <c r="A260" t="s">
        <v>265</v>
      </c>
      <c r="B260" t="s">
        <v>23</v>
      </c>
      <c r="C260" t="s">
        <v>114</v>
      </c>
      <c r="D260" t="s">
        <v>25</v>
      </c>
      <c r="E260" t="s">
        <v>266</v>
      </c>
      <c r="F260" t="s">
        <v>267</v>
      </c>
      <c r="G260" t="s">
        <v>268</v>
      </c>
      <c r="H260" t="s">
        <v>269</v>
      </c>
      <c r="I260" t="s">
        <v>270</v>
      </c>
      <c r="J260" t="s">
        <v>271</v>
      </c>
      <c r="K260" t="s">
        <v>272</v>
      </c>
      <c r="L260" t="s">
        <v>273</v>
      </c>
      <c r="M260" t="s">
        <v>274</v>
      </c>
      <c r="O260" t="s">
        <v>275</v>
      </c>
      <c r="P260" t="s">
        <v>236</v>
      </c>
      <c r="Q260" t="s">
        <v>176</v>
      </c>
      <c r="R260" t="s">
        <v>177</v>
      </c>
      <c r="S260" t="s">
        <v>276</v>
      </c>
      <c r="T260" t="s">
        <v>236</v>
      </c>
      <c r="U260" t="s">
        <v>157</v>
      </c>
      <c r="V260" t="s">
        <v>105</v>
      </c>
    </row>
    <row r="261" spans="1:22" hidden="1" x14ac:dyDescent="0.2">
      <c r="A261" t="s">
        <v>265</v>
      </c>
      <c r="B261" t="s">
        <v>23</v>
      </c>
      <c r="C261" t="s">
        <v>114</v>
      </c>
      <c r="D261" t="s">
        <v>25</v>
      </c>
      <c r="E261" t="s">
        <v>266</v>
      </c>
      <c r="F261" t="s">
        <v>267</v>
      </c>
      <c r="G261" t="s">
        <v>268</v>
      </c>
      <c r="H261" t="s">
        <v>269</v>
      </c>
      <c r="I261" t="s">
        <v>270</v>
      </c>
      <c r="J261" t="s">
        <v>271</v>
      </c>
      <c r="K261" t="s">
        <v>272</v>
      </c>
      <c r="L261" t="s">
        <v>273</v>
      </c>
      <c r="M261" t="s">
        <v>274</v>
      </c>
      <c r="O261" t="s">
        <v>275</v>
      </c>
      <c r="P261" t="s">
        <v>236</v>
      </c>
      <c r="Q261" t="s">
        <v>176</v>
      </c>
      <c r="R261" t="s">
        <v>177</v>
      </c>
      <c r="S261" t="s">
        <v>276</v>
      </c>
      <c r="T261" t="s">
        <v>236</v>
      </c>
      <c r="U261" t="s">
        <v>53</v>
      </c>
      <c r="V261" t="s">
        <v>277</v>
      </c>
    </row>
    <row r="262" spans="1:22" hidden="1" x14ac:dyDescent="0.2">
      <c r="A262" t="s">
        <v>265</v>
      </c>
      <c r="B262" t="s">
        <v>23</v>
      </c>
      <c r="C262" t="s">
        <v>114</v>
      </c>
      <c r="D262" t="s">
        <v>25</v>
      </c>
      <c r="E262" t="s">
        <v>266</v>
      </c>
      <c r="F262" t="s">
        <v>267</v>
      </c>
      <c r="G262" t="s">
        <v>268</v>
      </c>
      <c r="H262" t="s">
        <v>269</v>
      </c>
      <c r="I262" t="s">
        <v>270</v>
      </c>
      <c r="J262" t="s">
        <v>271</v>
      </c>
      <c r="K262" t="s">
        <v>272</v>
      </c>
      <c r="L262" t="s">
        <v>273</v>
      </c>
      <c r="M262" t="s">
        <v>274</v>
      </c>
      <c r="O262" t="s">
        <v>275</v>
      </c>
      <c r="P262" t="s">
        <v>236</v>
      </c>
      <c r="Q262" t="s">
        <v>176</v>
      </c>
      <c r="R262" t="s">
        <v>177</v>
      </c>
      <c r="S262" t="s">
        <v>276</v>
      </c>
      <c r="T262" t="s">
        <v>116</v>
      </c>
      <c r="U262" t="s">
        <v>157</v>
      </c>
      <c r="V262" t="s">
        <v>113</v>
      </c>
    </row>
    <row r="263" spans="1:22" hidden="1" x14ac:dyDescent="0.2">
      <c r="A263" t="s">
        <v>265</v>
      </c>
      <c r="B263" t="s">
        <v>23</v>
      </c>
      <c r="C263" t="s">
        <v>114</v>
      </c>
      <c r="D263" t="s">
        <v>25</v>
      </c>
      <c r="E263" t="s">
        <v>266</v>
      </c>
      <c r="F263" t="s">
        <v>267</v>
      </c>
      <c r="G263" t="s">
        <v>268</v>
      </c>
      <c r="H263" t="s">
        <v>269</v>
      </c>
      <c r="I263" t="s">
        <v>270</v>
      </c>
      <c r="J263" t="s">
        <v>271</v>
      </c>
      <c r="K263" t="s">
        <v>272</v>
      </c>
      <c r="L263" t="s">
        <v>273</v>
      </c>
      <c r="M263" t="s">
        <v>274</v>
      </c>
      <c r="O263" t="s">
        <v>275</v>
      </c>
      <c r="P263" t="s">
        <v>236</v>
      </c>
      <c r="Q263" t="s">
        <v>176</v>
      </c>
      <c r="R263" t="s">
        <v>177</v>
      </c>
      <c r="S263" t="s">
        <v>276</v>
      </c>
      <c r="T263" t="s">
        <v>116</v>
      </c>
      <c r="U263" t="s">
        <v>157</v>
      </c>
      <c r="V263" t="s">
        <v>105</v>
      </c>
    </row>
    <row r="264" spans="1:22" hidden="1" x14ac:dyDescent="0.2">
      <c r="A264" t="s">
        <v>265</v>
      </c>
      <c r="B264" t="s">
        <v>23</v>
      </c>
      <c r="C264" t="s">
        <v>114</v>
      </c>
      <c r="D264" t="s">
        <v>25</v>
      </c>
      <c r="E264" t="s">
        <v>266</v>
      </c>
      <c r="F264" t="s">
        <v>267</v>
      </c>
      <c r="G264" t="s">
        <v>268</v>
      </c>
      <c r="H264" t="s">
        <v>269</v>
      </c>
      <c r="I264" t="s">
        <v>270</v>
      </c>
      <c r="J264" t="s">
        <v>271</v>
      </c>
      <c r="K264" t="s">
        <v>272</v>
      </c>
      <c r="L264" t="s">
        <v>273</v>
      </c>
      <c r="M264" t="s">
        <v>274</v>
      </c>
      <c r="O264" t="s">
        <v>275</v>
      </c>
      <c r="P264" t="s">
        <v>236</v>
      </c>
      <c r="Q264" t="s">
        <v>176</v>
      </c>
      <c r="R264" t="s">
        <v>177</v>
      </c>
      <c r="S264" t="s">
        <v>276</v>
      </c>
      <c r="T264" t="s">
        <v>116</v>
      </c>
      <c r="U264" t="s">
        <v>53</v>
      </c>
      <c r="V264" t="s">
        <v>277</v>
      </c>
    </row>
    <row r="265" spans="1:22" hidden="1" x14ac:dyDescent="0.2">
      <c r="A265" t="s">
        <v>278</v>
      </c>
      <c r="B265" t="s">
        <v>23</v>
      </c>
      <c r="C265" t="s">
        <v>279</v>
      </c>
      <c r="D265" t="s">
        <v>280</v>
      </c>
      <c r="E265" t="s">
        <v>281</v>
      </c>
      <c r="F265" t="s">
        <v>282</v>
      </c>
      <c r="G265" t="s">
        <v>283</v>
      </c>
      <c r="H265" t="s">
        <v>25</v>
      </c>
      <c r="I265" t="s">
        <v>25</v>
      </c>
      <c r="J265" t="s">
        <v>284</v>
      </c>
      <c r="K265" t="s">
        <v>285</v>
      </c>
      <c r="L265" t="s">
        <v>286</v>
      </c>
      <c r="M265" t="s">
        <v>287</v>
      </c>
      <c r="O265" t="s">
        <v>288</v>
      </c>
      <c r="P265" t="s">
        <v>289</v>
      </c>
      <c r="Q265" t="s">
        <v>176</v>
      </c>
      <c r="R265" t="s">
        <v>177</v>
      </c>
      <c r="S265" t="s">
        <v>290</v>
      </c>
      <c r="T265" t="s">
        <v>59</v>
      </c>
      <c r="U265" t="s">
        <v>25</v>
      </c>
      <c r="V265" t="s">
        <v>25</v>
      </c>
    </row>
    <row r="266" spans="1:22" hidden="1" x14ac:dyDescent="0.2">
      <c r="A266" t="s">
        <v>278</v>
      </c>
      <c r="B266" t="s">
        <v>23</v>
      </c>
      <c r="C266" t="s">
        <v>279</v>
      </c>
      <c r="D266" t="s">
        <v>280</v>
      </c>
      <c r="E266" t="s">
        <v>281</v>
      </c>
      <c r="F266" t="s">
        <v>282</v>
      </c>
      <c r="G266" t="s">
        <v>283</v>
      </c>
      <c r="H266" t="s">
        <v>25</v>
      </c>
      <c r="I266" t="s">
        <v>25</v>
      </c>
      <c r="J266" t="s">
        <v>284</v>
      </c>
      <c r="K266" t="s">
        <v>285</v>
      </c>
      <c r="L266" t="s">
        <v>286</v>
      </c>
      <c r="M266" t="s">
        <v>287</v>
      </c>
      <c r="O266" t="s">
        <v>288</v>
      </c>
      <c r="P266" t="s">
        <v>289</v>
      </c>
      <c r="Q266" t="s">
        <v>176</v>
      </c>
      <c r="R266" t="s">
        <v>177</v>
      </c>
      <c r="S266" t="s">
        <v>290</v>
      </c>
      <c r="T266" t="s">
        <v>39</v>
      </c>
      <c r="U266" t="s">
        <v>25</v>
      </c>
      <c r="V266" t="s">
        <v>25</v>
      </c>
    </row>
    <row r="267" spans="1:22" hidden="1" x14ac:dyDescent="0.2">
      <c r="A267" t="s">
        <v>278</v>
      </c>
      <c r="B267" t="s">
        <v>23</v>
      </c>
      <c r="C267" t="s">
        <v>279</v>
      </c>
      <c r="D267" t="s">
        <v>280</v>
      </c>
      <c r="E267" t="s">
        <v>281</v>
      </c>
      <c r="F267" t="s">
        <v>282</v>
      </c>
      <c r="G267" t="s">
        <v>283</v>
      </c>
      <c r="H267" t="s">
        <v>25</v>
      </c>
      <c r="I267" t="s">
        <v>25</v>
      </c>
      <c r="J267" t="s">
        <v>284</v>
      </c>
      <c r="K267" t="s">
        <v>285</v>
      </c>
      <c r="L267" t="s">
        <v>286</v>
      </c>
      <c r="M267" t="s">
        <v>287</v>
      </c>
      <c r="O267" t="s">
        <v>288</v>
      </c>
      <c r="P267" t="s">
        <v>289</v>
      </c>
      <c r="Q267" t="s">
        <v>176</v>
      </c>
      <c r="R267" t="s">
        <v>177</v>
      </c>
      <c r="S267" t="s">
        <v>290</v>
      </c>
      <c r="T267" t="s">
        <v>57</v>
      </c>
      <c r="U267" t="s">
        <v>25</v>
      </c>
      <c r="V267" t="s">
        <v>25</v>
      </c>
    </row>
    <row r="268" spans="1:22" hidden="1" x14ac:dyDescent="0.2">
      <c r="A268" t="s">
        <v>278</v>
      </c>
      <c r="B268" t="s">
        <v>23</v>
      </c>
      <c r="C268" t="s">
        <v>279</v>
      </c>
      <c r="D268" t="s">
        <v>280</v>
      </c>
      <c r="E268" t="s">
        <v>281</v>
      </c>
      <c r="F268" t="s">
        <v>282</v>
      </c>
      <c r="G268" t="s">
        <v>283</v>
      </c>
      <c r="H268" t="s">
        <v>25</v>
      </c>
      <c r="I268" t="s">
        <v>25</v>
      </c>
      <c r="J268" t="s">
        <v>284</v>
      </c>
      <c r="K268" t="s">
        <v>285</v>
      </c>
      <c r="L268" t="s">
        <v>286</v>
      </c>
      <c r="M268" t="s">
        <v>287</v>
      </c>
      <c r="O268" t="s">
        <v>288</v>
      </c>
      <c r="P268" t="s">
        <v>291</v>
      </c>
      <c r="Q268" t="s">
        <v>37</v>
      </c>
      <c r="R268" t="s">
        <v>292</v>
      </c>
      <c r="S268" t="s">
        <v>293</v>
      </c>
      <c r="T268" t="s">
        <v>59</v>
      </c>
      <c r="U268" t="s">
        <v>25</v>
      </c>
      <c r="V268" t="s">
        <v>25</v>
      </c>
    </row>
    <row r="269" spans="1:22" hidden="1" x14ac:dyDescent="0.2">
      <c r="A269" t="s">
        <v>278</v>
      </c>
      <c r="B269" t="s">
        <v>23</v>
      </c>
      <c r="C269" t="s">
        <v>279</v>
      </c>
      <c r="D269" t="s">
        <v>280</v>
      </c>
      <c r="E269" t="s">
        <v>281</v>
      </c>
      <c r="F269" t="s">
        <v>282</v>
      </c>
      <c r="G269" t="s">
        <v>283</v>
      </c>
      <c r="H269" t="s">
        <v>25</v>
      </c>
      <c r="I269" t="s">
        <v>25</v>
      </c>
      <c r="J269" t="s">
        <v>284</v>
      </c>
      <c r="K269" t="s">
        <v>285</v>
      </c>
      <c r="L269" t="s">
        <v>286</v>
      </c>
      <c r="M269" t="s">
        <v>287</v>
      </c>
      <c r="O269" t="s">
        <v>288</v>
      </c>
      <c r="P269" t="s">
        <v>291</v>
      </c>
      <c r="Q269" t="s">
        <v>37</v>
      </c>
      <c r="R269" t="s">
        <v>292</v>
      </c>
      <c r="S269" t="s">
        <v>293</v>
      </c>
      <c r="T269" t="s">
        <v>39</v>
      </c>
      <c r="U269" t="s">
        <v>25</v>
      </c>
      <c r="V269" t="s">
        <v>25</v>
      </c>
    </row>
    <row r="270" spans="1:22" hidden="1" x14ac:dyDescent="0.2">
      <c r="A270" t="s">
        <v>278</v>
      </c>
      <c r="B270" t="s">
        <v>23</v>
      </c>
      <c r="C270" t="s">
        <v>279</v>
      </c>
      <c r="D270" t="s">
        <v>280</v>
      </c>
      <c r="E270" t="s">
        <v>281</v>
      </c>
      <c r="F270" t="s">
        <v>282</v>
      </c>
      <c r="G270" t="s">
        <v>283</v>
      </c>
      <c r="H270" t="s">
        <v>25</v>
      </c>
      <c r="I270" t="s">
        <v>25</v>
      </c>
      <c r="J270" t="s">
        <v>284</v>
      </c>
      <c r="K270" t="s">
        <v>285</v>
      </c>
      <c r="L270" t="s">
        <v>286</v>
      </c>
      <c r="M270" t="s">
        <v>287</v>
      </c>
      <c r="O270" t="s">
        <v>288</v>
      </c>
      <c r="P270" t="s">
        <v>291</v>
      </c>
      <c r="Q270" t="s">
        <v>37</v>
      </c>
      <c r="R270" t="s">
        <v>292</v>
      </c>
      <c r="S270" t="s">
        <v>293</v>
      </c>
      <c r="T270" t="s">
        <v>57</v>
      </c>
      <c r="U270" t="s">
        <v>25</v>
      </c>
      <c r="V270" t="s">
        <v>25</v>
      </c>
    </row>
    <row r="271" spans="1:22" hidden="1" x14ac:dyDescent="0.2">
      <c r="A271" t="s">
        <v>278</v>
      </c>
      <c r="B271" t="s">
        <v>23</v>
      </c>
      <c r="C271" t="s">
        <v>279</v>
      </c>
      <c r="D271" t="s">
        <v>294</v>
      </c>
      <c r="E271" t="s">
        <v>281</v>
      </c>
      <c r="F271" t="s">
        <v>282</v>
      </c>
      <c r="G271" t="s">
        <v>283</v>
      </c>
      <c r="H271" t="s">
        <v>25</v>
      </c>
      <c r="I271" t="s">
        <v>25</v>
      </c>
      <c r="J271" t="s">
        <v>284</v>
      </c>
      <c r="K271" t="s">
        <v>285</v>
      </c>
      <c r="L271" t="s">
        <v>286</v>
      </c>
      <c r="M271" t="s">
        <v>287</v>
      </c>
      <c r="O271" t="s">
        <v>288</v>
      </c>
      <c r="P271" t="s">
        <v>289</v>
      </c>
      <c r="Q271" t="s">
        <v>176</v>
      </c>
      <c r="R271" t="s">
        <v>177</v>
      </c>
      <c r="S271" t="s">
        <v>290</v>
      </c>
      <c r="T271" t="s">
        <v>59</v>
      </c>
      <c r="U271" t="s">
        <v>25</v>
      </c>
      <c r="V271" t="s">
        <v>25</v>
      </c>
    </row>
    <row r="272" spans="1:22" hidden="1" x14ac:dyDescent="0.2">
      <c r="A272" t="s">
        <v>278</v>
      </c>
      <c r="B272" t="s">
        <v>23</v>
      </c>
      <c r="C272" t="s">
        <v>279</v>
      </c>
      <c r="D272" t="s">
        <v>294</v>
      </c>
      <c r="E272" t="s">
        <v>281</v>
      </c>
      <c r="F272" t="s">
        <v>282</v>
      </c>
      <c r="G272" t="s">
        <v>283</v>
      </c>
      <c r="H272" t="s">
        <v>25</v>
      </c>
      <c r="I272" t="s">
        <v>25</v>
      </c>
      <c r="J272" t="s">
        <v>284</v>
      </c>
      <c r="K272" t="s">
        <v>285</v>
      </c>
      <c r="L272" t="s">
        <v>286</v>
      </c>
      <c r="M272" t="s">
        <v>287</v>
      </c>
      <c r="O272" t="s">
        <v>288</v>
      </c>
      <c r="P272" t="s">
        <v>289</v>
      </c>
      <c r="Q272" t="s">
        <v>176</v>
      </c>
      <c r="R272" t="s">
        <v>177</v>
      </c>
      <c r="S272" t="s">
        <v>290</v>
      </c>
      <c r="T272" t="s">
        <v>39</v>
      </c>
      <c r="U272" t="s">
        <v>25</v>
      </c>
      <c r="V272" t="s">
        <v>25</v>
      </c>
    </row>
    <row r="273" spans="1:22" hidden="1" x14ac:dyDescent="0.2">
      <c r="A273" t="s">
        <v>278</v>
      </c>
      <c r="B273" t="s">
        <v>23</v>
      </c>
      <c r="C273" t="s">
        <v>279</v>
      </c>
      <c r="D273" t="s">
        <v>294</v>
      </c>
      <c r="E273" t="s">
        <v>281</v>
      </c>
      <c r="F273" t="s">
        <v>282</v>
      </c>
      <c r="G273" t="s">
        <v>283</v>
      </c>
      <c r="H273" t="s">
        <v>25</v>
      </c>
      <c r="I273" t="s">
        <v>25</v>
      </c>
      <c r="J273" t="s">
        <v>284</v>
      </c>
      <c r="K273" t="s">
        <v>285</v>
      </c>
      <c r="L273" t="s">
        <v>286</v>
      </c>
      <c r="M273" t="s">
        <v>287</v>
      </c>
      <c r="O273" t="s">
        <v>288</v>
      </c>
      <c r="P273" t="s">
        <v>289</v>
      </c>
      <c r="Q273" t="s">
        <v>176</v>
      </c>
      <c r="R273" t="s">
        <v>177</v>
      </c>
      <c r="S273" t="s">
        <v>290</v>
      </c>
      <c r="T273" t="s">
        <v>57</v>
      </c>
      <c r="U273" t="s">
        <v>25</v>
      </c>
      <c r="V273" t="s">
        <v>25</v>
      </c>
    </row>
    <row r="274" spans="1:22" hidden="1" x14ac:dyDescent="0.2">
      <c r="A274" t="s">
        <v>278</v>
      </c>
      <c r="B274" t="s">
        <v>23</v>
      </c>
      <c r="C274" t="s">
        <v>279</v>
      </c>
      <c r="D274" t="s">
        <v>294</v>
      </c>
      <c r="E274" t="s">
        <v>281</v>
      </c>
      <c r="F274" t="s">
        <v>282</v>
      </c>
      <c r="G274" t="s">
        <v>283</v>
      </c>
      <c r="H274" t="s">
        <v>25</v>
      </c>
      <c r="I274" t="s">
        <v>25</v>
      </c>
      <c r="J274" t="s">
        <v>284</v>
      </c>
      <c r="K274" t="s">
        <v>285</v>
      </c>
      <c r="L274" t="s">
        <v>286</v>
      </c>
      <c r="M274" t="s">
        <v>287</v>
      </c>
      <c r="O274" t="s">
        <v>288</v>
      </c>
      <c r="P274" t="s">
        <v>291</v>
      </c>
      <c r="Q274" t="s">
        <v>37</v>
      </c>
      <c r="R274" t="s">
        <v>292</v>
      </c>
      <c r="S274" t="s">
        <v>293</v>
      </c>
      <c r="T274" t="s">
        <v>59</v>
      </c>
      <c r="U274" t="s">
        <v>25</v>
      </c>
      <c r="V274" t="s">
        <v>25</v>
      </c>
    </row>
    <row r="275" spans="1:22" hidden="1" x14ac:dyDescent="0.2">
      <c r="A275" t="s">
        <v>278</v>
      </c>
      <c r="B275" t="s">
        <v>23</v>
      </c>
      <c r="C275" t="s">
        <v>279</v>
      </c>
      <c r="D275" t="s">
        <v>294</v>
      </c>
      <c r="E275" t="s">
        <v>281</v>
      </c>
      <c r="F275" t="s">
        <v>282</v>
      </c>
      <c r="G275" t="s">
        <v>283</v>
      </c>
      <c r="H275" t="s">
        <v>25</v>
      </c>
      <c r="I275" t="s">
        <v>25</v>
      </c>
      <c r="J275" t="s">
        <v>284</v>
      </c>
      <c r="K275" t="s">
        <v>285</v>
      </c>
      <c r="L275" t="s">
        <v>286</v>
      </c>
      <c r="M275" t="s">
        <v>287</v>
      </c>
      <c r="O275" t="s">
        <v>288</v>
      </c>
      <c r="P275" t="s">
        <v>291</v>
      </c>
      <c r="Q275" t="s">
        <v>37</v>
      </c>
      <c r="R275" t="s">
        <v>292</v>
      </c>
      <c r="S275" t="s">
        <v>293</v>
      </c>
      <c r="T275" t="s">
        <v>39</v>
      </c>
      <c r="U275" t="s">
        <v>25</v>
      </c>
      <c r="V275" t="s">
        <v>25</v>
      </c>
    </row>
    <row r="276" spans="1:22" hidden="1" x14ac:dyDescent="0.2">
      <c r="A276" t="s">
        <v>278</v>
      </c>
      <c r="B276" t="s">
        <v>23</v>
      </c>
      <c r="C276" t="s">
        <v>279</v>
      </c>
      <c r="D276" t="s">
        <v>294</v>
      </c>
      <c r="E276" t="s">
        <v>281</v>
      </c>
      <c r="F276" t="s">
        <v>282</v>
      </c>
      <c r="G276" t="s">
        <v>283</v>
      </c>
      <c r="H276" t="s">
        <v>25</v>
      </c>
      <c r="I276" t="s">
        <v>25</v>
      </c>
      <c r="J276" t="s">
        <v>284</v>
      </c>
      <c r="K276" t="s">
        <v>285</v>
      </c>
      <c r="L276" t="s">
        <v>286</v>
      </c>
      <c r="M276" t="s">
        <v>287</v>
      </c>
      <c r="O276" t="s">
        <v>288</v>
      </c>
      <c r="P276" t="s">
        <v>291</v>
      </c>
      <c r="Q276" t="s">
        <v>37</v>
      </c>
      <c r="R276" t="s">
        <v>292</v>
      </c>
      <c r="S276" t="s">
        <v>293</v>
      </c>
      <c r="T276" t="s">
        <v>57</v>
      </c>
      <c r="U276" t="s">
        <v>25</v>
      </c>
      <c r="V276" t="s">
        <v>25</v>
      </c>
    </row>
    <row r="277" spans="1:22" hidden="1" x14ac:dyDescent="0.2">
      <c r="A277" t="s">
        <v>295</v>
      </c>
      <c r="B277" t="s">
        <v>23</v>
      </c>
      <c r="C277" t="s">
        <v>245</v>
      </c>
      <c r="D277" t="s">
        <v>25</v>
      </c>
      <c r="E277" t="s">
        <v>296</v>
      </c>
      <c r="F277" t="s">
        <v>297</v>
      </c>
      <c r="G277" t="s">
        <v>25</v>
      </c>
      <c r="H277" t="s">
        <v>298</v>
      </c>
      <c r="I277" t="s">
        <v>299</v>
      </c>
      <c r="J277" t="s">
        <v>300</v>
      </c>
      <c r="K277" t="s">
        <v>301</v>
      </c>
      <c r="T277" t="s">
        <v>39</v>
      </c>
      <c r="U277" t="s">
        <v>53</v>
      </c>
      <c r="V277" t="s">
        <v>115</v>
      </c>
    </row>
    <row r="278" spans="1:22" hidden="1" x14ac:dyDescent="0.2">
      <c r="A278" t="s">
        <v>295</v>
      </c>
      <c r="B278" t="s">
        <v>23</v>
      </c>
      <c r="C278" t="s">
        <v>245</v>
      </c>
      <c r="D278" t="s">
        <v>25</v>
      </c>
      <c r="E278" t="s">
        <v>296</v>
      </c>
      <c r="F278" t="s">
        <v>297</v>
      </c>
      <c r="G278" t="s">
        <v>25</v>
      </c>
      <c r="H278" t="s">
        <v>298</v>
      </c>
      <c r="I278" t="s">
        <v>299</v>
      </c>
      <c r="J278" t="s">
        <v>300</v>
      </c>
      <c r="K278" t="s">
        <v>301</v>
      </c>
      <c r="T278" t="s">
        <v>58</v>
      </c>
      <c r="U278" t="s">
        <v>53</v>
      </c>
      <c r="V278" t="s">
        <v>115</v>
      </c>
    </row>
    <row r="279" spans="1:22" hidden="1" x14ac:dyDescent="0.2">
      <c r="A279" t="s">
        <v>295</v>
      </c>
      <c r="B279" t="s">
        <v>23</v>
      </c>
      <c r="C279" t="s">
        <v>245</v>
      </c>
      <c r="D279" t="s">
        <v>25</v>
      </c>
      <c r="E279" t="s">
        <v>296</v>
      </c>
      <c r="F279" t="s">
        <v>297</v>
      </c>
      <c r="G279" t="s">
        <v>25</v>
      </c>
      <c r="H279" t="s">
        <v>298</v>
      </c>
      <c r="I279" t="s">
        <v>299</v>
      </c>
      <c r="J279" t="s">
        <v>300</v>
      </c>
      <c r="K279" t="s">
        <v>301</v>
      </c>
      <c r="T279" t="s">
        <v>59</v>
      </c>
      <c r="U279" t="s">
        <v>53</v>
      </c>
      <c r="V279" t="s">
        <v>115</v>
      </c>
    </row>
    <row r="280" spans="1:22" hidden="1" x14ac:dyDescent="0.2">
      <c r="A280" t="s">
        <v>295</v>
      </c>
      <c r="B280" t="s">
        <v>23</v>
      </c>
      <c r="C280" t="s">
        <v>245</v>
      </c>
      <c r="D280" t="s">
        <v>25</v>
      </c>
      <c r="E280" t="s">
        <v>296</v>
      </c>
      <c r="F280" t="s">
        <v>297</v>
      </c>
      <c r="G280" t="s">
        <v>25</v>
      </c>
      <c r="H280" t="s">
        <v>298</v>
      </c>
      <c r="I280" t="s">
        <v>299</v>
      </c>
      <c r="J280" t="s">
        <v>300</v>
      </c>
      <c r="K280" t="s">
        <v>301</v>
      </c>
      <c r="T280" t="s">
        <v>60</v>
      </c>
      <c r="U280" t="s">
        <v>53</v>
      </c>
      <c r="V280" t="s">
        <v>115</v>
      </c>
    </row>
    <row r="281" spans="1:22" hidden="1" x14ac:dyDescent="0.2">
      <c r="A281" t="s">
        <v>302</v>
      </c>
      <c r="B281" t="s">
        <v>23</v>
      </c>
      <c r="C281" t="s">
        <v>303</v>
      </c>
      <c r="D281" t="s">
        <v>25</v>
      </c>
      <c r="E281" t="s">
        <v>304</v>
      </c>
      <c r="F281" t="s">
        <v>305</v>
      </c>
      <c r="G281" t="s">
        <v>25</v>
      </c>
      <c r="H281" t="s">
        <v>306</v>
      </c>
      <c r="I281" t="s">
        <v>307</v>
      </c>
      <c r="J281" t="s">
        <v>308</v>
      </c>
      <c r="K281" t="s">
        <v>309</v>
      </c>
      <c r="T281" t="s">
        <v>58</v>
      </c>
      <c r="U281" t="s">
        <v>53</v>
      </c>
      <c r="V281" t="s">
        <v>310</v>
      </c>
    </row>
    <row r="282" spans="1:22" hidden="1" x14ac:dyDescent="0.2">
      <c r="A282" t="s">
        <v>302</v>
      </c>
      <c r="B282" t="s">
        <v>23</v>
      </c>
      <c r="C282" t="s">
        <v>303</v>
      </c>
      <c r="D282" t="s">
        <v>25</v>
      </c>
      <c r="E282" t="s">
        <v>304</v>
      </c>
      <c r="F282" t="s">
        <v>305</v>
      </c>
      <c r="G282" t="s">
        <v>25</v>
      </c>
      <c r="H282" t="s">
        <v>306</v>
      </c>
      <c r="I282" t="s">
        <v>307</v>
      </c>
      <c r="J282" t="s">
        <v>308</v>
      </c>
      <c r="K282" t="s">
        <v>309</v>
      </c>
      <c r="T282" t="s">
        <v>58</v>
      </c>
      <c r="U282" t="s">
        <v>53</v>
      </c>
      <c r="V282" t="s">
        <v>311</v>
      </c>
    </row>
    <row r="283" spans="1:22" hidden="1" x14ac:dyDescent="0.2">
      <c r="A283" t="s">
        <v>302</v>
      </c>
      <c r="B283" t="s">
        <v>23</v>
      </c>
      <c r="C283" t="s">
        <v>303</v>
      </c>
      <c r="D283" t="s">
        <v>25</v>
      </c>
      <c r="E283" t="s">
        <v>304</v>
      </c>
      <c r="F283" t="s">
        <v>305</v>
      </c>
      <c r="G283" t="s">
        <v>25</v>
      </c>
      <c r="H283" t="s">
        <v>306</v>
      </c>
      <c r="I283" t="s">
        <v>307</v>
      </c>
      <c r="J283" t="s">
        <v>308</v>
      </c>
      <c r="K283" t="s">
        <v>309</v>
      </c>
      <c r="T283" t="s">
        <v>58</v>
      </c>
      <c r="U283" t="s">
        <v>53</v>
      </c>
      <c r="V283" t="s">
        <v>312</v>
      </c>
    </row>
    <row r="284" spans="1:22" hidden="1" x14ac:dyDescent="0.2">
      <c r="A284" t="s">
        <v>302</v>
      </c>
      <c r="B284" t="s">
        <v>23</v>
      </c>
      <c r="C284" t="s">
        <v>303</v>
      </c>
      <c r="D284" t="s">
        <v>25</v>
      </c>
      <c r="E284" t="s">
        <v>304</v>
      </c>
      <c r="F284" t="s">
        <v>305</v>
      </c>
      <c r="G284" t="s">
        <v>25</v>
      </c>
      <c r="H284" t="s">
        <v>306</v>
      </c>
      <c r="I284" t="s">
        <v>307</v>
      </c>
      <c r="J284" t="s">
        <v>308</v>
      </c>
      <c r="K284" t="s">
        <v>309</v>
      </c>
      <c r="T284" t="s">
        <v>59</v>
      </c>
      <c r="U284" t="s">
        <v>53</v>
      </c>
      <c r="V284" t="s">
        <v>310</v>
      </c>
    </row>
    <row r="285" spans="1:22" hidden="1" x14ac:dyDescent="0.2">
      <c r="A285" t="s">
        <v>302</v>
      </c>
      <c r="B285" t="s">
        <v>23</v>
      </c>
      <c r="C285" t="s">
        <v>303</v>
      </c>
      <c r="D285" t="s">
        <v>25</v>
      </c>
      <c r="E285" t="s">
        <v>304</v>
      </c>
      <c r="F285" t="s">
        <v>305</v>
      </c>
      <c r="G285" t="s">
        <v>25</v>
      </c>
      <c r="H285" t="s">
        <v>306</v>
      </c>
      <c r="I285" t="s">
        <v>307</v>
      </c>
      <c r="J285" t="s">
        <v>308</v>
      </c>
      <c r="K285" t="s">
        <v>309</v>
      </c>
      <c r="T285" t="s">
        <v>59</v>
      </c>
      <c r="U285" t="s">
        <v>53</v>
      </c>
      <c r="V285" t="s">
        <v>311</v>
      </c>
    </row>
    <row r="286" spans="1:22" hidden="1" x14ac:dyDescent="0.2">
      <c r="A286" t="s">
        <v>302</v>
      </c>
      <c r="B286" t="s">
        <v>23</v>
      </c>
      <c r="C286" t="s">
        <v>303</v>
      </c>
      <c r="D286" t="s">
        <v>25</v>
      </c>
      <c r="E286" t="s">
        <v>304</v>
      </c>
      <c r="F286" t="s">
        <v>305</v>
      </c>
      <c r="G286" t="s">
        <v>25</v>
      </c>
      <c r="H286" t="s">
        <v>306</v>
      </c>
      <c r="I286" t="s">
        <v>307</v>
      </c>
      <c r="J286" t="s">
        <v>308</v>
      </c>
      <c r="K286" t="s">
        <v>309</v>
      </c>
      <c r="T286" t="s">
        <v>59</v>
      </c>
      <c r="U286" t="s">
        <v>53</v>
      </c>
      <c r="V286" t="s">
        <v>312</v>
      </c>
    </row>
    <row r="287" spans="1:22" hidden="1" x14ac:dyDescent="0.2">
      <c r="A287" t="s">
        <v>302</v>
      </c>
      <c r="B287" t="s">
        <v>23</v>
      </c>
      <c r="C287" t="s">
        <v>303</v>
      </c>
      <c r="D287" t="s">
        <v>25</v>
      </c>
      <c r="E287" t="s">
        <v>304</v>
      </c>
      <c r="F287" t="s">
        <v>305</v>
      </c>
      <c r="G287" t="s">
        <v>25</v>
      </c>
      <c r="H287" t="s">
        <v>306</v>
      </c>
      <c r="I287" t="s">
        <v>307</v>
      </c>
      <c r="J287" t="s">
        <v>308</v>
      </c>
      <c r="K287" t="s">
        <v>309</v>
      </c>
      <c r="T287" t="s">
        <v>60</v>
      </c>
      <c r="U287" t="s">
        <v>53</v>
      </c>
      <c r="V287" t="s">
        <v>310</v>
      </c>
    </row>
    <row r="288" spans="1:22" hidden="1" x14ac:dyDescent="0.2">
      <c r="A288" t="s">
        <v>302</v>
      </c>
      <c r="B288" t="s">
        <v>23</v>
      </c>
      <c r="C288" t="s">
        <v>303</v>
      </c>
      <c r="D288" t="s">
        <v>25</v>
      </c>
      <c r="E288" t="s">
        <v>304</v>
      </c>
      <c r="F288" t="s">
        <v>305</v>
      </c>
      <c r="G288" t="s">
        <v>25</v>
      </c>
      <c r="H288" t="s">
        <v>306</v>
      </c>
      <c r="I288" t="s">
        <v>307</v>
      </c>
      <c r="J288" t="s">
        <v>308</v>
      </c>
      <c r="K288" t="s">
        <v>309</v>
      </c>
      <c r="T288" t="s">
        <v>60</v>
      </c>
      <c r="U288" t="s">
        <v>53</v>
      </c>
      <c r="V288" t="s">
        <v>311</v>
      </c>
    </row>
    <row r="289" spans="1:22" hidden="1" x14ac:dyDescent="0.2">
      <c r="A289" t="s">
        <v>302</v>
      </c>
      <c r="B289" t="s">
        <v>23</v>
      </c>
      <c r="C289" t="s">
        <v>303</v>
      </c>
      <c r="D289" t="s">
        <v>25</v>
      </c>
      <c r="E289" t="s">
        <v>304</v>
      </c>
      <c r="F289" t="s">
        <v>305</v>
      </c>
      <c r="G289" t="s">
        <v>25</v>
      </c>
      <c r="H289" t="s">
        <v>306</v>
      </c>
      <c r="I289" t="s">
        <v>307</v>
      </c>
      <c r="J289" t="s">
        <v>308</v>
      </c>
      <c r="K289" t="s">
        <v>309</v>
      </c>
      <c r="T289" t="s">
        <v>60</v>
      </c>
      <c r="U289" t="s">
        <v>53</v>
      </c>
      <c r="V289" t="s">
        <v>312</v>
      </c>
    </row>
    <row r="290" spans="1:22" hidden="1" x14ac:dyDescent="0.2">
      <c r="A290" t="s">
        <v>302</v>
      </c>
      <c r="B290" t="s">
        <v>23</v>
      </c>
      <c r="C290" t="s">
        <v>303</v>
      </c>
      <c r="D290" t="s">
        <v>25</v>
      </c>
      <c r="E290" t="s">
        <v>304</v>
      </c>
      <c r="F290" t="s">
        <v>305</v>
      </c>
      <c r="G290" t="s">
        <v>25</v>
      </c>
      <c r="H290" t="s">
        <v>306</v>
      </c>
      <c r="I290" t="s">
        <v>307</v>
      </c>
      <c r="J290" t="s">
        <v>308</v>
      </c>
      <c r="K290" t="s">
        <v>309</v>
      </c>
      <c r="T290" t="s">
        <v>39</v>
      </c>
      <c r="U290" t="s">
        <v>53</v>
      </c>
      <c r="V290" t="s">
        <v>310</v>
      </c>
    </row>
    <row r="291" spans="1:22" hidden="1" x14ac:dyDescent="0.2">
      <c r="A291" t="s">
        <v>302</v>
      </c>
      <c r="B291" t="s">
        <v>23</v>
      </c>
      <c r="C291" t="s">
        <v>303</v>
      </c>
      <c r="D291" t="s">
        <v>25</v>
      </c>
      <c r="E291" t="s">
        <v>304</v>
      </c>
      <c r="F291" t="s">
        <v>305</v>
      </c>
      <c r="G291" t="s">
        <v>25</v>
      </c>
      <c r="H291" t="s">
        <v>306</v>
      </c>
      <c r="I291" t="s">
        <v>307</v>
      </c>
      <c r="J291" t="s">
        <v>308</v>
      </c>
      <c r="K291" t="s">
        <v>309</v>
      </c>
      <c r="T291" t="s">
        <v>39</v>
      </c>
      <c r="U291" t="s">
        <v>53</v>
      </c>
      <c r="V291" t="s">
        <v>311</v>
      </c>
    </row>
    <row r="292" spans="1:22" hidden="1" x14ac:dyDescent="0.2">
      <c r="A292" t="s">
        <v>302</v>
      </c>
      <c r="B292" t="s">
        <v>23</v>
      </c>
      <c r="C292" t="s">
        <v>303</v>
      </c>
      <c r="D292" t="s">
        <v>25</v>
      </c>
      <c r="E292" t="s">
        <v>304</v>
      </c>
      <c r="F292" t="s">
        <v>305</v>
      </c>
      <c r="G292" t="s">
        <v>25</v>
      </c>
      <c r="H292" t="s">
        <v>306</v>
      </c>
      <c r="I292" t="s">
        <v>307</v>
      </c>
      <c r="J292" t="s">
        <v>308</v>
      </c>
      <c r="K292" t="s">
        <v>309</v>
      </c>
      <c r="T292" t="s">
        <v>39</v>
      </c>
      <c r="U292" t="s">
        <v>53</v>
      </c>
      <c r="V292" t="s">
        <v>312</v>
      </c>
    </row>
    <row r="293" spans="1:22" hidden="1" x14ac:dyDescent="0.2">
      <c r="A293" t="s">
        <v>302</v>
      </c>
      <c r="B293" t="s">
        <v>23</v>
      </c>
      <c r="C293" t="s">
        <v>303</v>
      </c>
      <c r="D293" t="s">
        <v>25</v>
      </c>
      <c r="E293" t="s">
        <v>304</v>
      </c>
      <c r="F293" t="s">
        <v>305</v>
      </c>
      <c r="G293" t="s">
        <v>25</v>
      </c>
      <c r="H293" t="s">
        <v>306</v>
      </c>
      <c r="I293" t="s">
        <v>307</v>
      </c>
      <c r="J293" t="s">
        <v>308</v>
      </c>
      <c r="K293" t="s">
        <v>309</v>
      </c>
      <c r="T293" t="s">
        <v>57</v>
      </c>
      <c r="U293" t="s">
        <v>53</v>
      </c>
      <c r="V293" t="s">
        <v>310</v>
      </c>
    </row>
    <row r="294" spans="1:22" hidden="1" x14ac:dyDescent="0.2">
      <c r="A294" t="s">
        <v>302</v>
      </c>
      <c r="B294" t="s">
        <v>23</v>
      </c>
      <c r="C294" t="s">
        <v>303</v>
      </c>
      <c r="D294" t="s">
        <v>25</v>
      </c>
      <c r="E294" t="s">
        <v>304</v>
      </c>
      <c r="F294" t="s">
        <v>305</v>
      </c>
      <c r="G294" t="s">
        <v>25</v>
      </c>
      <c r="H294" t="s">
        <v>306</v>
      </c>
      <c r="I294" t="s">
        <v>307</v>
      </c>
      <c r="J294" t="s">
        <v>308</v>
      </c>
      <c r="K294" t="s">
        <v>309</v>
      </c>
      <c r="T294" t="s">
        <v>57</v>
      </c>
      <c r="U294" t="s">
        <v>53</v>
      </c>
      <c r="V294" t="s">
        <v>311</v>
      </c>
    </row>
    <row r="295" spans="1:22" hidden="1" x14ac:dyDescent="0.2">
      <c r="A295" t="s">
        <v>302</v>
      </c>
      <c r="B295" t="s">
        <v>23</v>
      </c>
      <c r="C295" t="s">
        <v>303</v>
      </c>
      <c r="D295" t="s">
        <v>25</v>
      </c>
      <c r="E295" t="s">
        <v>304</v>
      </c>
      <c r="F295" t="s">
        <v>305</v>
      </c>
      <c r="G295" t="s">
        <v>25</v>
      </c>
      <c r="H295" t="s">
        <v>306</v>
      </c>
      <c r="I295" t="s">
        <v>307</v>
      </c>
      <c r="J295" t="s">
        <v>308</v>
      </c>
      <c r="K295" t="s">
        <v>309</v>
      </c>
      <c r="T295" t="s">
        <v>57</v>
      </c>
      <c r="U295" t="s">
        <v>53</v>
      </c>
      <c r="V295" t="s">
        <v>312</v>
      </c>
    </row>
    <row r="296" spans="1:22" hidden="1" x14ac:dyDescent="0.2">
      <c r="A296" t="s">
        <v>302</v>
      </c>
      <c r="B296" t="s">
        <v>23</v>
      </c>
      <c r="C296" t="s">
        <v>303</v>
      </c>
      <c r="D296" t="s">
        <v>25</v>
      </c>
      <c r="E296" t="s">
        <v>304</v>
      </c>
      <c r="F296" t="s">
        <v>305</v>
      </c>
      <c r="G296" t="s">
        <v>25</v>
      </c>
      <c r="H296" t="s">
        <v>306</v>
      </c>
      <c r="I296" t="s">
        <v>307</v>
      </c>
      <c r="J296" t="s">
        <v>308</v>
      </c>
      <c r="K296" t="s">
        <v>309</v>
      </c>
      <c r="T296" t="s">
        <v>131</v>
      </c>
      <c r="U296" t="s">
        <v>53</v>
      </c>
      <c r="V296" t="s">
        <v>310</v>
      </c>
    </row>
    <row r="297" spans="1:22" hidden="1" x14ac:dyDescent="0.2">
      <c r="A297" t="s">
        <v>302</v>
      </c>
      <c r="B297" t="s">
        <v>23</v>
      </c>
      <c r="C297" t="s">
        <v>303</v>
      </c>
      <c r="D297" t="s">
        <v>25</v>
      </c>
      <c r="E297" t="s">
        <v>304</v>
      </c>
      <c r="F297" t="s">
        <v>305</v>
      </c>
      <c r="G297" t="s">
        <v>25</v>
      </c>
      <c r="H297" t="s">
        <v>306</v>
      </c>
      <c r="I297" t="s">
        <v>307</v>
      </c>
      <c r="J297" t="s">
        <v>308</v>
      </c>
      <c r="K297" t="s">
        <v>309</v>
      </c>
      <c r="T297" t="s">
        <v>131</v>
      </c>
      <c r="U297" t="s">
        <v>53</v>
      </c>
      <c r="V297" t="s">
        <v>311</v>
      </c>
    </row>
    <row r="298" spans="1:22" hidden="1" x14ac:dyDescent="0.2">
      <c r="A298" t="s">
        <v>302</v>
      </c>
      <c r="B298" t="s">
        <v>23</v>
      </c>
      <c r="C298" t="s">
        <v>303</v>
      </c>
      <c r="D298" t="s">
        <v>25</v>
      </c>
      <c r="E298" t="s">
        <v>304</v>
      </c>
      <c r="F298" t="s">
        <v>305</v>
      </c>
      <c r="G298" t="s">
        <v>25</v>
      </c>
      <c r="H298" t="s">
        <v>306</v>
      </c>
      <c r="I298" t="s">
        <v>307</v>
      </c>
      <c r="J298" t="s">
        <v>308</v>
      </c>
      <c r="K298" t="s">
        <v>309</v>
      </c>
      <c r="T298" t="s">
        <v>131</v>
      </c>
      <c r="U298" t="s">
        <v>53</v>
      </c>
      <c r="V298" t="s">
        <v>312</v>
      </c>
    </row>
    <row r="299" spans="1:22" hidden="1" x14ac:dyDescent="0.2">
      <c r="A299" t="s">
        <v>313</v>
      </c>
      <c r="B299" t="s">
        <v>23</v>
      </c>
      <c r="C299" t="s">
        <v>314</v>
      </c>
      <c r="D299" t="s">
        <v>25</v>
      </c>
      <c r="E299" t="s">
        <v>315</v>
      </c>
      <c r="F299" t="s">
        <v>316</v>
      </c>
      <c r="G299" t="s">
        <v>317</v>
      </c>
      <c r="H299" t="s">
        <v>318</v>
      </c>
      <c r="I299" t="s">
        <v>319</v>
      </c>
      <c r="J299" t="s">
        <v>320</v>
      </c>
      <c r="K299" t="s">
        <v>25</v>
      </c>
      <c r="L299" t="s">
        <v>321</v>
      </c>
      <c r="P299" t="s">
        <v>322</v>
      </c>
      <c r="Q299" t="s">
        <v>323</v>
      </c>
      <c r="R299">
        <v>0.4</v>
      </c>
      <c r="S299" t="s">
        <v>324</v>
      </c>
      <c r="T299" t="s">
        <v>39</v>
      </c>
      <c r="U299" t="s">
        <v>53</v>
      </c>
      <c r="V299" t="s">
        <v>310</v>
      </c>
    </row>
    <row r="300" spans="1:22" hidden="1" x14ac:dyDescent="0.2">
      <c r="A300" t="s">
        <v>313</v>
      </c>
      <c r="B300" t="s">
        <v>23</v>
      </c>
      <c r="C300" t="s">
        <v>314</v>
      </c>
      <c r="D300" t="s">
        <v>25</v>
      </c>
      <c r="E300" t="s">
        <v>315</v>
      </c>
      <c r="F300" t="s">
        <v>316</v>
      </c>
      <c r="G300" t="s">
        <v>317</v>
      </c>
      <c r="H300" t="s">
        <v>318</v>
      </c>
      <c r="I300" t="s">
        <v>319</v>
      </c>
      <c r="J300" t="s">
        <v>320</v>
      </c>
      <c r="K300" t="s">
        <v>25</v>
      </c>
      <c r="L300" t="s">
        <v>321</v>
      </c>
      <c r="P300" t="s">
        <v>322</v>
      </c>
      <c r="Q300" t="s">
        <v>323</v>
      </c>
      <c r="R300">
        <v>0.4</v>
      </c>
      <c r="S300" t="s">
        <v>324</v>
      </c>
      <c r="T300" t="s">
        <v>39</v>
      </c>
      <c r="U300" t="s">
        <v>53</v>
      </c>
      <c r="V300" t="s">
        <v>325</v>
      </c>
    </row>
    <row r="301" spans="1:22" hidden="1" x14ac:dyDescent="0.2">
      <c r="A301" t="s">
        <v>313</v>
      </c>
      <c r="B301" t="s">
        <v>23</v>
      </c>
      <c r="C301" t="s">
        <v>314</v>
      </c>
      <c r="D301" t="s">
        <v>25</v>
      </c>
      <c r="E301" t="s">
        <v>315</v>
      </c>
      <c r="F301" t="s">
        <v>316</v>
      </c>
      <c r="G301" t="s">
        <v>317</v>
      </c>
      <c r="H301" t="s">
        <v>318</v>
      </c>
      <c r="I301" t="s">
        <v>319</v>
      </c>
      <c r="J301" t="s">
        <v>320</v>
      </c>
      <c r="K301" t="s">
        <v>25</v>
      </c>
      <c r="L301" t="s">
        <v>321</v>
      </c>
      <c r="P301" t="s">
        <v>322</v>
      </c>
      <c r="Q301" t="s">
        <v>323</v>
      </c>
      <c r="R301">
        <v>0.4</v>
      </c>
      <c r="S301" t="s">
        <v>324</v>
      </c>
      <c r="T301" t="s">
        <v>39</v>
      </c>
      <c r="U301" t="s">
        <v>55</v>
      </c>
      <c r="V301" t="s">
        <v>235</v>
      </c>
    </row>
    <row r="302" spans="1:22" hidden="1" x14ac:dyDescent="0.2">
      <c r="A302" t="s">
        <v>313</v>
      </c>
      <c r="B302" t="s">
        <v>23</v>
      </c>
      <c r="C302" t="s">
        <v>314</v>
      </c>
      <c r="D302" t="s">
        <v>25</v>
      </c>
      <c r="E302" t="s">
        <v>315</v>
      </c>
      <c r="F302" t="s">
        <v>316</v>
      </c>
      <c r="G302" t="s">
        <v>317</v>
      </c>
      <c r="H302" t="s">
        <v>318</v>
      </c>
      <c r="I302" t="s">
        <v>319</v>
      </c>
      <c r="J302" t="s">
        <v>320</v>
      </c>
      <c r="K302" t="s">
        <v>25</v>
      </c>
      <c r="L302" t="s">
        <v>321</v>
      </c>
      <c r="P302" t="s">
        <v>322</v>
      </c>
      <c r="Q302" t="s">
        <v>323</v>
      </c>
      <c r="R302">
        <v>0.4</v>
      </c>
      <c r="S302" t="s">
        <v>324</v>
      </c>
      <c r="T302" t="s">
        <v>58</v>
      </c>
      <c r="U302" t="s">
        <v>53</v>
      </c>
      <c r="V302" t="s">
        <v>310</v>
      </c>
    </row>
    <row r="303" spans="1:22" hidden="1" x14ac:dyDescent="0.2">
      <c r="A303" t="s">
        <v>313</v>
      </c>
      <c r="B303" t="s">
        <v>23</v>
      </c>
      <c r="C303" t="s">
        <v>314</v>
      </c>
      <c r="D303" t="s">
        <v>25</v>
      </c>
      <c r="E303" t="s">
        <v>315</v>
      </c>
      <c r="F303" t="s">
        <v>316</v>
      </c>
      <c r="G303" t="s">
        <v>317</v>
      </c>
      <c r="H303" t="s">
        <v>318</v>
      </c>
      <c r="I303" t="s">
        <v>319</v>
      </c>
      <c r="J303" t="s">
        <v>320</v>
      </c>
      <c r="K303" t="s">
        <v>25</v>
      </c>
      <c r="L303" t="s">
        <v>321</v>
      </c>
      <c r="P303" t="s">
        <v>322</v>
      </c>
      <c r="Q303" t="s">
        <v>323</v>
      </c>
      <c r="R303">
        <v>0.4</v>
      </c>
      <c r="S303" t="s">
        <v>324</v>
      </c>
      <c r="T303" t="s">
        <v>58</v>
      </c>
      <c r="U303" t="s">
        <v>53</v>
      </c>
      <c r="V303" t="s">
        <v>325</v>
      </c>
    </row>
    <row r="304" spans="1:22" hidden="1" x14ac:dyDescent="0.2">
      <c r="A304" t="s">
        <v>313</v>
      </c>
      <c r="B304" t="s">
        <v>23</v>
      </c>
      <c r="C304" t="s">
        <v>314</v>
      </c>
      <c r="D304" t="s">
        <v>25</v>
      </c>
      <c r="E304" t="s">
        <v>315</v>
      </c>
      <c r="F304" t="s">
        <v>316</v>
      </c>
      <c r="G304" t="s">
        <v>317</v>
      </c>
      <c r="H304" t="s">
        <v>318</v>
      </c>
      <c r="I304" t="s">
        <v>319</v>
      </c>
      <c r="J304" t="s">
        <v>320</v>
      </c>
      <c r="K304" t="s">
        <v>25</v>
      </c>
      <c r="L304" t="s">
        <v>321</v>
      </c>
      <c r="P304" t="s">
        <v>322</v>
      </c>
      <c r="Q304" t="s">
        <v>323</v>
      </c>
      <c r="R304">
        <v>0.4</v>
      </c>
      <c r="S304" t="s">
        <v>324</v>
      </c>
      <c r="T304" t="s">
        <v>58</v>
      </c>
      <c r="U304" t="s">
        <v>55</v>
      </c>
      <c r="V304" t="s">
        <v>235</v>
      </c>
    </row>
    <row r="305" spans="1:22" hidden="1" x14ac:dyDescent="0.2">
      <c r="A305" t="s">
        <v>313</v>
      </c>
      <c r="B305" t="s">
        <v>23</v>
      </c>
      <c r="C305" t="s">
        <v>314</v>
      </c>
      <c r="D305" t="s">
        <v>25</v>
      </c>
      <c r="E305" t="s">
        <v>315</v>
      </c>
      <c r="F305" t="s">
        <v>316</v>
      </c>
      <c r="G305" t="s">
        <v>317</v>
      </c>
      <c r="H305" t="s">
        <v>318</v>
      </c>
      <c r="I305" t="s">
        <v>319</v>
      </c>
      <c r="J305" t="s">
        <v>320</v>
      </c>
      <c r="K305" t="s">
        <v>25</v>
      </c>
      <c r="L305" t="s">
        <v>321</v>
      </c>
      <c r="P305" t="s">
        <v>322</v>
      </c>
      <c r="Q305" t="s">
        <v>323</v>
      </c>
      <c r="R305">
        <v>0.4</v>
      </c>
      <c r="S305" t="s">
        <v>324</v>
      </c>
      <c r="T305" t="s">
        <v>59</v>
      </c>
      <c r="U305" t="s">
        <v>53</v>
      </c>
      <c r="V305" t="s">
        <v>310</v>
      </c>
    </row>
    <row r="306" spans="1:22" hidden="1" x14ac:dyDescent="0.2">
      <c r="A306" t="s">
        <v>313</v>
      </c>
      <c r="B306" t="s">
        <v>23</v>
      </c>
      <c r="C306" t="s">
        <v>314</v>
      </c>
      <c r="D306" t="s">
        <v>25</v>
      </c>
      <c r="E306" t="s">
        <v>315</v>
      </c>
      <c r="F306" t="s">
        <v>316</v>
      </c>
      <c r="G306" t="s">
        <v>317</v>
      </c>
      <c r="H306" t="s">
        <v>318</v>
      </c>
      <c r="I306" t="s">
        <v>319</v>
      </c>
      <c r="J306" t="s">
        <v>320</v>
      </c>
      <c r="K306" t="s">
        <v>25</v>
      </c>
      <c r="L306" t="s">
        <v>321</v>
      </c>
      <c r="P306" t="s">
        <v>322</v>
      </c>
      <c r="Q306" t="s">
        <v>323</v>
      </c>
      <c r="R306">
        <v>0.4</v>
      </c>
      <c r="S306" t="s">
        <v>324</v>
      </c>
      <c r="T306" t="s">
        <v>59</v>
      </c>
      <c r="U306" t="s">
        <v>53</v>
      </c>
      <c r="V306" t="s">
        <v>325</v>
      </c>
    </row>
    <row r="307" spans="1:22" hidden="1" x14ac:dyDescent="0.2">
      <c r="A307" t="s">
        <v>313</v>
      </c>
      <c r="B307" t="s">
        <v>23</v>
      </c>
      <c r="C307" t="s">
        <v>314</v>
      </c>
      <c r="D307" t="s">
        <v>25</v>
      </c>
      <c r="E307" t="s">
        <v>315</v>
      </c>
      <c r="F307" t="s">
        <v>316</v>
      </c>
      <c r="G307" t="s">
        <v>317</v>
      </c>
      <c r="H307" t="s">
        <v>318</v>
      </c>
      <c r="I307" t="s">
        <v>319</v>
      </c>
      <c r="J307" t="s">
        <v>320</v>
      </c>
      <c r="K307" t="s">
        <v>25</v>
      </c>
      <c r="L307" t="s">
        <v>321</v>
      </c>
      <c r="P307" t="s">
        <v>322</v>
      </c>
      <c r="Q307" t="s">
        <v>323</v>
      </c>
      <c r="R307">
        <v>0.4</v>
      </c>
      <c r="S307" t="s">
        <v>324</v>
      </c>
      <c r="T307" t="s">
        <v>59</v>
      </c>
      <c r="U307" t="s">
        <v>55</v>
      </c>
      <c r="V307" t="s">
        <v>235</v>
      </c>
    </row>
    <row r="308" spans="1:22" hidden="1" x14ac:dyDescent="0.2">
      <c r="A308" t="s">
        <v>313</v>
      </c>
      <c r="B308" t="s">
        <v>23</v>
      </c>
      <c r="C308" t="s">
        <v>314</v>
      </c>
      <c r="D308" t="s">
        <v>25</v>
      </c>
      <c r="E308" t="s">
        <v>315</v>
      </c>
      <c r="F308" t="s">
        <v>316</v>
      </c>
      <c r="G308" t="s">
        <v>317</v>
      </c>
      <c r="H308" t="s">
        <v>318</v>
      </c>
      <c r="I308" t="s">
        <v>319</v>
      </c>
      <c r="J308" t="s">
        <v>320</v>
      </c>
      <c r="K308" t="s">
        <v>25</v>
      </c>
      <c r="L308" t="s">
        <v>321</v>
      </c>
      <c r="P308" t="s">
        <v>322</v>
      </c>
      <c r="Q308" t="s">
        <v>323</v>
      </c>
      <c r="R308">
        <v>0.4</v>
      </c>
      <c r="S308" t="s">
        <v>324</v>
      </c>
      <c r="T308" t="s">
        <v>60</v>
      </c>
      <c r="U308" t="s">
        <v>53</v>
      </c>
      <c r="V308" t="s">
        <v>310</v>
      </c>
    </row>
    <row r="309" spans="1:22" hidden="1" x14ac:dyDescent="0.2">
      <c r="A309" t="s">
        <v>313</v>
      </c>
      <c r="B309" t="s">
        <v>23</v>
      </c>
      <c r="C309" t="s">
        <v>314</v>
      </c>
      <c r="D309" t="s">
        <v>25</v>
      </c>
      <c r="E309" t="s">
        <v>315</v>
      </c>
      <c r="F309" t="s">
        <v>316</v>
      </c>
      <c r="G309" t="s">
        <v>317</v>
      </c>
      <c r="H309" t="s">
        <v>318</v>
      </c>
      <c r="I309" t="s">
        <v>319</v>
      </c>
      <c r="J309" t="s">
        <v>320</v>
      </c>
      <c r="K309" t="s">
        <v>25</v>
      </c>
      <c r="L309" t="s">
        <v>321</v>
      </c>
      <c r="P309" t="s">
        <v>322</v>
      </c>
      <c r="Q309" t="s">
        <v>323</v>
      </c>
      <c r="R309">
        <v>0.4</v>
      </c>
      <c r="S309" t="s">
        <v>324</v>
      </c>
      <c r="T309" t="s">
        <v>60</v>
      </c>
      <c r="U309" t="s">
        <v>53</v>
      </c>
      <c r="V309" t="s">
        <v>325</v>
      </c>
    </row>
    <row r="310" spans="1:22" hidden="1" x14ac:dyDescent="0.2">
      <c r="A310" t="s">
        <v>313</v>
      </c>
      <c r="B310" t="s">
        <v>23</v>
      </c>
      <c r="C310" t="s">
        <v>314</v>
      </c>
      <c r="D310" t="s">
        <v>25</v>
      </c>
      <c r="E310" t="s">
        <v>315</v>
      </c>
      <c r="F310" t="s">
        <v>316</v>
      </c>
      <c r="G310" t="s">
        <v>317</v>
      </c>
      <c r="H310" t="s">
        <v>318</v>
      </c>
      <c r="I310" t="s">
        <v>319</v>
      </c>
      <c r="J310" t="s">
        <v>320</v>
      </c>
      <c r="K310" t="s">
        <v>25</v>
      </c>
      <c r="L310" t="s">
        <v>321</v>
      </c>
      <c r="P310" t="s">
        <v>322</v>
      </c>
      <c r="Q310" t="s">
        <v>323</v>
      </c>
      <c r="R310">
        <v>0.4</v>
      </c>
      <c r="S310" t="s">
        <v>324</v>
      </c>
      <c r="T310" t="s">
        <v>60</v>
      </c>
      <c r="U310" t="s">
        <v>55</v>
      </c>
      <c r="V310" t="s">
        <v>235</v>
      </c>
    </row>
    <row r="311" spans="1:22" hidden="1" x14ac:dyDescent="0.2">
      <c r="A311" t="s">
        <v>313</v>
      </c>
      <c r="B311" t="s">
        <v>23</v>
      </c>
      <c r="C311" t="s">
        <v>314</v>
      </c>
      <c r="D311" t="s">
        <v>25</v>
      </c>
      <c r="E311" t="s">
        <v>315</v>
      </c>
      <c r="F311" t="s">
        <v>316</v>
      </c>
      <c r="G311" t="s">
        <v>317</v>
      </c>
      <c r="H311" t="s">
        <v>318</v>
      </c>
      <c r="I311" t="s">
        <v>319</v>
      </c>
      <c r="J311" t="s">
        <v>320</v>
      </c>
      <c r="K311" t="s">
        <v>25</v>
      </c>
      <c r="L311" t="s">
        <v>321</v>
      </c>
      <c r="P311" t="s">
        <v>322</v>
      </c>
      <c r="Q311" t="s">
        <v>323</v>
      </c>
      <c r="R311">
        <v>0.4</v>
      </c>
      <c r="S311" t="s">
        <v>324</v>
      </c>
      <c r="T311" t="s">
        <v>326</v>
      </c>
      <c r="U311" t="s">
        <v>53</v>
      </c>
      <c r="V311" t="s">
        <v>310</v>
      </c>
    </row>
    <row r="312" spans="1:22" hidden="1" x14ac:dyDescent="0.2">
      <c r="A312" t="s">
        <v>313</v>
      </c>
      <c r="B312" t="s">
        <v>23</v>
      </c>
      <c r="C312" t="s">
        <v>314</v>
      </c>
      <c r="D312" t="s">
        <v>25</v>
      </c>
      <c r="E312" t="s">
        <v>315</v>
      </c>
      <c r="F312" t="s">
        <v>316</v>
      </c>
      <c r="G312" t="s">
        <v>317</v>
      </c>
      <c r="H312" t="s">
        <v>318</v>
      </c>
      <c r="I312" t="s">
        <v>319</v>
      </c>
      <c r="J312" t="s">
        <v>320</v>
      </c>
      <c r="K312" t="s">
        <v>25</v>
      </c>
      <c r="L312" t="s">
        <v>321</v>
      </c>
      <c r="P312" t="s">
        <v>322</v>
      </c>
      <c r="Q312" t="s">
        <v>323</v>
      </c>
      <c r="R312">
        <v>0.4</v>
      </c>
      <c r="S312" t="s">
        <v>324</v>
      </c>
      <c r="T312" t="s">
        <v>326</v>
      </c>
      <c r="U312" t="s">
        <v>53</v>
      </c>
      <c r="V312" t="s">
        <v>325</v>
      </c>
    </row>
    <row r="313" spans="1:22" hidden="1" x14ac:dyDescent="0.2">
      <c r="A313" t="s">
        <v>313</v>
      </c>
      <c r="B313" t="s">
        <v>23</v>
      </c>
      <c r="C313" t="s">
        <v>314</v>
      </c>
      <c r="D313" t="s">
        <v>25</v>
      </c>
      <c r="E313" t="s">
        <v>315</v>
      </c>
      <c r="F313" t="s">
        <v>316</v>
      </c>
      <c r="G313" t="s">
        <v>317</v>
      </c>
      <c r="H313" t="s">
        <v>318</v>
      </c>
      <c r="I313" t="s">
        <v>319</v>
      </c>
      <c r="J313" t="s">
        <v>320</v>
      </c>
      <c r="K313" t="s">
        <v>25</v>
      </c>
      <c r="L313" t="s">
        <v>321</v>
      </c>
      <c r="P313" t="s">
        <v>322</v>
      </c>
      <c r="Q313" t="s">
        <v>323</v>
      </c>
      <c r="R313">
        <v>0.4</v>
      </c>
      <c r="S313" t="s">
        <v>324</v>
      </c>
      <c r="T313" t="s">
        <v>326</v>
      </c>
      <c r="U313" t="s">
        <v>55</v>
      </c>
      <c r="V313" t="s">
        <v>235</v>
      </c>
    </row>
    <row r="314" spans="1:22" hidden="1" x14ac:dyDescent="0.2">
      <c r="A314" t="s">
        <v>313</v>
      </c>
      <c r="B314" t="s">
        <v>23</v>
      </c>
      <c r="C314" t="s">
        <v>314</v>
      </c>
      <c r="D314" t="s">
        <v>25</v>
      </c>
      <c r="E314" t="s">
        <v>315</v>
      </c>
      <c r="F314" t="s">
        <v>316</v>
      </c>
      <c r="G314" t="s">
        <v>317</v>
      </c>
      <c r="H314" t="s">
        <v>318</v>
      </c>
      <c r="I314" t="s">
        <v>319</v>
      </c>
      <c r="J314" t="s">
        <v>320</v>
      </c>
      <c r="K314" t="s">
        <v>25</v>
      </c>
      <c r="L314" t="s">
        <v>321</v>
      </c>
      <c r="P314" t="s">
        <v>322</v>
      </c>
      <c r="Q314" t="s">
        <v>323</v>
      </c>
      <c r="R314">
        <v>0.4</v>
      </c>
      <c r="S314" t="s">
        <v>324</v>
      </c>
      <c r="T314" t="s">
        <v>198</v>
      </c>
      <c r="U314" t="s">
        <v>53</v>
      </c>
      <c r="V314" t="s">
        <v>310</v>
      </c>
    </row>
    <row r="315" spans="1:22" hidden="1" x14ac:dyDescent="0.2">
      <c r="A315" t="s">
        <v>313</v>
      </c>
      <c r="B315" t="s">
        <v>23</v>
      </c>
      <c r="C315" t="s">
        <v>314</v>
      </c>
      <c r="D315" t="s">
        <v>25</v>
      </c>
      <c r="E315" t="s">
        <v>315</v>
      </c>
      <c r="F315" t="s">
        <v>316</v>
      </c>
      <c r="G315" t="s">
        <v>317</v>
      </c>
      <c r="H315" t="s">
        <v>318</v>
      </c>
      <c r="I315" t="s">
        <v>319</v>
      </c>
      <c r="J315" t="s">
        <v>320</v>
      </c>
      <c r="K315" t="s">
        <v>25</v>
      </c>
      <c r="L315" t="s">
        <v>321</v>
      </c>
      <c r="P315" t="s">
        <v>322</v>
      </c>
      <c r="Q315" t="s">
        <v>323</v>
      </c>
      <c r="R315">
        <v>0.4</v>
      </c>
      <c r="S315" t="s">
        <v>324</v>
      </c>
      <c r="T315" t="s">
        <v>198</v>
      </c>
      <c r="U315" t="s">
        <v>53</v>
      </c>
      <c r="V315" t="s">
        <v>325</v>
      </c>
    </row>
    <row r="316" spans="1:22" hidden="1" x14ac:dyDescent="0.2">
      <c r="A316" t="s">
        <v>313</v>
      </c>
      <c r="B316" t="s">
        <v>23</v>
      </c>
      <c r="C316" t="s">
        <v>314</v>
      </c>
      <c r="D316" t="s">
        <v>25</v>
      </c>
      <c r="E316" t="s">
        <v>315</v>
      </c>
      <c r="F316" t="s">
        <v>316</v>
      </c>
      <c r="G316" t="s">
        <v>317</v>
      </c>
      <c r="H316" t="s">
        <v>318</v>
      </c>
      <c r="I316" t="s">
        <v>319</v>
      </c>
      <c r="J316" t="s">
        <v>320</v>
      </c>
      <c r="K316" t="s">
        <v>25</v>
      </c>
      <c r="L316" t="s">
        <v>321</v>
      </c>
      <c r="P316" t="s">
        <v>322</v>
      </c>
      <c r="Q316" t="s">
        <v>323</v>
      </c>
      <c r="R316">
        <v>0.4</v>
      </c>
      <c r="S316" t="s">
        <v>324</v>
      </c>
      <c r="T316" t="s">
        <v>198</v>
      </c>
      <c r="U316" t="s">
        <v>55</v>
      </c>
      <c r="V316" t="s">
        <v>235</v>
      </c>
    </row>
    <row r="317" spans="1:22" hidden="1" x14ac:dyDescent="0.2">
      <c r="A317" t="s">
        <v>313</v>
      </c>
      <c r="B317" t="s">
        <v>23</v>
      </c>
      <c r="C317" t="s">
        <v>314</v>
      </c>
      <c r="D317" t="s">
        <v>25</v>
      </c>
      <c r="E317" t="s">
        <v>315</v>
      </c>
      <c r="F317" t="s">
        <v>316</v>
      </c>
      <c r="G317" t="s">
        <v>317</v>
      </c>
      <c r="H317" t="s">
        <v>318</v>
      </c>
      <c r="I317" t="s">
        <v>319</v>
      </c>
      <c r="J317" t="s">
        <v>320</v>
      </c>
      <c r="K317" t="s">
        <v>25</v>
      </c>
      <c r="L317" t="s">
        <v>321</v>
      </c>
      <c r="P317" t="s">
        <v>322</v>
      </c>
      <c r="Q317" t="s">
        <v>323</v>
      </c>
      <c r="R317">
        <v>0.4</v>
      </c>
      <c r="S317" t="s">
        <v>324</v>
      </c>
      <c r="T317" t="s">
        <v>327</v>
      </c>
      <c r="U317" t="s">
        <v>53</v>
      </c>
      <c r="V317" t="s">
        <v>310</v>
      </c>
    </row>
    <row r="318" spans="1:22" hidden="1" x14ac:dyDescent="0.2">
      <c r="A318" t="s">
        <v>313</v>
      </c>
      <c r="B318" t="s">
        <v>23</v>
      </c>
      <c r="C318" t="s">
        <v>314</v>
      </c>
      <c r="D318" t="s">
        <v>25</v>
      </c>
      <c r="E318" t="s">
        <v>315</v>
      </c>
      <c r="F318" t="s">
        <v>316</v>
      </c>
      <c r="G318" t="s">
        <v>317</v>
      </c>
      <c r="H318" t="s">
        <v>318</v>
      </c>
      <c r="I318" t="s">
        <v>319</v>
      </c>
      <c r="J318" t="s">
        <v>320</v>
      </c>
      <c r="K318" t="s">
        <v>25</v>
      </c>
      <c r="L318" t="s">
        <v>321</v>
      </c>
      <c r="P318" t="s">
        <v>322</v>
      </c>
      <c r="Q318" t="s">
        <v>323</v>
      </c>
      <c r="R318">
        <v>0.4</v>
      </c>
      <c r="S318" t="s">
        <v>324</v>
      </c>
      <c r="T318" t="s">
        <v>327</v>
      </c>
      <c r="U318" t="s">
        <v>53</v>
      </c>
      <c r="V318" t="s">
        <v>325</v>
      </c>
    </row>
    <row r="319" spans="1:22" hidden="1" x14ac:dyDescent="0.2">
      <c r="A319" t="s">
        <v>313</v>
      </c>
      <c r="B319" t="s">
        <v>23</v>
      </c>
      <c r="C319" t="s">
        <v>314</v>
      </c>
      <c r="D319" t="s">
        <v>25</v>
      </c>
      <c r="E319" t="s">
        <v>315</v>
      </c>
      <c r="F319" t="s">
        <v>316</v>
      </c>
      <c r="G319" t="s">
        <v>317</v>
      </c>
      <c r="H319" t="s">
        <v>318</v>
      </c>
      <c r="I319" t="s">
        <v>319</v>
      </c>
      <c r="J319" t="s">
        <v>320</v>
      </c>
      <c r="K319" t="s">
        <v>25</v>
      </c>
      <c r="L319" t="s">
        <v>321</v>
      </c>
      <c r="P319" t="s">
        <v>322</v>
      </c>
      <c r="Q319" t="s">
        <v>323</v>
      </c>
      <c r="R319">
        <v>0.4</v>
      </c>
      <c r="S319" t="s">
        <v>324</v>
      </c>
      <c r="T319" t="s">
        <v>327</v>
      </c>
      <c r="U319" t="s">
        <v>55</v>
      </c>
      <c r="V319" t="s">
        <v>235</v>
      </c>
    </row>
    <row r="320" spans="1:22" hidden="1" x14ac:dyDescent="0.2">
      <c r="A320" t="s">
        <v>313</v>
      </c>
      <c r="B320" t="s">
        <v>23</v>
      </c>
      <c r="C320" t="s">
        <v>314</v>
      </c>
      <c r="D320" t="s">
        <v>25</v>
      </c>
      <c r="E320" t="s">
        <v>315</v>
      </c>
      <c r="F320" t="s">
        <v>316</v>
      </c>
      <c r="G320" t="s">
        <v>317</v>
      </c>
      <c r="H320" t="s">
        <v>318</v>
      </c>
      <c r="I320" t="s">
        <v>319</v>
      </c>
      <c r="J320" t="s">
        <v>320</v>
      </c>
      <c r="K320" t="s">
        <v>25</v>
      </c>
      <c r="L320" t="s">
        <v>321</v>
      </c>
      <c r="P320" t="s">
        <v>322</v>
      </c>
      <c r="Q320" t="s">
        <v>323</v>
      </c>
      <c r="R320">
        <v>0.4</v>
      </c>
      <c r="S320" t="s">
        <v>324</v>
      </c>
      <c r="T320" t="s">
        <v>80</v>
      </c>
      <c r="U320" t="s">
        <v>53</v>
      </c>
      <c r="V320" t="s">
        <v>310</v>
      </c>
    </row>
    <row r="321" spans="1:22" hidden="1" x14ac:dyDescent="0.2">
      <c r="A321" t="s">
        <v>313</v>
      </c>
      <c r="B321" t="s">
        <v>23</v>
      </c>
      <c r="C321" t="s">
        <v>314</v>
      </c>
      <c r="D321" t="s">
        <v>25</v>
      </c>
      <c r="E321" t="s">
        <v>315</v>
      </c>
      <c r="F321" t="s">
        <v>316</v>
      </c>
      <c r="G321" t="s">
        <v>317</v>
      </c>
      <c r="H321" t="s">
        <v>318</v>
      </c>
      <c r="I321" t="s">
        <v>319</v>
      </c>
      <c r="J321" t="s">
        <v>320</v>
      </c>
      <c r="K321" t="s">
        <v>25</v>
      </c>
      <c r="L321" t="s">
        <v>321</v>
      </c>
      <c r="P321" t="s">
        <v>322</v>
      </c>
      <c r="Q321" t="s">
        <v>323</v>
      </c>
      <c r="R321">
        <v>0.4</v>
      </c>
      <c r="S321" t="s">
        <v>324</v>
      </c>
      <c r="T321" t="s">
        <v>80</v>
      </c>
      <c r="U321" t="s">
        <v>53</v>
      </c>
      <c r="V321" t="s">
        <v>325</v>
      </c>
    </row>
    <row r="322" spans="1:22" hidden="1" x14ac:dyDescent="0.2">
      <c r="A322" t="s">
        <v>313</v>
      </c>
      <c r="B322" t="s">
        <v>23</v>
      </c>
      <c r="C322" t="s">
        <v>314</v>
      </c>
      <c r="D322" t="s">
        <v>25</v>
      </c>
      <c r="E322" t="s">
        <v>315</v>
      </c>
      <c r="F322" t="s">
        <v>316</v>
      </c>
      <c r="G322" t="s">
        <v>317</v>
      </c>
      <c r="H322" t="s">
        <v>318</v>
      </c>
      <c r="I322" t="s">
        <v>319</v>
      </c>
      <c r="J322" t="s">
        <v>320</v>
      </c>
      <c r="K322" t="s">
        <v>25</v>
      </c>
      <c r="L322" t="s">
        <v>321</v>
      </c>
      <c r="P322" t="s">
        <v>322</v>
      </c>
      <c r="Q322" t="s">
        <v>323</v>
      </c>
      <c r="R322">
        <v>0.4</v>
      </c>
      <c r="S322" t="s">
        <v>324</v>
      </c>
      <c r="T322" t="s">
        <v>80</v>
      </c>
      <c r="U322" t="s">
        <v>55</v>
      </c>
      <c r="V322" t="s">
        <v>235</v>
      </c>
    </row>
    <row r="323" spans="1:22" hidden="1" x14ac:dyDescent="0.2">
      <c r="A323" t="s">
        <v>328</v>
      </c>
      <c r="B323" t="s">
        <v>23</v>
      </c>
      <c r="C323" t="s">
        <v>329</v>
      </c>
      <c r="D323" t="s">
        <v>25</v>
      </c>
      <c r="E323" t="s">
        <v>330</v>
      </c>
      <c r="F323" t="s">
        <v>331</v>
      </c>
      <c r="G323" t="s">
        <v>25</v>
      </c>
      <c r="H323" t="s">
        <v>332</v>
      </c>
      <c r="I323" t="s">
        <v>333</v>
      </c>
      <c r="J323" t="s">
        <v>334</v>
      </c>
      <c r="K323" t="s">
        <v>335</v>
      </c>
      <c r="T323" t="s">
        <v>57</v>
      </c>
      <c r="U323" t="s">
        <v>157</v>
      </c>
      <c r="V323" t="s">
        <v>235</v>
      </c>
    </row>
    <row r="324" spans="1:22" hidden="1" x14ac:dyDescent="0.2">
      <c r="A324" t="s">
        <v>328</v>
      </c>
      <c r="B324" t="s">
        <v>23</v>
      </c>
      <c r="C324" t="s">
        <v>329</v>
      </c>
      <c r="D324" t="s">
        <v>25</v>
      </c>
      <c r="E324" t="s">
        <v>330</v>
      </c>
      <c r="F324" t="s">
        <v>331</v>
      </c>
      <c r="G324" t="s">
        <v>25</v>
      </c>
      <c r="H324" t="s">
        <v>332</v>
      </c>
      <c r="I324" t="s">
        <v>333</v>
      </c>
      <c r="J324" t="s">
        <v>334</v>
      </c>
      <c r="K324" t="s">
        <v>335</v>
      </c>
      <c r="T324" t="s">
        <v>57</v>
      </c>
      <c r="U324" t="s">
        <v>53</v>
      </c>
      <c r="V324" t="s">
        <v>336</v>
      </c>
    </row>
    <row r="325" spans="1:22" hidden="1" x14ac:dyDescent="0.2">
      <c r="A325" t="s">
        <v>328</v>
      </c>
      <c r="B325" t="s">
        <v>23</v>
      </c>
      <c r="C325" t="s">
        <v>329</v>
      </c>
      <c r="D325" t="s">
        <v>25</v>
      </c>
      <c r="E325" t="s">
        <v>330</v>
      </c>
      <c r="F325" t="s">
        <v>331</v>
      </c>
      <c r="G325" t="s">
        <v>25</v>
      </c>
      <c r="H325" t="s">
        <v>332</v>
      </c>
      <c r="I325" t="s">
        <v>333</v>
      </c>
      <c r="J325" t="s">
        <v>334</v>
      </c>
      <c r="K325" t="s">
        <v>335</v>
      </c>
      <c r="T325" t="s">
        <v>39</v>
      </c>
      <c r="U325" t="s">
        <v>157</v>
      </c>
      <c r="V325" t="s">
        <v>235</v>
      </c>
    </row>
    <row r="326" spans="1:22" hidden="1" x14ac:dyDescent="0.2">
      <c r="A326" t="s">
        <v>328</v>
      </c>
      <c r="B326" t="s">
        <v>23</v>
      </c>
      <c r="C326" t="s">
        <v>329</v>
      </c>
      <c r="D326" t="s">
        <v>25</v>
      </c>
      <c r="E326" t="s">
        <v>330</v>
      </c>
      <c r="F326" t="s">
        <v>331</v>
      </c>
      <c r="G326" t="s">
        <v>25</v>
      </c>
      <c r="H326" t="s">
        <v>332</v>
      </c>
      <c r="I326" t="s">
        <v>333</v>
      </c>
      <c r="J326" t="s">
        <v>334</v>
      </c>
      <c r="K326" t="s">
        <v>335</v>
      </c>
      <c r="T326" t="s">
        <v>39</v>
      </c>
      <c r="U326" t="s">
        <v>53</v>
      </c>
      <c r="V326" t="s">
        <v>336</v>
      </c>
    </row>
    <row r="327" spans="1:22" hidden="1" x14ac:dyDescent="0.2">
      <c r="A327" t="s">
        <v>328</v>
      </c>
      <c r="B327" t="s">
        <v>23</v>
      </c>
      <c r="C327" t="s">
        <v>329</v>
      </c>
      <c r="D327" t="s">
        <v>25</v>
      </c>
      <c r="E327" t="s">
        <v>330</v>
      </c>
      <c r="F327" t="s">
        <v>331</v>
      </c>
      <c r="G327" t="s">
        <v>25</v>
      </c>
      <c r="H327" t="s">
        <v>332</v>
      </c>
      <c r="I327" t="s">
        <v>333</v>
      </c>
      <c r="J327" t="s">
        <v>334</v>
      </c>
      <c r="K327" t="s">
        <v>335</v>
      </c>
      <c r="T327" t="s">
        <v>58</v>
      </c>
      <c r="U327" t="s">
        <v>157</v>
      </c>
      <c r="V327" t="s">
        <v>235</v>
      </c>
    </row>
    <row r="328" spans="1:22" hidden="1" x14ac:dyDescent="0.2">
      <c r="A328" t="s">
        <v>328</v>
      </c>
      <c r="B328" t="s">
        <v>23</v>
      </c>
      <c r="C328" t="s">
        <v>329</v>
      </c>
      <c r="D328" t="s">
        <v>25</v>
      </c>
      <c r="E328" t="s">
        <v>330</v>
      </c>
      <c r="F328" t="s">
        <v>331</v>
      </c>
      <c r="G328" t="s">
        <v>25</v>
      </c>
      <c r="H328" t="s">
        <v>332</v>
      </c>
      <c r="I328" t="s">
        <v>333</v>
      </c>
      <c r="J328" t="s">
        <v>334</v>
      </c>
      <c r="K328" t="s">
        <v>335</v>
      </c>
      <c r="T328" t="s">
        <v>58</v>
      </c>
      <c r="U328" t="s">
        <v>53</v>
      </c>
      <c r="V328" t="s">
        <v>336</v>
      </c>
    </row>
    <row r="329" spans="1:22" hidden="1" x14ac:dyDescent="0.2">
      <c r="A329" t="s">
        <v>328</v>
      </c>
      <c r="B329" t="s">
        <v>23</v>
      </c>
      <c r="C329" t="s">
        <v>329</v>
      </c>
      <c r="D329" t="s">
        <v>25</v>
      </c>
      <c r="E329" t="s">
        <v>330</v>
      </c>
      <c r="F329" t="s">
        <v>331</v>
      </c>
      <c r="G329" t="s">
        <v>25</v>
      </c>
      <c r="H329" t="s">
        <v>332</v>
      </c>
      <c r="I329" t="s">
        <v>333</v>
      </c>
      <c r="J329" t="s">
        <v>334</v>
      </c>
      <c r="K329" t="s">
        <v>335</v>
      </c>
      <c r="T329" t="s">
        <v>59</v>
      </c>
      <c r="U329" t="s">
        <v>157</v>
      </c>
      <c r="V329" t="s">
        <v>235</v>
      </c>
    </row>
    <row r="330" spans="1:22" hidden="1" x14ac:dyDescent="0.2">
      <c r="A330" t="s">
        <v>328</v>
      </c>
      <c r="B330" t="s">
        <v>23</v>
      </c>
      <c r="C330" t="s">
        <v>329</v>
      </c>
      <c r="D330" t="s">
        <v>25</v>
      </c>
      <c r="E330" t="s">
        <v>330</v>
      </c>
      <c r="F330" t="s">
        <v>331</v>
      </c>
      <c r="G330" t="s">
        <v>25</v>
      </c>
      <c r="H330" t="s">
        <v>332</v>
      </c>
      <c r="I330" t="s">
        <v>333</v>
      </c>
      <c r="J330" t="s">
        <v>334</v>
      </c>
      <c r="K330" t="s">
        <v>335</v>
      </c>
      <c r="T330" t="s">
        <v>59</v>
      </c>
      <c r="U330" t="s">
        <v>53</v>
      </c>
      <c r="V330" t="s">
        <v>336</v>
      </c>
    </row>
    <row r="331" spans="1:22" hidden="1" x14ac:dyDescent="0.2">
      <c r="A331" t="s">
        <v>328</v>
      </c>
      <c r="B331" t="s">
        <v>23</v>
      </c>
      <c r="C331" t="s">
        <v>329</v>
      </c>
      <c r="D331" t="s">
        <v>25</v>
      </c>
      <c r="E331" t="s">
        <v>330</v>
      </c>
      <c r="F331" t="s">
        <v>331</v>
      </c>
      <c r="G331" t="s">
        <v>25</v>
      </c>
      <c r="H331" t="s">
        <v>332</v>
      </c>
      <c r="I331" t="s">
        <v>333</v>
      </c>
      <c r="J331" t="s">
        <v>334</v>
      </c>
      <c r="K331" t="s">
        <v>335</v>
      </c>
      <c r="T331" t="s">
        <v>60</v>
      </c>
      <c r="U331" t="s">
        <v>157</v>
      </c>
      <c r="V331" t="s">
        <v>235</v>
      </c>
    </row>
    <row r="332" spans="1:22" hidden="1" x14ac:dyDescent="0.2">
      <c r="A332" t="s">
        <v>328</v>
      </c>
      <c r="B332" t="s">
        <v>23</v>
      </c>
      <c r="C332" t="s">
        <v>329</v>
      </c>
      <c r="D332" t="s">
        <v>25</v>
      </c>
      <c r="E332" t="s">
        <v>330</v>
      </c>
      <c r="F332" t="s">
        <v>331</v>
      </c>
      <c r="G332" t="s">
        <v>25</v>
      </c>
      <c r="H332" t="s">
        <v>332</v>
      </c>
      <c r="I332" t="s">
        <v>333</v>
      </c>
      <c r="J332" t="s">
        <v>334</v>
      </c>
      <c r="K332" t="s">
        <v>335</v>
      </c>
      <c r="T332" t="s">
        <v>60</v>
      </c>
      <c r="U332" t="s">
        <v>53</v>
      </c>
      <c r="V332" t="s">
        <v>336</v>
      </c>
    </row>
    <row r="333" spans="1:22" hidden="1" x14ac:dyDescent="0.2">
      <c r="A333" t="s">
        <v>328</v>
      </c>
      <c r="B333" t="s">
        <v>23</v>
      </c>
      <c r="C333" t="s">
        <v>329</v>
      </c>
      <c r="D333" t="s">
        <v>25</v>
      </c>
      <c r="E333" t="s">
        <v>330</v>
      </c>
      <c r="F333" t="s">
        <v>331</v>
      </c>
      <c r="G333" t="s">
        <v>25</v>
      </c>
      <c r="H333" t="s">
        <v>332</v>
      </c>
      <c r="I333" t="s">
        <v>333</v>
      </c>
      <c r="J333" t="s">
        <v>334</v>
      </c>
      <c r="K333" t="s">
        <v>335</v>
      </c>
      <c r="T333" t="s">
        <v>327</v>
      </c>
      <c r="U333" t="s">
        <v>157</v>
      </c>
      <c r="V333" t="s">
        <v>235</v>
      </c>
    </row>
    <row r="334" spans="1:22" hidden="1" x14ac:dyDescent="0.2">
      <c r="A334" t="s">
        <v>328</v>
      </c>
      <c r="B334" t="s">
        <v>23</v>
      </c>
      <c r="C334" t="s">
        <v>329</v>
      </c>
      <c r="D334" t="s">
        <v>25</v>
      </c>
      <c r="E334" t="s">
        <v>330</v>
      </c>
      <c r="F334" t="s">
        <v>331</v>
      </c>
      <c r="G334" t="s">
        <v>25</v>
      </c>
      <c r="H334" t="s">
        <v>332</v>
      </c>
      <c r="I334" t="s">
        <v>333</v>
      </c>
      <c r="J334" t="s">
        <v>334</v>
      </c>
      <c r="K334" t="s">
        <v>335</v>
      </c>
      <c r="T334" t="s">
        <v>327</v>
      </c>
      <c r="U334" t="s">
        <v>53</v>
      </c>
      <c r="V334" t="s">
        <v>336</v>
      </c>
    </row>
    <row r="335" spans="1:22" hidden="1" x14ac:dyDescent="0.2">
      <c r="A335" t="s">
        <v>328</v>
      </c>
      <c r="B335" t="s">
        <v>23</v>
      </c>
      <c r="C335" t="s">
        <v>329</v>
      </c>
      <c r="D335" t="s">
        <v>25</v>
      </c>
      <c r="E335" t="s">
        <v>330</v>
      </c>
      <c r="F335" t="s">
        <v>331</v>
      </c>
      <c r="G335" t="s">
        <v>25</v>
      </c>
      <c r="H335" t="s">
        <v>332</v>
      </c>
      <c r="I335" t="s">
        <v>333</v>
      </c>
      <c r="J335" t="s">
        <v>334</v>
      </c>
      <c r="K335" t="s">
        <v>335</v>
      </c>
      <c r="T335" t="s">
        <v>326</v>
      </c>
      <c r="U335" t="s">
        <v>157</v>
      </c>
      <c r="V335" t="s">
        <v>235</v>
      </c>
    </row>
    <row r="336" spans="1:22" hidden="1" x14ac:dyDescent="0.2">
      <c r="A336" t="s">
        <v>328</v>
      </c>
      <c r="B336" t="s">
        <v>23</v>
      </c>
      <c r="C336" t="s">
        <v>329</v>
      </c>
      <c r="D336" t="s">
        <v>25</v>
      </c>
      <c r="E336" t="s">
        <v>330</v>
      </c>
      <c r="F336" t="s">
        <v>331</v>
      </c>
      <c r="G336" t="s">
        <v>25</v>
      </c>
      <c r="H336" t="s">
        <v>332</v>
      </c>
      <c r="I336" t="s">
        <v>333</v>
      </c>
      <c r="J336" t="s">
        <v>334</v>
      </c>
      <c r="K336" t="s">
        <v>335</v>
      </c>
      <c r="T336" t="s">
        <v>326</v>
      </c>
      <c r="U336" t="s">
        <v>53</v>
      </c>
      <c r="V336" t="s">
        <v>336</v>
      </c>
    </row>
    <row r="337" spans="1:22" hidden="1" x14ac:dyDescent="0.2">
      <c r="A337" t="s">
        <v>337</v>
      </c>
      <c r="B337" t="s">
        <v>23</v>
      </c>
      <c r="C337" t="s">
        <v>338</v>
      </c>
      <c r="D337" t="s">
        <v>339</v>
      </c>
      <c r="E337" t="s">
        <v>340</v>
      </c>
      <c r="F337" t="s">
        <v>341</v>
      </c>
      <c r="G337" t="s">
        <v>342</v>
      </c>
      <c r="H337" t="s">
        <v>343</v>
      </c>
      <c r="I337" t="s">
        <v>344</v>
      </c>
      <c r="J337" t="s">
        <v>345</v>
      </c>
      <c r="K337" t="s">
        <v>346</v>
      </c>
      <c r="L337" t="s">
        <v>347</v>
      </c>
      <c r="M337" t="s">
        <v>348</v>
      </c>
      <c r="O337" t="s">
        <v>349</v>
      </c>
      <c r="P337" t="s">
        <v>350</v>
      </c>
      <c r="Q337" t="s">
        <v>37</v>
      </c>
      <c r="R337">
        <v>3</v>
      </c>
      <c r="S337" t="s">
        <v>351</v>
      </c>
      <c r="T337" t="s">
        <v>57</v>
      </c>
      <c r="U337" t="s">
        <v>53</v>
      </c>
      <c r="V337" t="s">
        <v>54</v>
      </c>
    </row>
    <row r="338" spans="1:22" hidden="1" x14ac:dyDescent="0.2">
      <c r="A338" t="s">
        <v>337</v>
      </c>
      <c r="B338" t="s">
        <v>23</v>
      </c>
      <c r="C338" t="s">
        <v>338</v>
      </c>
      <c r="D338" t="s">
        <v>339</v>
      </c>
      <c r="E338" t="s">
        <v>340</v>
      </c>
      <c r="F338" t="s">
        <v>341</v>
      </c>
      <c r="G338" t="s">
        <v>342</v>
      </c>
      <c r="H338" t="s">
        <v>343</v>
      </c>
      <c r="I338" t="s">
        <v>344</v>
      </c>
      <c r="J338" t="s">
        <v>345</v>
      </c>
      <c r="K338" t="s">
        <v>346</v>
      </c>
      <c r="L338" t="s">
        <v>347</v>
      </c>
      <c r="M338" t="s">
        <v>348</v>
      </c>
      <c r="O338" t="s">
        <v>349</v>
      </c>
      <c r="P338" t="s">
        <v>350</v>
      </c>
      <c r="Q338" t="s">
        <v>37</v>
      </c>
      <c r="R338">
        <v>3</v>
      </c>
      <c r="S338" t="s">
        <v>351</v>
      </c>
      <c r="T338" t="s">
        <v>57</v>
      </c>
      <c r="U338" t="s">
        <v>53</v>
      </c>
      <c r="V338" t="s">
        <v>352</v>
      </c>
    </row>
    <row r="339" spans="1:22" hidden="1" x14ac:dyDescent="0.2">
      <c r="A339" t="s">
        <v>337</v>
      </c>
      <c r="B339" t="s">
        <v>23</v>
      </c>
      <c r="C339" t="s">
        <v>338</v>
      </c>
      <c r="D339" t="s">
        <v>339</v>
      </c>
      <c r="E339" t="s">
        <v>340</v>
      </c>
      <c r="F339" t="s">
        <v>341</v>
      </c>
      <c r="G339" t="s">
        <v>342</v>
      </c>
      <c r="H339" t="s">
        <v>343</v>
      </c>
      <c r="I339" t="s">
        <v>344</v>
      </c>
      <c r="J339" t="s">
        <v>345</v>
      </c>
      <c r="K339" t="s">
        <v>346</v>
      </c>
      <c r="L339" t="s">
        <v>347</v>
      </c>
      <c r="M339" t="s">
        <v>348</v>
      </c>
      <c r="O339" t="s">
        <v>349</v>
      </c>
      <c r="P339" t="s">
        <v>350</v>
      </c>
      <c r="Q339" t="s">
        <v>37</v>
      </c>
      <c r="R339">
        <v>3</v>
      </c>
      <c r="S339" t="s">
        <v>351</v>
      </c>
      <c r="T339" t="s">
        <v>39</v>
      </c>
      <c r="U339" t="s">
        <v>53</v>
      </c>
      <c r="V339" t="s">
        <v>54</v>
      </c>
    </row>
    <row r="340" spans="1:22" hidden="1" x14ac:dyDescent="0.2">
      <c r="A340" t="s">
        <v>337</v>
      </c>
      <c r="B340" t="s">
        <v>23</v>
      </c>
      <c r="C340" t="s">
        <v>338</v>
      </c>
      <c r="D340" t="s">
        <v>339</v>
      </c>
      <c r="E340" t="s">
        <v>340</v>
      </c>
      <c r="F340" t="s">
        <v>341</v>
      </c>
      <c r="G340" t="s">
        <v>342</v>
      </c>
      <c r="H340" t="s">
        <v>343</v>
      </c>
      <c r="I340" t="s">
        <v>344</v>
      </c>
      <c r="J340" t="s">
        <v>345</v>
      </c>
      <c r="K340" t="s">
        <v>346</v>
      </c>
      <c r="L340" t="s">
        <v>347</v>
      </c>
      <c r="M340" t="s">
        <v>348</v>
      </c>
      <c r="O340" t="s">
        <v>349</v>
      </c>
      <c r="P340" t="s">
        <v>350</v>
      </c>
      <c r="Q340" t="s">
        <v>37</v>
      </c>
      <c r="R340">
        <v>3</v>
      </c>
      <c r="S340" t="s">
        <v>351</v>
      </c>
      <c r="T340" t="s">
        <v>39</v>
      </c>
      <c r="U340" t="s">
        <v>53</v>
      </c>
      <c r="V340" t="s">
        <v>352</v>
      </c>
    </row>
    <row r="341" spans="1:22" hidden="1" x14ac:dyDescent="0.2">
      <c r="A341" t="s">
        <v>337</v>
      </c>
      <c r="B341" t="s">
        <v>23</v>
      </c>
      <c r="C341" t="s">
        <v>338</v>
      </c>
      <c r="D341" t="s">
        <v>339</v>
      </c>
      <c r="E341" t="s">
        <v>340</v>
      </c>
      <c r="F341" t="s">
        <v>341</v>
      </c>
      <c r="G341" t="s">
        <v>342</v>
      </c>
      <c r="H341" t="s">
        <v>343</v>
      </c>
      <c r="I341" t="s">
        <v>344</v>
      </c>
      <c r="J341" t="s">
        <v>345</v>
      </c>
      <c r="K341" t="s">
        <v>346</v>
      </c>
      <c r="L341" t="s">
        <v>347</v>
      </c>
      <c r="M341" t="s">
        <v>348</v>
      </c>
      <c r="O341" t="s">
        <v>349</v>
      </c>
      <c r="P341" t="s">
        <v>350</v>
      </c>
      <c r="Q341" t="s">
        <v>37</v>
      </c>
      <c r="R341">
        <v>3</v>
      </c>
      <c r="S341" t="s">
        <v>351</v>
      </c>
      <c r="T341" t="s">
        <v>58</v>
      </c>
      <c r="U341" t="s">
        <v>53</v>
      </c>
      <c r="V341" t="s">
        <v>54</v>
      </c>
    </row>
    <row r="342" spans="1:22" hidden="1" x14ac:dyDescent="0.2">
      <c r="A342" t="s">
        <v>337</v>
      </c>
      <c r="B342" t="s">
        <v>23</v>
      </c>
      <c r="C342" t="s">
        <v>338</v>
      </c>
      <c r="D342" t="s">
        <v>339</v>
      </c>
      <c r="E342" t="s">
        <v>340</v>
      </c>
      <c r="F342" t="s">
        <v>341</v>
      </c>
      <c r="G342" t="s">
        <v>342</v>
      </c>
      <c r="H342" t="s">
        <v>343</v>
      </c>
      <c r="I342" t="s">
        <v>344</v>
      </c>
      <c r="J342" t="s">
        <v>345</v>
      </c>
      <c r="K342" t="s">
        <v>346</v>
      </c>
      <c r="L342" t="s">
        <v>347</v>
      </c>
      <c r="M342" t="s">
        <v>348</v>
      </c>
      <c r="O342" t="s">
        <v>349</v>
      </c>
      <c r="P342" t="s">
        <v>350</v>
      </c>
      <c r="Q342" t="s">
        <v>37</v>
      </c>
      <c r="R342">
        <v>3</v>
      </c>
      <c r="S342" t="s">
        <v>351</v>
      </c>
      <c r="T342" t="s">
        <v>58</v>
      </c>
      <c r="U342" t="s">
        <v>53</v>
      </c>
      <c r="V342" t="s">
        <v>352</v>
      </c>
    </row>
    <row r="343" spans="1:22" hidden="1" x14ac:dyDescent="0.2">
      <c r="A343" t="s">
        <v>337</v>
      </c>
      <c r="B343" t="s">
        <v>23</v>
      </c>
      <c r="C343" t="s">
        <v>338</v>
      </c>
      <c r="D343" t="s">
        <v>339</v>
      </c>
      <c r="E343" t="s">
        <v>340</v>
      </c>
      <c r="F343" t="s">
        <v>341</v>
      </c>
      <c r="G343" t="s">
        <v>342</v>
      </c>
      <c r="H343" t="s">
        <v>343</v>
      </c>
      <c r="I343" t="s">
        <v>344</v>
      </c>
      <c r="J343" t="s">
        <v>345</v>
      </c>
      <c r="K343" t="s">
        <v>346</v>
      </c>
      <c r="L343" t="s">
        <v>347</v>
      </c>
      <c r="M343" t="s">
        <v>348</v>
      </c>
      <c r="O343" t="s">
        <v>349</v>
      </c>
      <c r="P343" t="s">
        <v>350</v>
      </c>
      <c r="Q343" t="s">
        <v>37</v>
      </c>
      <c r="R343">
        <v>3</v>
      </c>
      <c r="S343" t="s">
        <v>351</v>
      </c>
      <c r="T343" t="s">
        <v>59</v>
      </c>
      <c r="U343" t="s">
        <v>53</v>
      </c>
      <c r="V343" t="s">
        <v>54</v>
      </c>
    </row>
    <row r="344" spans="1:22" hidden="1" x14ac:dyDescent="0.2">
      <c r="A344" t="s">
        <v>337</v>
      </c>
      <c r="B344" t="s">
        <v>23</v>
      </c>
      <c r="C344" t="s">
        <v>338</v>
      </c>
      <c r="D344" t="s">
        <v>339</v>
      </c>
      <c r="E344" t="s">
        <v>340</v>
      </c>
      <c r="F344" t="s">
        <v>341</v>
      </c>
      <c r="G344" t="s">
        <v>342</v>
      </c>
      <c r="H344" t="s">
        <v>343</v>
      </c>
      <c r="I344" t="s">
        <v>344</v>
      </c>
      <c r="J344" t="s">
        <v>345</v>
      </c>
      <c r="K344" t="s">
        <v>346</v>
      </c>
      <c r="L344" t="s">
        <v>347</v>
      </c>
      <c r="M344" t="s">
        <v>348</v>
      </c>
      <c r="O344" t="s">
        <v>349</v>
      </c>
      <c r="P344" t="s">
        <v>350</v>
      </c>
      <c r="Q344" t="s">
        <v>37</v>
      </c>
      <c r="R344">
        <v>3</v>
      </c>
      <c r="S344" t="s">
        <v>351</v>
      </c>
      <c r="T344" t="s">
        <v>59</v>
      </c>
      <c r="U344" t="s">
        <v>53</v>
      </c>
      <c r="V344" t="s">
        <v>352</v>
      </c>
    </row>
    <row r="345" spans="1:22" hidden="1" x14ac:dyDescent="0.2">
      <c r="A345" t="s">
        <v>337</v>
      </c>
      <c r="B345" t="s">
        <v>23</v>
      </c>
      <c r="C345" t="s">
        <v>338</v>
      </c>
      <c r="D345" t="s">
        <v>339</v>
      </c>
      <c r="E345" t="s">
        <v>340</v>
      </c>
      <c r="F345" t="s">
        <v>341</v>
      </c>
      <c r="G345" t="s">
        <v>342</v>
      </c>
      <c r="H345" t="s">
        <v>343</v>
      </c>
      <c r="I345" t="s">
        <v>344</v>
      </c>
      <c r="J345" t="s">
        <v>345</v>
      </c>
      <c r="K345" t="s">
        <v>346</v>
      </c>
      <c r="L345" t="s">
        <v>347</v>
      </c>
      <c r="M345" t="s">
        <v>348</v>
      </c>
      <c r="O345" t="s">
        <v>349</v>
      </c>
      <c r="P345" t="s">
        <v>350</v>
      </c>
      <c r="Q345" t="s">
        <v>37</v>
      </c>
      <c r="R345">
        <v>3</v>
      </c>
      <c r="S345" t="s">
        <v>351</v>
      </c>
      <c r="T345" t="s">
        <v>60</v>
      </c>
      <c r="U345" t="s">
        <v>53</v>
      </c>
      <c r="V345" t="s">
        <v>54</v>
      </c>
    </row>
    <row r="346" spans="1:22" hidden="1" x14ac:dyDescent="0.2">
      <c r="A346" t="s">
        <v>337</v>
      </c>
      <c r="B346" t="s">
        <v>23</v>
      </c>
      <c r="C346" t="s">
        <v>338</v>
      </c>
      <c r="D346" t="s">
        <v>339</v>
      </c>
      <c r="E346" t="s">
        <v>340</v>
      </c>
      <c r="F346" t="s">
        <v>341</v>
      </c>
      <c r="G346" t="s">
        <v>342</v>
      </c>
      <c r="H346" t="s">
        <v>343</v>
      </c>
      <c r="I346" t="s">
        <v>344</v>
      </c>
      <c r="J346" t="s">
        <v>345</v>
      </c>
      <c r="K346" t="s">
        <v>346</v>
      </c>
      <c r="L346" t="s">
        <v>347</v>
      </c>
      <c r="M346" t="s">
        <v>348</v>
      </c>
      <c r="O346" t="s">
        <v>349</v>
      </c>
      <c r="P346" t="s">
        <v>350</v>
      </c>
      <c r="Q346" t="s">
        <v>37</v>
      </c>
      <c r="R346">
        <v>3</v>
      </c>
      <c r="S346" t="s">
        <v>351</v>
      </c>
      <c r="T346" t="s">
        <v>60</v>
      </c>
      <c r="U346" t="s">
        <v>53</v>
      </c>
      <c r="V346" t="s">
        <v>352</v>
      </c>
    </row>
    <row r="347" spans="1:22" hidden="1" x14ac:dyDescent="0.2">
      <c r="A347" t="s">
        <v>337</v>
      </c>
      <c r="B347" t="s">
        <v>23</v>
      </c>
      <c r="C347" t="s">
        <v>338</v>
      </c>
      <c r="D347" t="s">
        <v>339</v>
      </c>
      <c r="E347" t="s">
        <v>340</v>
      </c>
      <c r="F347" t="s">
        <v>341</v>
      </c>
      <c r="G347" t="s">
        <v>342</v>
      </c>
      <c r="H347" t="s">
        <v>343</v>
      </c>
      <c r="I347" t="s">
        <v>344</v>
      </c>
      <c r="J347" t="s">
        <v>345</v>
      </c>
      <c r="K347" t="s">
        <v>346</v>
      </c>
      <c r="L347" t="s">
        <v>347</v>
      </c>
      <c r="M347" t="s">
        <v>348</v>
      </c>
      <c r="O347" t="s">
        <v>349</v>
      </c>
      <c r="P347" t="s">
        <v>350</v>
      </c>
      <c r="Q347" t="s">
        <v>37</v>
      </c>
      <c r="R347">
        <v>3</v>
      </c>
      <c r="S347" t="s">
        <v>351</v>
      </c>
      <c r="T347" t="s">
        <v>95</v>
      </c>
      <c r="U347" t="s">
        <v>53</v>
      </c>
      <c r="V347" t="s">
        <v>54</v>
      </c>
    </row>
    <row r="348" spans="1:22" hidden="1" x14ac:dyDescent="0.2">
      <c r="A348" t="s">
        <v>337</v>
      </c>
      <c r="B348" t="s">
        <v>23</v>
      </c>
      <c r="C348" t="s">
        <v>338</v>
      </c>
      <c r="D348" t="s">
        <v>339</v>
      </c>
      <c r="E348" t="s">
        <v>340</v>
      </c>
      <c r="F348" t="s">
        <v>341</v>
      </c>
      <c r="G348" t="s">
        <v>342</v>
      </c>
      <c r="H348" t="s">
        <v>343</v>
      </c>
      <c r="I348" t="s">
        <v>344</v>
      </c>
      <c r="J348" t="s">
        <v>345</v>
      </c>
      <c r="K348" t="s">
        <v>346</v>
      </c>
      <c r="L348" t="s">
        <v>347</v>
      </c>
      <c r="M348" t="s">
        <v>348</v>
      </c>
      <c r="O348" t="s">
        <v>349</v>
      </c>
      <c r="P348" t="s">
        <v>350</v>
      </c>
      <c r="Q348" t="s">
        <v>37</v>
      </c>
      <c r="R348">
        <v>3</v>
      </c>
      <c r="S348" t="s">
        <v>351</v>
      </c>
      <c r="T348" t="s">
        <v>95</v>
      </c>
      <c r="U348" t="s">
        <v>53</v>
      </c>
      <c r="V348" t="s">
        <v>352</v>
      </c>
    </row>
    <row r="349" spans="1:22" hidden="1" x14ac:dyDescent="0.2">
      <c r="A349" t="s">
        <v>337</v>
      </c>
      <c r="B349" t="s">
        <v>23</v>
      </c>
      <c r="C349" t="s">
        <v>338</v>
      </c>
      <c r="D349" t="s">
        <v>339</v>
      </c>
      <c r="E349" t="s">
        <v>340</v>
      </c>
      <c r="F349" t="s">
        <v>341</v>
      </c>
      <c r="G349" t="s">
        <v>342</v>
      </c>
      <c r="H349" t="s">
        <v>343</v>
      </c>
      <c r="I349" t="s">
        <v>344</v>
      </c>
      <c r="J349" t="s">
        <v>345</v>
      </c>
      <c r="K349" t="s">
        <v>346</v>
      </c>
      <c r="L349" t="s">
        <v>347</v>
      </c>
      <c r="M349" t="s">
        <v>348</v>
      </c>
      <c r="O349" t="s">
        <v>349</v>
      </c>
      <c r="P349" t="s">
        <v>350</v>
      </c>
      <c r="Q349" t="s">
        <v>37</v>
      </c>
      <c r="R349">
        <v>3</v>
      </c>
      <c r="S349" t="s">
        <v>351</v>
      </c>
      <c r="T349" t="s">
        <v>131</v>
      </c>
      <c r="U349" t="s">
        <v>53</v>
      </c>
      <c r="V349" t="s">
        <v>54</v>
      </c>
    </row>
    <row r="350" spans="1:22" hidden="1" x14ac:dyDescent="0.2">
      <c r="A350" t="s">
        <v>337</v>
      </c>
      <c r="B350" t="s">
        <v>23</v>
      </c>
      <c r="C350" t="s">
        <v>338</v>
      </c>
      <c r="D350" t="s">
        <v>339</v>
      </c>
      <c r="E350" t="s">
        <v>340</v>
      </c>
      <c r="F350" t="s">
        <v>341</v>
      </c>
      <c r="G350" t="s">
        <v>342</v>
      </c>
      <c r="H350" t="s">
        <v>343</v>
      </c>
      <c r="I350" t="s">
        <v>344</v>
      </c>
      <c r="J350" t="s">
        <v>345</v>
      </c>
      <c r="K350" t="s">
        <v>346</v>
      </c>
      <c r="L350" t="s">
        <v>347</v>
      </c>
      <c r="M350" t="s">
        <v>348</v>
      </c>
      <c r="O350" t="s">
        <v>349</v>
      </c>
      <c r="P350" t="s">
        <v>350</v>
      </c>
      <c r="Q350" t="s">
        <v>37</v>
      </c>
      <c r="R350">
        <v>3</v>
      </c>
      <c r="S350" t="s">
        <v>351</v>
      </c>
      <c r="T350" t="s">
        <v>131</v>
      </c>
      <c r="U350" t="s">
        <v>53</v>
      </c>
      <c r="V350" t="s">
        <v>352</v>
      </c>
    </row>
    <row r="351" spans="1:22" hidden="1" x14ac:dyDescent="0.2">
      <c r="A351" t="s">
        <v>337</v>
      </c>
      <c r="B351" t="s">
        <v>23</v>
      </c>
      <c r="C351" t="s">
        <v>338</v>
      </c>
      <c r="D351" t="s">
        <v>339</v>
      </c>
      <c r="E351" t="s">
        <v>340</v>
      </c>
      <c r="F351" t="s">
        <v>341</v>
      </c>
      <c r="G351" t="s">
        <v>342</v>
      </c>
      <c r="H351" t="s">
        <v>343</v>
      </c>
      <c r="I351" t="s">
        <v>344</v>
      </c>
      <c r="J351" t="s">
        <v>345</v>
      </c>
      <c r="K351" t="s">
        <v>346</v>
      </c>
      <c r="L351" t="s">
        <v>347</v>
      </c>
      <c r="M351" t="s">
        <v>348</v>
      </c>
      <c r="O351" t="s">
        <v>349</v>
      </c>
      <c r="P351" t="s">
        <v>350</v>
      </c>
      <c r="Q351" t="s">
        <v>37</v>
      </c>
      <c r="R351">
        <v>3</v>
      </c>
      <c r="S351" t="s">
        <v>351</v>
      </c>
      <c r="T351" t="s">
        <v>158</v>
      </c>
      <c r="U351" t="s">
        <v>53</v>
      </c>
      <c r="V351" t="s">
        <v>54</v>
      </c>
    </row>
    <row r="352" spans="1:22" hidden="1" x14ac:dyDescent="0.2">
      <c r="A352" t="s">
        <v>337</v>
      </c>
      <c r="B352" t="s">
        <v>23</v>
      </c>
      <c r="C352" t="s">
        <v>338</v>
      </c>
      <c r="D352" t="s">
        <v>339</v>
      </c>
      <c r="E352" t="s">
        <v>340</v>
      </c>
      <c r="F352" t="s">
        <v>341</v>
      </c>
      <c r="G352" t="s">
        <v>342</v>
      </c>
      <c r="H352" t="s">
        <v>343</v>
      </c>
      <c r="I352" t="s">
        <v>344</v>
      </c>
      <c r="J352" t="s">
        <v>345</v>
      </c>
      <c r="K352" t="s">
        <v>346</v>
      </c>
      <c r="L352" t="s">
        <v>347</v>
      </c>
      <c r="M352" t="s">
        <v>348</v>
      </c>
      <c r="O352" t="s">
        <v>349</v>
      </c>
      <c r="P352" t="s">
        <v>350</v>
      </c>
      <c r="Q352" t="s">
        <v>37</v>
      </c>
      <c r="R352">
        <v>3</v>
      </c>
      <c r="S352" t="s">
        <v>351</v>
      </c>
      <c r="T352" t="s">
        <v>158</v>
      </c>
      <c r="U352" t="s">
        <v>53</v>
      </c>
      <c r="V352" t="s">
        <v>352</v>
      </c>
    </row>
    <row r="353" spans="1:22" hidden="1" x14ac:dyDescent="0.2">
      <c r="A353" t="s">
        <v>337</v>
      </c>
      <c r="B353" t="s">
        <v>23</v>
      </c>
      <c r="C353" t="s">
        <v>338</v>
      </c>
      <c r="D353" t="s">
        <v>339</v>
      </c>
      <c r="E353" t="s">
        <v>340</v>
      </c>
      <c r="F353" t="s">
        <v>341</v>
      </c>
      <c r="G353" t="s">
        <v>342</v>
      </c>
      <c r="H353" t="s">
        <v>343</v>
      </c>
      <c r="I353" t="s">
        <v>344</v>
      </c>
      <c r="J353" t="s">
        <v>345</v>
      </c>
      <c r="K353" t="s">
        <v>346</v>
      </c>
      <c r="L353" t="s">
        <v>347</v>
      </c>
      <c r="M353" t="s">
        <v>348</v>
      </c>
      <c r="O353" t="s">
        <v>349</v>
      </c>
      <c r="P353" t="s">
        <v>350</v>
      </c>
      <c r="Q353" t="s">
        <v>37</v>
      </c>
      <c r="R353">
        <v>3</v>
      </c>
      <c r="S353" t="s">
        <v>351</v>
      </c>
      <c r="T353" t="s">
        <v>79</v>
      </c>
      <c r="U353" t="s">
        <v>53</v>
      </c>
      <c r="V353" t="s">
        <v>54</v>
      </c>
    </row>
    <row r="354" spans="1:22" hidden="1" x14ac:dyDescent="0.2">
      <c r="A354" t="s">
        <v>337</v>
      </c>
      <c r="B354" t="s">
        <v>23</v>
      </c>
      <c r="C354" t="s">
        <v>338</v>
      </c>
      <c r="D354" t="s">
        <v>339</v>
      </c>
      <c r="E354" t="s">
        <v>340</v>
      </c>
      <c r="F354" t="s">
        <v>341</v>
      </c>
      <c r="G354" t="s">
        <v>342</v>
      </c>
      <c r="H354" t="s">
        <v>343</v>
      </c>
      <c r="I354" t="s">
        <v>344</v>
      </c>
      <c r="J354" t="s">
        <v>345</v>
      </c>
      <c r="K354" t="s">
        <v>346</v>
      </c>
      <c r="L354" t="s">
        <v>347</v>
      </c>
      <c r="M354" t="s">
        <v>348</v>
      </c>
      <c r="O354" t="s">
        <v>349</v>
      </c>
      <c r="P354" t="s">
        <v>350</v>
      </c>
      <c r="Q354" t="s">
        <v>37</v>
      </c>
      <c r="R354">
        <v>3</v>
      </c>
      <c r="S354" t="s">
        <v>351</v>
      </c>
      <c r="T354" t="s">
        <v>79</v>
      </c>
      <c r="U354" t="s">
        <v>53</v>
      </c>
      <c r="V354" t="s">
        <v>352</v>
      </c>
    </row>
    <row r="355" spans="1:22" hidden="1" x14ac:dyDescent="0.2">
      <c r="A355" t="s">
        <v>337</v>
      </c>
      <c r="B355" t="s">
        <v>23</v>
      </c>
      <c r="C355" t="s">
        <v>338</v>
      </c>
      <c r="D355" t="s">
        <v>339</v>
      </c>
      <c r="E355" t="s">
        <v>340</v>
      </c>
      <c r="F355" t="s">
        <v>341</v>
      </c>
      <c r="G355" t="s">
        <v>342</v>
      </c>
      <c r="H355" t="s">
        <v>343</v>
      </c>
      <c r="I355" t="s">
        <v>344</v>
      </c>
      <c r="J355" t="s">
        <v>345</v>
      </c>
      <c r="K355" t="s">
        <v>346</v>
      </c>
      <c r="L355" t="s">
        <v>347</v>
      </c>
      <c r="M355" t="s">
        <v>348</v>
      </c>
      <c r="O355" t="s">
        <v>349</v>
      </c>
      <c r="P355" t="s">
        <v>350</v>
      </c>
      <c r="Q355" t="s">
        <v>37</v>
      </c>
      <c r="R355">
        <v>3</v>
      </c>
      <c r="S355" t="s">
        <v>351</v>
      </c>
      <c r="T355" t="s">
        <v>327</v>
      </c>
      <c r="U355" t="s">
        <v>53</v>
      </c>
      <c r="V355" t="s">
        <v>54</v>
      </c>
    </row>
    <row r="356" spans="1:22" hidden="1" x14ac:dyDescent="0.2">
      <c r="A356" t="s">
        <v>337</v>
      </c>
      <c r="B356" t="s">
        <v>23</v>
      </c>
      <c r="C356" t="s">
        <v>338</v>
      </c>
      <c r="D356" t="s">
        <v>339</v>
      </c>
      <c r="E356" t="s">
        <v>340</v>
      </c>
      <c r="F356" t="s">
        <v>341</v>
      </c>
      <c r="G356" t="s">
        <v>342</v>
      </c>
      <c r="H356" t="s">
        <v>343</v>
      </c>
      <c r="I356" t="s">
        <v>344</v>
      </c>
      <c r="J356" t="s">
        <v>345</v>
      </c>
      <c r="K356" t="s">
        <v>346</v>
      </c>
      <c r="L356" t="s">
        <v>347</v>
      </c>
      <c r="M356" t="s">
        <v>348</v>
      </c>
      <c r="O356" t="s">
        <v>349</v>
      </c>
      <c r="P356" t="s">
        <v>350</v>
      </c>
      <c r="Q356" t="s">
        <v>37</v>
      </c>
      <c r="R356">
        <v>3</v>
      </c>
      <c r="S356" t="s">
        <v>351</v>
      </c>
      <c r="T356" t="s">
        <v>327</v>
      </c>
      <c r="U356" t="s">
        <v>53</v>
      </c>
      <c r="V356" t="s">
        <v>352</v>
      </c>
    </row>
    <row r="357" spans="1:22" hidden="1" x14ac:dyDescent="0.2">
      <c r="A357" t="s">
        <v>337</v>
      </c>
      <c r="B357" t="s">
        <v>23</v>
      </c>
      <c r="C357" t="s">
        <v>338</v>
      </c>
      <c r="D357" t="s">
        <v>353</v>
      </c>
      <c r="E357" t="s">
        <v>340</v>
      </c>
      <c r="F357" t="s">
        <v>341</v>
      </c>
      <c r="G357" t="s">
        <v>342</v>
      </c>
      <c r="H357" t="s">
        <v>343</v>
      </c>
      <c r="I357" t="s">
        <v>344</v>
      </c>
      <c r="J357" t="s">
        <v>345</v>
      </c>
      <c r="K357" t="s">
        <v>346</v>
      </c>
      <c r="L357" t="s">
        <v>347</v>
      </c>
      <c r="M357" t="s">
        <v>348</v>
      </c>
      <c r="O357" t="s">
        <v>349</v>
      </c>
      <c r="P357" t="s">
        <v>350</v>
      </c>
      <c r="Q357" t="s">
        <v>37</v>
      </c>
      <c r="R357">
        <v>3</v>
      </c>
      <c r="S357" t="s">
        <v>351</v>
      </c>
      <c r="T357" t="s">
        <v>57</v>
      </c>
      <c r="U357" t="s">
        <v>53</v>
      </c>
      <c r="V357" t="s">
        <v>54</v>
      </c>
    </row>
    <row r="358" spans="1:22" hidden="1" x14ac:dyDescent="0.2">
      <c r="A358" t="s">
        <v>337</v>
      </c>
      <c r="B358" t="s">
        <v>23</v>
      </c>
      <c r="C358" t="s">
        <v>338</v>
      </c>
      <c r="D358" t="s">
        <v>353</v>
      </c>
      <c r="E358" t="s">
        <v>340</v>
      </c>
      <c r="F358" t="s">
        <v>341</v>
      </c>
      <c r="G358" t="s">
        <v>342</v>
      </c>
      <c r="H358" t="s">
        <v>343</v>
      </c>
      <c r="I358" t="s">
        <v>344</v>
      </c>
      <c r="J358" t="s">
        <v>345</v>
      </c>
      <c r="K358" t="s">
        <v>346</v>
      </c>
      <c r="L358" t="s">
        <v>347</v>
      </c>
      <c r="M358" t="s">
        <v>348</v>
      </c>
      <c r="O358" t="s">
        <v>349</v>
      </c>
      <c r="P358" t="s">
        <v>350</v>
      </c>
      <c r="Q358" t="s">
        <v>37</v>
      </c>
      <c r="R358">
        <v>3</v>
      </c>
      <c r="S358" t="s">
        <v>351</v>
      </c>
      <c r="T358" t="s">
        <v>57</v>
      </c>
      <c r="U358" t="s">
        <v>53</v>
      </c>
      <c r="V358" t="s">
        <v>352</v>
      </c>
    </row>
    <row r="359" spans="1:22" hidden="1" x14ac:dyDescent="0.2">
      <c r="A359" t="s">
        <v>337</v>
      </c>
      <c r="B359" t="s">
        <v>23</v>
      </c>
      <c r="C359" t="s">
        <v>338</v>
      </c>
      <c r="D359" t="s">
        <v>353</v>
      </c>
      <c r="E359" t="s">
        <v>340</v>
      </c>
      <c r="F359" t="s">
        <v>341</v>
      </c>
      <c r="G359" t="s">
        <v>342</v>
      </c>
      <c r="H359" t="s">
        <v>343</v>
      </c>
      <c r="I359" t="s">
        <v>344</v>
      </c>
      <c r="J359" t="s">
        <v>345</v>
      </c>
      <c r="K359" t="s">
        <v>346</v>
      </c>
      <c r="L359" t="s">
        <v>347</v>
      </c>
      <c r="M359" t="s">
        <v>348</v>
      </c>
      <c r="O359" t="s">
        <v>349</v>
      </c>
      <c r="P359" t="s">
        <v>350</v>
      </c>
      <c r="Q359" t="s">
        <v>37</v>
      </c>
      <c r="R359">
        <v>3</v>
      </c>
      <c r="S359" t="s">
        <v>351</v>
      </c>
      <c r="T359" t="s">
        <v>39</v>
      </c>
      <c r="U359" t="s">
        <v>53</v>
      </c>
      <c r="V359" t="s">
        <v>54</v>
      </c>
    </row>
    <row r="360" spans="1:22" hidden="1" x14ac:dyDescent="0.2">
      <c r="A360" t="s">
        <v>337</v>
      </c>
      <c r="B360" t="s">
        <v>23</v>
      </c>
      <c r="C360" t="s">
        <v>338</v>
      </c>
      <c r="D360" t="s">
        <v>353</v>
      </c>
      <c r="E360" t="s">
        <v>340</v>
      </c>
      <c r="F360" t="s">
        <v>341</v>
      </c>
      <c r="G360" t="s">
        <v>342</v>
      </c>
      <c r="H360" t="s">
        <v>343</v>
      </c>
      <c r="I360" t="s">
        <v>344</v>
      </c>
      <c r="J360" t="s">
        <v>345</v>
      </c>
      <c r="K360" t="s">
        <v>346</v>
      </c>
      <c r="L360" t="s">
        <v>347</v>
      </c>
      <c r="M360" t="s">
        <v>348</v>
      </c>
      <c r="O360" t="s">
        <v>349</v>
      </c>
      <c r="P360" t="s">
        <v>350</v>
      </c>
      <c r="Q360" t="s">
        <v>37</v>
      </c>
      <c r="R360">
        <v>3</v>
      </c>
      <c r="S360" t="s">
        <v>351</v>
      </c>
      <c r="T360" t="s">
        <v>39</v>
      </c>
      <c r="U360" t="s">
        <v>53</v>
      </c>
      <c r="V360" t="s">
        <v>352</v>
      </c>
    </row>
    <row r="361" spans="1:22" hidden="1" x14ac:dyDescent="0.2">
      <c r="A361" t="s">
        <v>337</v>
      </c>
      <c r="B361" t="s">
        <v>23</v>
      </c>
      <c r="C361" t="s">
        <v>338</v>
      </c>
      <c r="D361" t="s">
        <v>353</v>
      </c>
      <c r="E361" t="s">
        <v>340</v>
      </c>
      <c r="F361" t="s">
        <v>341</v>
      </c>
      <c r="G361" t="s">
        <v>342</v>
      </c>
      <c r="H361" t="s">
        <v>343</v>
      </c>
      <c r="I361" t="s">
        <v>344</v>
      </c>
      <c r="J361" t="s">
        <v>345</v>
      </c>
      <c r="K361" t="s">
        <v>346</v>
      </c>
      <c r="L361" t="s">
        <v>347</v>
      </c>
      <c r="M361" t="s">
        <v>348</v>
      </c>
      <c r="O361" t="s">
        <v>349</v>
      </c>
      <c r="P361" t="s">
        <v>350</v>
      </c>
      <c r="Q361" t="s">
        <v>37</v>
      </c>
      <c r="R361">
        <v>3</v>
      </c>
      <c r="S361" t="s">
        <v>351</v>
      </c>
      <c r="T361" t="s">
        <v>58</v>
      </c>
      <c r="U361" t="s">
        <v>53</v>
      </c>
      <c r="V361" t="s">
        <v>54</v>
      </c>
    </row>
    <row r="362" spans="1:22" hidden="1" x14ac:dyDescent="0.2">
      <c r="A362" t="s">
        <v>337</v>
      </c>
      <c r="B362" t="s">
        <v>23</v>
      </c>
      <c r="C362" t="s">
        <v>338</v>
      </c>
      <c r="D362" t="s">
        <v>353</v>
      </c>
      <c r="E362" t="s">
        <v>340</v>
      </c>
      <c r="F362" t="s">
        <v>341</v>
      </c>
      <c r="G362" t="s">
        <v>342</v>
      </c>
      <c r="H362" t="s">
        <v>343</v>
      </c>
      <c r="I362" t="s">
        <v>344</v>
      </c>
      <c r="J362" t="s">
        <v>345</v>
      </c>
      <c r="K362" t="s">
        <v>346</v>
      </c>
      <c r="L362" t="s">
        <v>347</v>
      </c>
      <c r="M362" t="s">
        <v>348</v>
      </c>
      <c r="O362" t="s">
        <v>349</v>
      </c>
      <c r="P362" t="s">
        <v>350</v>
      </c>
      <c r="Q362" t="s">
        <v>37</v>
      </c>
      <c r="R362">
        <v>3</v>
      </c>
      <c r="S362" t="s">
        <v>351</v>
      </c>
      <c r="T362" t="s">
        <v>58</v>
      </c>
      <c r="U362" t="s">
        <v>53</v>
      </c>
      <c r="V362" t="s">
        <v>352</v>
      </c>
    </row>
    <row r="363" spans="1:22" hidden="1" x14ac:dyDescent="0.2">
      <c r="A363" t="s">
        <v>337</v>
      </c>
      <c r="B363" t="s">
        <v>23</v>
      </c>
      <c r="C363" t="s">
        <v>338</v>
      </c>
      <c r="D363" t="s">
        <v>353</v>
      </c>
      <c r="E363" t="s">
        <v>340</v>
      </c>
      <c r="F363" t="s">
        <v>341</v>
      </c>
      <c r="G363" t="s">
        <v>342</v>
      </c>
      <c r="H363" t="s">
        <v>343</v>
      </c>
      <c r="I363" t="s">
        <v>344</v>
      </c>
      <c r="J363" t="s">
        <v>345</v>
      </c>
      <c r="K363" t="s">
        <v>346</v>
      </c>
      <c r="L363" t="s">
        <v>347</v>
      </c>
      <c r="M363" t="s">
        <v>348</v>
      </c>
      <c r="O363" t="s">
        <v>349</v>
      </c>
      <c r="P363" t="s">
        <v>350</v>
      </c>
      <c r="Q363" t="s">
        <v>37</v>
      </c>
      <c r="R363">
        <v>3</v>
      </c>
      <c r="S363" t="s">
        <v>351</v>
      </c>
      <c r="T363" t="s">
        <v>59</v>
      </c>
      <c r="U363" t="s">
        <v>53</v>
      </c>
      <c r="V363" t="s">
        <v>54</v>
      </c>
    </row>
    <row r="364" spans="1:22" hidden="1" x14ac:dyDescent="0.2">
      <c r="A364" t="s">
        <v>337</v>
      </c>
      <c r="B364" t="s">
        <v>23</v>
      </c>
      <c r="C364" t="s">
        <v>338</v>
      </c>
      <c r="D364" t="s">
        <v>353</v>
      </c>
      <c r="E364" t="s">
        <v>340</v>
      </c>
      <c r="F364" t="s">
        <v>341</v>
      </c>
      <c r="G364" t="s">
        <v>342</v>
      </c>
      <c r="H364" t="s">
        <v>343</v>
      </c>
      <c r="I364" t="s">
        <v>344</v>
      </c>
      <c r="J364" t="s">
        <v>345</v>
      </c>
      <c r="K364" t="s">
        <v>346</v>
      </c>
      <c r="L364" t="s">
        <v>347</v>
      </c>
      <c r="M364" t="s">
        <v>348</v>
      </c>
      <c r="O364" t="s">
        <v>349</v>
      </c>
      <c r="P364" t="s">
        <v>350</v>
      </c>
      <c r="Q364" t="s">
        <v>37</v>
      </c>
      <c r="R364">
        <v>3</v>
      </c>
      <c r="S364" t="s">
        <v>351</v>
      </c>
      <c r="T364" t="s">
        <v>59</v>
      </c>
      <c r="U364" t="s">
        <v>53</v>
      </c>
      <c r="V364" t="s">
        <v>352</v>
      </c>
    </row>
    <row r="365" spans="1:22" hidden="1" x14ac:dyDescent="0.2">
      <c r="A365" t="s">
        <v>337</v>
      </c>
      <c r="B365" t="s">
        <v>23</v>
      </c>
      <c r="C365" t="s">
        <v>338</v>
      </c>
      <c r="D365" t="s">
        <v>353</v>
      </c>
      <c r="E365" t="s">
        <v>340</v>
      </c>
      <c r="F365" t="s">
        <v>341</v>
      </c>
      <c r="G365" t="s">
        <v>342</v>
      </c>
      <c r="H365" t="s">
        <v>343</v>
      </c>
      <c r="I365" t="s">
        <v>344</v>
      </c>
      <c r="J365" t="s">
        <v>345</v>
      </c>
      <c r="K365" t="s">
        <v>346</v>
      </c>
      <c r="L365" t="s">
        <v>347</v>
      </c>
      <c r="M365" t="s">
        <v>348</v>
      </c>
      <c r="O365" t="s">
        <v>349</v>
      </c>
      <c r="P365" t="s">
        <v>350</v>
      </c>
      <c r="Q365" t="s">
        <v>37</v>
      </c>
      <c r="R365">
        <v>3</v>
      </c>
      <c r="S365" t="s">
        <v>351</v>
      </c>
      <c r="T365" t="s">
        <v>60</v>
      </c>
      <c r="U365" t="s">
        <v>53</v>
      </c>
      <c r="V365" t="s">
        <v>54</v>
      </c>
    </row>
    <row r="366" spans="1:22" hidden="1" x14ac:dyDescent="0.2">
      <c r="A366" t="s">
        <v>337</v>
      </c>
      <c r="B366" t="s">
        <v>23</v>
      </c>
      <c r="C366" t="s">
        <v>338</v>
      </c>
      <c r="D366" t="s">
        <v>353</v>
      </c>
      <c r="E366" t="s">
        <v>340</v>
      </c>
      <c r="F366" t="s">
        <v>341</v>
      </c>
      <c r="G366" t="s">
        <v>342</v>
      </c>
      <c r="H366" t="s">
        <v>343</v>
      </c>
      <c r="I366" t="s">
        <v>344</v>
      </c>
      <c r="J366" t="s">
        <v>345</v>
      </c>
      <c r="K366" t="s">
        <v>346</v>
      </c>
      <c r="L366" t="s">
        <v>347</v>
      </c>
      <c r="M366" t="s">
        <v>348</v>
      </c>
      <c r="O366" t="s">
        <v>349</v>
      </c>
      <c r="P366" t="s">
        <v>350</v>
      </c>
      <c r="Q366" t="s">
        <v>37</v>
      </c>
      <c r="R366">
        <v>3</v>
      </c>
      <c r="S366" t="s">
        <v>351</v>
      </c>
      <c r="T366" t="s">
        <v>60</v>
      </c>
      <c r="U366" t="s">
        <v>53</v>
      </c>
      <c r="V366" t="s">
        <v>352</v>
      </c>
    </row>
    <row r="367" spans="1:22" hidden="1" x14ac:dyDescent="0.2">
      <c r="A367" t="s">
        <v>337</v>
      </c>
      <c r="B367" t="s">
        <v>23</v>
      </c>
      <c r="C367" t="s">
        <v>338</v>
      </c>
      <c r="D367" t="s">
        <v>353</v>
      </c>
      <c r="E367" t="s">
        <v>340</v>
      </c>
      <c r="F367" t="s">
        <v>341</v>
      </c>
      <c r="G367" t="s">
        <v>342</v>
      </c>
      <c r="H367" t="s">
        <v>343</v>
      </c>
      <c r="I367" t="s">
        <v>344</v>
      </c>
      <c r="J367" t="s">
        <v>345</v>
      </c>
      <c r="K367" t="s">
        <v>346</v>
      </c>
      <c r="L367" t="s">
        <v>347</v>
      </c>
      <c r="M367" t="s">
        <v>348</v>
      </c>
      <c r="O367" t="s">
        <v>349</v>
      </c>
      <c r="P367" t="s">
        <v>350</v>
      </c>
      <c r="Q367" t="s">
        <v>37</v>
      </c>
      <c r="R367">
        <v>3</v>
      </c>
      <c r="S367" t="s">
        <v>351</v>
      </c>
      <c r="T367" t="s">
        <v>95</v>
      </c>
      <c r="U367" t="s">
        <v>53</v>
      </c>
      <c r="V367" t="s">
        <v>54</v>
      </c>
    </row>
    <row r="368" spans="1:22" hidden="1" x14ac:dyDescent="0.2">
      <c r="A368" t="s">
        <v>337</v>
      </c>
      <c r="B368" t="s">
        <v>23</v>
      </c>
      <c r="C368" t="s">
        <v>338</v>
      </c>
      <c r="D368" t="s">
        <v>353</v>
      </c>
      <c r="E368" t="s">
        <v>340</v>
      </c>
      <c r="F368" t="s">
        <v>341</v>
      </c>
      <c r="G368" t="s">
        <v>342</v>
      </c>
      <c r="H368" t="s">
        <v>343</v>
      </c>
      <c r="I368" t="s">
        <v>344</v>
      </c>
      <c r="J368" t="s">
        <v>345</v>
      </c>
      <c r="K368" t="s">
        <v>346</v>
      </c>
      <c r="L368" t="s">
        <v>347</v>
      </c>
      <c r="M368" t="s">
        <v>348</v>
      </c>
      <c r="O368" t="s">
        <v>349</v>
      </c>
      <c r="P368" t="s">
        <v>350</v>
      </c>
      <c r="Q368" t="s">
        <v>37</v>
      </c>
      <c r="R368">
        <v>3</v>
      </c>
      <c r="S368" t="s">
        <v>351</v>
      </c>
      <c r="T368" t="s">
        <v>95</v>
      </c>
      <c r="U368" t="s">
        <v>53</v>
      </c>
      <c r="V368" t="s">
        <v>352</v>
      </c>
    </row>
    <row r="369" spans="1:22" hidden="1" x14ac:dyDescent="0.2">
      <c r="A369" t="s">
        <v>337</v>
      </c>
      <c r="B369" t="s">
        <v>23</v>
      </c>
      <c r="C369" t="s">
        <v>338</v>
      </c>
      <c r="D369" t="s">
        <v>353</v>
      </c>
      <c r="E369" t="s">
        <v>340</v>
      </c>
      <c r="F369" t="s">
        <v>341</v>
      </c>
      <c r="G369" t="s">
        <v>342</v>
      </c>
      <c r="H369" t="s">
        <v>343</v>
      </c>
      <c r="I369" t="s">
        <v>344</v>
      </c>
      <c r="J369" t="s">
        <v>345</v>
      </c>
      <c r="K369" t="s">
        <v>346</v>
      </c>
      <c r="L369" t="s">
        <v>347</v>
      </c>
      <c r="M369" t="s">
        <v>348</v>
      </c>
      <c r="O369" t="s">
        <v>349</v>
      </c>
      <c r="P369" t="s">
        <v>350</v>
      </c>
      <c r="Q369" t="s">
        <v>37</v>
      </c>
      <c r="R369">
        <v>3</v>
      </c>
      <c r="S369" t="s">
        <v>351</v>
      </c>
      <c r="T369" t="s">
        <v>131</v>
      </c>
      <c r="U369" t="s">
        <v>53</v>
      </c>
      <c r="V369" t="s">
        <v>54</v>
      </c>
    </row>
    <row r="370" spans="1:22" hidden="1" x14ac:dyDescent="0.2">
      <c r="A370" t="s">
        <v>337</v>
      </c>
      <c r="B370" t="s">
        <v>23</v>
      </c>
      <c r="C370" t="s">
        <v>338</v>
      </c>
      <c r="D370" t="s">
        <v>353</v>
      </c>
      <c r="E370" t="s">
        <v>340</v>
      </c>
      <c r="F370" t="s">
        <v>341</v>
      </c>
      <c r="G370" t="s">
        <v>342</v>
      </c>
      <c r="H370" t="s">
        <v>343</v>
      </c>
      <c r="I370" t="s">
        <v>344</v>
      </c>
      <c r="J370" t="s">
        <v>345</v>
      </c>
      <c r="K370" t="s">
        <v>346</v>
      </c>
      <c r="L370" t="s">
        <v>347</v>
      </c>
      <c r="M370" t="s">
        <v>348</v>
      </c>
      <c r="O370" t="s">
        <v>349</v>
      </c>
      <c r="P370" t="s">
        <v>350</v>
      </c>
      <c r="Q370" t="s">
        <v>37</v>
      </c>
      <c r="R370">
        <v>3</v>
      </c>
      <c r="S370" t="s">
        <v>351</v>
      </c>
      <c r="T370" t="s">
        <v>131</v>
      </c>
      <c r="U370" t="s">
        <v>53</v>
      </c>
      <c r="V370" t="s">
        <v>352</v>
      </c>
    </row>
    <row r="371" spans="1:22" hidden="1" x14ac:dyDescent="0.2">
      <c r="A371" t="s">
        <v>337</v>
      </c>
      <c r="B371" t="s">
        <v>23</v>
      </c>
      <c r="C371" t="s">
        <v>338</v>
      </c>
      <c r="D371" t="s">
        <v>353</v>
      </c>
      <c r="E371" t="s">
        <v>340</v>
      </c>
      <c r="F371" t="s">
        <v>341</v>
      </c>
      <c r="G371" t="s">
        <v>342</v>
      </c>
      <c r="H371" t="s">
        <v>343</v>
      </c>
      <c r="I371" t="s">
        <v>344</v>
      </c>
      <c r="J371" t="s">
        <v>345</v>
      </c>
      <c r="K371" t="s">
        <v>346</v>
      </c>
      <c r="L371" t="s">
        <v>347</v>
      </c>
      <c r="M371" t="s">
        <v>348</v>
      </c>
      <c r="O371" t="s">
        <v>349</v>
      </c>
      <c r="P371" t="s">
        <v>350</v>
      </c>
      <c r="Q371" t="s">
        <v>37</v>
      </c>
      <c r="R371">
        <v>3</v>
      </c>
      <c r="S371" t="s">
        <v>351</v>
      </c>
      <c r="T371" t="s">
        <v>158</v>
      </c>
      <c r="U371" t="s">
        <v>53</v>
      </c>
      <c r="V371" t="s">
        <v>54</v>
      </c>
    </row>
    <row r="372" spans="1:22" hidden="1" x14ac:dyDescent="0.2">
      <c r="A372" t="s">
        <v>337</v>
      </c>
      <c r="B372" t="s">
        <v>23</v>
      </c>
      <c r="C372" t="s">
        <v>338</v>
      </c>
      <c r="D372" t="s">
        <v>353</v>
      </c>
      <c r="E372" t="s">
        <v>340</v>
      </c>
      <c r="F372" t="s">
        <v>341</v>
      </c>
      <c r="G372" t="s">
        <v>342</v>
      </c>
      <c r="H372" t="s">
        <v>343</v>
      </c>
      <c r="I372" t="s">
        <v>344</v>
      </c>
      <c r="J372" t="s">
        <v>345</v>
      </c>
      <c r="K372" t="s">
        <v>346</v>
      </c>
      <c r="L372" t="s">
        <v>347</v>
      </c>
      <c r="M372" t="s">
        <v>348</v>
      </c>
      <c r="O372" t="s">
        <v>349</v>
      </c>
      <c r="P372" t="s">
        <v>350</v>
      </c>
      <c r="Q372" t="s">
        <v>37</v>
      </c>
      <c r="R372">
        <v>3</v>
      </c>
      <c r="S372" t="s">
        <v>351</v>
      </c>
      <c r="T372" t="s">
        <v>158</v>
      </c>
      <c r="U372" t="s">
        <v>53</v>
      </c>
      <c r="V372" t="s">
        <v>352</v>
      </c>
    </row>
    <row r="373" spans="1:22" hidden="1" x14ac:dyDescent="0.2">
      <c r="A373" t="s">
        <v>337</v>
      </c>
      <c r="B373" t="s">
        <v>23</v>
      </c>
      <c r="C373" t="s">
        <v>338</v>
      </c>
      <c r="D373" t="s">
        <v>353</v>
      </c>
      <c r="E373" t="s">
        <v>340</v>
      </c>
      <c r="F373" t="s">
        <v>341</v>
      </c>
      <c r="G373" t="s">
        <v>342</v>
      </c>
      <c r="H373" t="s">
        <v>343</v>
      </c>
      <c r="I373" t="s">
        <v>344</v>
      </c>
      <c r="J373" t="s">
        <v>345</v>
      </c>
      <c r="K373" t="s">
        <v>346</v>
      </c>
      <c r="L373" t="s">
        <v>347</v>
      </c>
      <c r="M373" t="s">
        <v>348</v>
      </c>
      <c r="O373" t="s">
        <v>349</v>
      </c>
      <c r="P373" t="s">
        <v>350</v>
      </c>
      <c r="Q373" t="s">
        <v>37</v>
      </c>
      <c r="R373">
        <v>3</v>
      </c>
      <c r="S373" t="s">
        <v>351</v>
      </c>
      <c r="T373" t="s">
        <v>79</v>
      </c>
      <c r="U373" t="s">
        <v>53</v>
      </c>
      <c r="V373" t="s">
        <v>54</v>
      </c>
    </row>
    <row r="374" spans="1:22" hidden="1" x14ac:dyDescent="0.2">
      <c r="A374" t="s">
        <v>337</v>
      </c>
      <c r="B374" t="s">
        <v>23</v>
      </c>
      <c r="C374" t="s">
        <v>338</v>
      </c>
      <c r="D374" t="s">
        <v>353</v>
      </c>
      <c r="E374" t="s">
        <v>340</v>
      </c>
      <c r="F374" t="s">
        <v>341</v>
      </c>
      <c r="G374" t="s">
        <v>342</v>
      </c>
      <c r="H374" t="s">
        <v>343</v>
      </c>
      <c r="I374" t="s">
        <v>344</v>
      </c>
      <c r="J374" t="s">
        <v>345</v>
      </c>
      <c r="K374" t="s">
        <v>346</v>
      </c>
      <c r="L374" t="s">
        <v>347</v>
      </c>
      <c r="M374" t="s">
        <v>348</v>
      </c>
      <c r="O374" t="s">
        <v>349</v>
      </c>
      <c r="P374" t="s">
        <v>350</v>
      </c>
      <c r="Q374" t="s">
        <v>37</v>
      </c>
      <c r="R374">
        <v>3</v>
      </c>
      <c r="S374" t="s">
        <v>351</v>
      </c>
      <c r="T374" t="s">
        <v>79</v>
      </c>
      <c r="U374" t="s">
        <v>53</v>
      </c>
      <c r="V374" t="s">
        <v>352</v>
      </c>
    </row>
    <row r="375" spans="1:22" hidden="1" x14ac:dyDescent="0.2">
      <c r="A375" t="s">
        <v>337</v>
      </c>
      <c r="B375" t="s">
        <v>23</v>
      </c>
      <c r="C375" t="s">
        <v>338</v>
      </c>
      <c r="D375" t="s">
        <v>353</v>
      </c>
      <c r="E375" t="s">
        <v>340</v>
      </c>
      <c r="F375" t="s">
        <v>341</v>
      </c>
      <c r="G375" t="s">
        <v>342</v>
      </c>
      <c r="H375" t="s">
        <v>343</v>
      </c>
      <c r="I375" t="s">
        <v>344</v>
      </c>
      <c r="J375" t="s">
        <v>345</v>
      </c>
      <c r="K375" t="s">
        <v>346</v>
      </c>
      <c r="L375" t="s">
        <v>347</v>
      </c>
      <c r="M375" t="s">
        <v>348</v>
      </c>
      <c r="O375" t="s">
        <v>349</v>
      </c>
      <c r="P375" t="s">
        <v>350</v>
      </c>
      <c r="Q375" t="s">
        <v>37</v>
      </c>
      <c r="R375">
        <v>3</v>
      </c>
      <c r="S375" t="s">
        <v>351</v>
      </c>
      <c r="T375" t="s">
        <v>327</v>
      </c>
      <c r="U375" t="s">
        <v>53</v>
      </c>
      <c r="V375" t="s">
        <v>54</v>
      </c>
    </row>
    <row r="376" spans="1:22" hidden="1" x14ac:dyDescent="0.2">
      <c r="A376" t="s">
        <v>337</v>
      </c>
      <c r="B376" t="s">
        <v>23</v>
      </c>
      <c r="C376" t="s">
        <v>338</v>
      </c>
      <c r="D376" t="s">
        <v>353</v>
      </c>
      <c r="E376" t="s">
        <v>340</v>
      </c>
      <c r="F376" t="s">
        <v>341</v>
      </c>
      <c r="G376" t="s">
        <v>342</v>
      </c>
      <c r="H376" t="s">
        <v>343</v>
      </c>
      <c r="I376" t="s">
        <v>344</v>
      </c>
      <c r="J376" t="s">
        <v>345</v>
      </c>
      <c r="K376" t="s">
        <v>346</v>
      </c>
      <c r="L376" t="s">
        <v>347</v>
      </c>
      <c r="M376" t="s">
        <v>348</v>
      </c>
      <c r="O376" t="s">
        <v>349</v>
      </c>
      <c r="P376" t="s">
        <v>350</v>
      </c>
      <c r="Q376" t="s">
        <v>37</v>
      </c>
      <c r="R376">
        <v>3</v>
      </c>
      <c r="S376" t="s">
        <v>351</v>
      </c>
      <c r="T376" t="s">
        <v>327</v>
      </c>
      <c r="U376" t="s">
        <v>53</v>
      </c>
      <c r="V376" t="s">
        <v>352</v>
      </c>
    </row>
    <row r="377" spans="1:22" hidden="1" x14ac:dyDescent="0.2">
      <c r="A377" t="s">
        <v>337</v>
      </c>
      <c r="B377" t="s">
        <v>23</v>
      </c>
      <c r="C377" t="s">
        <v>338</v>
      </c>
      <c r="D377" t="s">
        <v>352</v>
      </c>
      <c r="E377" t="s">
        <v>340</v>
      </c>
      <c r="F377" t="s">
        <v>341</v>
      </c>
      <c r="G377" t="s">
        <v>342</v>
      </c>
      <c r="H377" t="s">
        <v>343</v>
      </c>
      <c r="I377" t="s">
        <v>344</v>
      </c>
      <c r="J377" t="s">
        <v>345</v>
      </c>
      <c r="K377" t="s">
        <v>346</v>
      </c>
      <c r="L377" t="s">
        <v>347</v>
      </c>
      <c r="M377" t="s">
        <v>348</v>
      </c>
      <c r="O377" t="s">
        <v>349</v>
      </c>
      <c r="P377" t="s">
        <v>350</v>
      </c>
      <c r="Q377" t="s">
        <v>37</v>
      </c>
      <c r="R377">
        <v>3</v>
      </c>
      <c r="S377" t="s">
        <v>351</v>
      </c>
      <c r="T377" t="s">
        <v>57</v>
      </c>
      <c r="U377" t="s">
        <v>53</v>
      </c>
      <c r="V377" t="s">
        <v>54</v>
      </c>
    </row>
    <row r="378" spans="1:22" hidden="1" x14ac:dyDescent="0.2">
      <c r="A378" t="s">
        <v>337</v>
      </c>
      <c r="B378" t="s">
        <v>23</v>
      </c>
      <c r="C378" t="s">
        <v>338</v>
      </c>
      <c r="D378" t="s">
        <v>352</v>
      </c>
      <c r="E378" t="s">
        <v>340</v>
      </c>
      <c r="F378" t="s">
        <v>341</v>
      </c>
      <c r="G378" t="s">
        <v>342</v>
      </c>
      <c r="H378" t="s">
        <v>343</v>
      </c>
      <c r="I378" t="s">
        <v>344</v>
      </c>
      <c r="J378" t="s">
        <v>345</v>
      </c>
      <c r="K378" t="s">
        <v>346</v>
      </c>
      <c r="L378" t="s">
        <v>347</v>
      </c>
      <c r="M378" t="s">
        <v>348</v>
      </c>
      <c r="O378" t="s">
        <v>349</v>
      </c>
      <c r="P378" t="s">
        <v>350</v>
      </c>
      <c r="Q378" t="s">
        <v>37</v>
      </c>
      <c r="R378">
        <v>3</v>
      </c>
      <c r="S378" t="s">
        <v>351</v>
      </c>
      <c r="T378" t="s">
        <v>57</v>
      </c>
      <c r="U378" t="s">
        <v>53</v>
      </c>
      <c r="V378" t="s">
        <v>352</v>
      </c>
    </row>
    <row r="379" spans="1:22" hidden="1" x14ac:dyDescent="0.2">
      <c r="A379" t="s">
        <v>337</v>
      </c>
      <c r="B379" t="s">
        <v>23</v>
      </c>
      <c r="C379" t="s">
        <v>338</v>
      </c>
      <c r="D379" t="s">
        <v>352</v>
      </c>
      <c r="E379" t="s">
        <v>340</v>
      </c>
      <c r="F379" t="s">
        <v>341</v>
      </c>
      <c r="G379" t="s">
        <v>342</v>
      </c>
      <c r="H379" t="s">
        <v>343</v>
      </c>
      <c r="I379" t="s">
        <v>344</v>
      </c>
      <c r="J379" t="s">
        <v>345</v>
      </c>
      <c r="K379" t="s">
        <v>346</v>
      </c>
      <c r="L379" t="s">
        <v>347</v>
      </c>
      <c r="M379" t="s">
        <v>348</v>
      </c>
      <c r="O379" t="s">
        <v>349</v>
      </c>
      <c r="P379" t="s">
        <v>350</v>
      </c>
      <c r="Q379" t="s">
        <v>37</v>
      </c>
      <c r="R379">
        <v>3</v>
      </c>
      <c r="S379" t="s">
        <v>351</v>
      </c>
      <c r="T379" t="s">
        <v>39</v>
      </c>
      <c r="U379" t="s">
        <v>53</v>
      </c>
      <c r="V379" t="s">
        <v>54</v>
      </c>
    </row>
    <row r="380" spans="1:22" hidden="1" x14ac:dyDescent="0.2">
      <c r="A380" t="s">
        <v>337</v>
      </c>
      <c r="B380" t="s">
        <v>23</v>
      </c>
      <c r="C380" t="s">
        <v>338</v>
      </c>
      <c r="D380" t="s">
        <v>352</v>
      </c>
      <c r="E380" t="s">
        <v>340</v>
      </c>
      <c r="F380" t="s">
        <v>341</v>
      </c>
      <c r="G380" t="s">
        <v>342</v>
      </c>
      <c r="H380" t="s">
        <v>343</v>
      </c>
      <c r="I380" t="s">
        <v>344</v>
      </c>
      <c r="J380" t="s">
        <v>345</v>
      </c>
      <c r="K380" t="s">
        <v>346</v>
      </c>
      <c r="L380" t="s">
        <v>347</v>
      </c>
      <c r="M380" t="s">
        <v>348</v>
      </c>
      <c r="O380" t="s">
        <v>349</v>
      </c>
      <c r="P380" t="s">
        <v>350</v>
      </c>
      <c r="Q380" t="s">
        <v>37</v>
      </c>
      <c r="R380">
        <v>3</v>
      </c>
      <c r="S380" t="s">
        <v>351</v>
      </c>
      <c r="T380" t="s">
        <v>39</v>
      </c>
      <c r="U380" t="s">
        <v>53</v>
      </c>
      <c r="V380" t="s">
        <v>352</v>
      </c>
    </row>
    <row r="381" spans="1:22" hidden="1" x14ac:dyDescent="0.2">
      <c r="A381" t="s">
        <v>337</v>
      </c>
      <c r="B381" t="s">
        <v>23</v>
      </c>
      <c r="C381" t="s">
        <v>338</v>
      </c>
      <c r="D381" t="s">
        <v>352</v>
      </c>
      <c r="E381" t="s">
        <v>340</v>
      </c>
      <c r="F381" t="s">
        <v>341</v>
      </c>
      <c r="G381" t="s">
        <v>342</v>
      </c>
      <c r="H381" t="s">
        <v>343</v>
      </c>
      <c r="I381" t="s">
        <v>344</v>
      </c>
      <c r="J381" t="s">
        <v>345</v>
      </c>
      <c r="K381" t="s">
        <v>346</v>
      </c>
      <c r="L381" t="s">
        <v>347</v>
      </c>
      <c r="M381" t="s">
        <v>348</v>
      </c>
      <c r="O381" t="s">
        <v>349</v>
      </c>
      <c r="P381" t="s">
        <v>350</v>
      </c>
      <c r="Q381" t="s">
        <v>37</v>
      </c>
      <c r="R381">
        <v>3</v>
      </c>
      <c r="S381" t="s">
        <v>351</v>
      </c>
      <c r="T381" t="s">
        <v>58</v>
      </c>
      <c r="U381" t="s">
        <v>53</v>
      </c>
      <c r="V381" t="s">
        <v>54</v>
      </c>
    </row>
    <row r="382" spans="1:22" hidden="1" x14ac:dyDescent="0.2">
      <c r="A382" t="s">
        <v>337</v>
      </c>
      <c r="B382" t="s">
        <v>23</v>
      </c>
      <c r="C382" t="s">
        <v>338</v>
      </c>
      <c r="D382" t="s">
        <v>352</v>
      </c>
      <c r="E382" t="s">
        <v>340</v>
      </c>
      <c r="F382" t="s">
        <v>341</v>
      </c>
      <c r="G382" t="s">
        <v>342</v>
      </c>
      <c r="H382" t="s">
        <v>343</v>
      </c>
      <c r="I382" t="s">
        <v>344</v>
      </c>
      <c r="J382" t="s">
        <v>345</v>
      </c>
      <c r="K382" t="s">
        <v>346</v>
      </c>
      <c r="L382" t="s">
        <v>347</v>
      </c>
      <c r="M382" t="s">
        <v>348</v>
      </c>
      <c r="O382" t="s">
        <v>349</v>
      </c>
      <c r="P382" t="s">
        <v>350</v>
      </c>
      <c r="Q382" t="s">
        <v>37</v>
      </c>
      <c r="R382">
        <v>3</v>
      </c>
      <c r="S382" t="s">
        <v>351</v>
      </c>
      <c r="T382" t="s">
        <v>58</v>
      </c>
      <c r="U382" t="s">
        <v>53</v>
      </c>
      <c r="V382" t="s">
        <v>352</v>
      </c>
    </row>
    <row r="383" spans="1:22" hidden="1" x14ac:dyDescent="0.2">
      <c r="A383" t="s">
        <v>337</v>
      </c>
      <c r="B383" t="s">
        <v>23</v>
      </c>
      <c r="C383" t="s">
        <v>338</v>
      </c>
      <c r="D383" t="s">
        <v>352</v>
      </c>
      <c r="E383" t="s">
        <v>340</v>
      </c>
      <c r="F383" t="s">
        <v>341</v>
      </c>
      <c r="G383" t="s">
        <v>342</v>
      </c>
      <c r="H383" t="s">
        <v>343</v>
      </c>
      <c r="I383" t="s">
        <v>344</v>
      </c>
      <c r="J383" t="s">
        <v>345</v>
      </c>
      <c r="K383" t="s">
        <v>346</v>
      </c>
      <c r="L383" t="s">
        <v>347</v>
      </c>
      <c r="M383" t="s">
        <v>348</v>
      </c>
      <c r="O383" t="s">
        <v>349</v>
      </c>
      <c r="P383" t="s">
        <v>350</v>
      </c>
      <c r="Q383" t="s">
        <v>37</v>
      </c>
      <c r="R383">
        <v>3</v>
      </c>
      <c r="S383" t="s">
        <v>351</v>
      </c>
      <c r="T383" t="s">
        <v>59</v>
      </c>
      <c r="U383" t="s">
        <v>53</v>
      </c>
      <c r="V383" t="s">
        <v>54</v>
      </c>
    </row>
    <row r="384" spans="1:22" hidden="1" x14ac:dyDescent="0.2">
      <c r="A384" t="s">
        <v>337</v>
      </c>
      <c r="B384" t="s">
        <v>23</v>
      </c>
      <c r="C384" t="s">
        <v>338</v>
      </c>
      <c r="D384" t="s">
        <v>352</v>
      </c>
      <c r="E384" t="s">
        <v>340</v>
      </c>
      <c r="F384" t="s">
        <v>341</v>
      </c>
      <c r="G384" t="s">
        <v>342</v>
      </c>
      <c r="H384" t="s">
        <v>343</v>
      </c>
      <c r="I384" t="s">
        <v>344</v>
      </c>
      <c r="J384" t="s">
        <v>345</v>
      </c>
      <c r="K384" t="s">
        <v>346</v>
      </c>
      <c r="L384" t="s">
        <v>347</v>
      </c>
      <c r="M384" t="s">
        <v>348</v>
      </c>
      <c r="O384" t="s">
        <v>349</v>
      </c>
      <c r="P384" t="s">
        <v>350</v>
      </c>
      <c r="Q384" t="s">
        <v>37</v>
      </c>
      <c r="R384">
        <v>3</v>
      </c>
      <c r="S384" t="s">
        <v>351</v>
      </c>
      <c r="T384" t="s">
        <v>59</v>
      </c>
      <c r="U384" t="s">
        <v>53</v>
      </c>
      <c r="V384" t="s">
        <v>352</v>
      </c>
    </row>
    <row r="385" spans="1:22" hidden="1" x14ac:dyDescent="0.2">
      <c r="A385" t="s">
        <v>337</v>
      </c>
      <c r="B385" t="s">
        <v>23</v>
      </c>
      <c r="C385" t="s">
        <v>338</v>
      </c>
      <c r="D385" t="s">
        <v>352</v>
      </c>
      <c r="E385" t="s">
        <v>340</v>
      </c>
      <c r="F385" t="s">
        <v>341</v>
      </c>
      <c r="G385" t="s">
        <v>342</v>
      </c>
      <c r="H385" t="s">
        <v>343</v>
      </c>
      <c r="I385" t="s">
        <v>344</v>
      </c>
      <c r="J385" t="s">
        <v>345</v>
      </c>
      <c r="K385" t="s">
        <v>346</v>
      </c>
      <c r="L385" t="s">
        <v>347</v>
      </c>
      <c r="M385" t="s">
        <v>348</v>
      </c>
      <c r="O385" t="s">
        <v>349</v>
      </c>
      <c r="P385" t="s">
        <v>350</v>
      </c>
      <c r="Q385" t="s">
        <v>37</v>
      </c>
      <c r="R385">
        <v>3</v>
      </c>
      <c r="S385" t="s">
        <v>351</v>
      </c>
      <c r="T385" t="s">
        <v>60</v>
      </c>
      <c r="U385" t="s">
        <v>53</v>
      </c>
      <c r="V385" t="s">
        <v>54</v>
      </c>
    </row>
    <row r="386" spans="1:22" hidden="1" x14ac:dyDescent="0.2">
      <c r="A386" t="s">
        <v>337</v>
      </c>
      <c r="B386" t="s">
        <v>23</v>
      </c>
      <c r="C386" t="s">
        <v>338</v>
      </c>
      <c r="D386" t="s">
        <v>352</v>
      </c>
      <c r="E386" t="s">
        <v>340</v>
      </c>
      <c r="F386" t="s">
        <v>341</v>
      </c>
      <c r="G386" t="s">
        <v>342</v>
      </c>
      <c r="H386" t="s">
        <v>343</v>
      </c>
      <c r="I386" t="s">
        <v>344</v>
      </c>
      <c r="J386" t="s">
        <v>345</v>
      </c>
      <c r="K386" t="s">
        <v>346</v>
      </c>
      <c r="L386" t="s">
        <v>347</v>
      </c>
      <c r="M386" t="s">
        <v>348</v>
      </c>
      <c r="O386" t="s">
        <v>349</v>
      </c>
      <c r="P386" t="s">
        <v>350</v>
      </c>
      <c r="Q386" t="s">
        <v>37</v>
      </c>
      <c r="R386">
        <v>3</v>
      </c>
      <c r="S386" t="s">
        <v>351</v>
      </c>
      <c r="T386" t="s">
        <v>60</v>
      </c>
      <c r="U386" t="s">
        <v>53</v>
      </c>
      <c r="V386" t="s">
        <v>352</v>
      </c>
    </row>
    <row r="387" spans="1:22" hidden="1" x14ac:dyDescent="0.2">
      <c r="A387" t="s">
        <v>337</v>
      </c>
      <c r="B387" t="s">
        <v>23</v>
      </c>
      <c r="C387" t="s">
        <v>338</v>
      </c>
      <c r="D387" t="s">
        <v>352</v>
      </c>
      <c r="E387" t="s">
        <v>340</v>
      </c>
      <c r="F387" t="s">
        <v>341</v>
      </c>
      <c r="G387" t="s">
        <v>342</v>
      </c>
      <c r="H387" t="s">
        <v>343</v>
      </c>
      <c r="I387" t="s">
        <v>344</v>
      </c>
      <c r="J387" t="s">
        <v>345</v>
      </c>
      <c r="K387" t="s">
        <v>346</v>
      </c>
      <c r="L387" t="s">
        <v>347</v>
      </c>
      <c r="M387" t="s">
        <v>348</v>
      </c>
      <c r="O387" t="s">
        <v>349</v>
      </c>
      <c r="P387" t="s">
        <v>350</v>
      </c>
      <c r="Q387" t="s">
        <v>37</v>
      </c>
      <c r="R387">
        <v>3</v>
      </c>
      <c r="S387" t="s">
        <v>351</v>
      </c>
      <c r="T387" t="s">
        <v>95</v>
      </c>
      <c r="U387" t="s">
        <v>53</v>
      </c>
      <c r="V387" t="s">
        <v>54</v>
      </c>
    </row>
    <row r="388" spans="1:22" hidden="1" x14ac:dyDescent="0.2">
      <c r="A388" t="s">
        <v>337</v>
      </c>
      <c r="B388" t="s">
        <v>23</v>
      </c>
      <c r="C388" t="s">
        <v>338</v>
      </c>
      <c r="D388" t="s">
        <v>352</v>
      </c>
      <c r="E388" t="s">
        <v>340</v>
      </c>
      <c r="F388" t="s">
        <v>341</v>
      </c>
      <c r="G388" t="s">
        <v>342</v>
      </c>
      <c r="H388" t="s">
        <v>343</v>
      </c>
      <c r="I388" t="s">
        <v>344</v>
      </c>
      <c r="J388" t="s">
        <v>345</v>
      </c>
      <c r="K388" t="s">
        <v>346</v>
      </c>
      <c r="L388" t="s">
        <v>347</v>
      </c>
      <c r="M388" t="s">
        <v>348</v>
      </c>
      <c r="O388" t="s">
        <v>349</v>
      </c>
      <c r="P388" t="s">
        <v>350</v>
      </c>
      <c r="Q388" t="s">
        <v>37</v>
      </c>
      <c r="R388">
        <v>3</v>
      </c>
      <c r="S388" t="s">
        <v>351</v>
      </c>
      <c r="T388" t="s">
        <v>95</v>
      </c>
      <c r="U388" t="s">
        <v>53</v>
      </c>
      <c r="V388" t="s">
        <v>352</v>
      </c>
    </row>
    <row r="389" spans="1:22" hidden="1" x14ac:dyDescent="0.2">
      <c r="A389" t="s">
        <v>337</v>
      </c>
      <c r="B389" t="s">
        <v>23</v>
      </c>
      <c r="C389" t="s">
        <v>338</v>
      </c>
      <c r="D389" t="s">
        <v>352</v>
      </c>
      <c r="E389" t="s">
        <v>340</v>
      </c>
      <c r="F389" t="s">
        <v>341</v>
      </c>
      <c r="G389" t="s">
        <v>342</v>
      </c>
      <c r="H389" t="s">
        <v>343</v>
      </c>
      <c r="I389" t="s">
        <v>344</v>
      </c>
      <c r="J389" t="s">
        <v>345</v>
      </c>
      <c r="K389" t="s">
        <v>346</v>
      </c>
      <c r="L389" t="s">
        <v>347</v>
      </c>
      <c r="M389" t="s">
        <v>348</v>
      </c>
      <c r="O389" t="s">
        <v>349</v>
      </c>
      <c r="P389" t="s">
        <v>350</v>
      </c>
      <c r="Q389" t="s">
        <v>37</v>
      </c>
      <c r="R389">
        <v>3</v>
      </c>
      <c r="S389" t="s">
        <v>351</v>
      </c>
      <c r="T389" t="s">
        <v>131</v>
      </c>
      <c r="U389" t="s">
        <v>53</v>
      </c>
      <c r="V389" t="s">
        <v>54</v>
      </c>
    </row>
    <row r="390" spans="1:22" hidden="1" x14ac:dyDescent="0.2">
      <c r="A390" t="s">
        <v>337</v>
      </c>
      <c r="B390" t="s">
        <v>23</v>
      </c>
      <c r="C390" t="s">
        <v>338</v>
      </c>
      <c r="D390" t="s">
        <v>352</v>
      </c>
      <c r="E390" t="s">
        <v>340</v>
      </c>
      <c r="F390" t="s">
        <v>341</v>
      </c>
      <c r="G390" t="s">
        <v>342</v>
      </c>
      <c r="H390" t="s">
        <v>343</v>
      </c>
      <c r="I390" t="s">
        <v>344</v>
      </c>
      <c r="J390" t="s">
        <v>345</v>
      </c>
      <c r="K390" t="s">
        <v>346</v>
      </c>
      <c r="L390" t="s">
        <v>347</v>
      </c>
      <c r="M390" t="s">
        <v>348</v>
      </c>
      <c r="O390" t="s">
        <v>349</v>
      </c>
      <c r="P390" t="s">
        <v>350</v>
      </c>
      <c r="Q390" t="s">
        <v>37</v>
      </c>
      <c r="R390">
        <v>3</v>
      </c>
      <c r="S390" t="s">
        <v>351</v>
      </c>
      <c r="T390" t="s">
        <v>131</v>
      </c>
      <c r="U390" t="s">
        <v>53</v>
      </c>
      <c r="V390" t="s">
        <v>352</v>
      </c>
    </row>
    <row r="391" spans="1:22" hidden="1" x14ac:dyDescent="0.2">
      <c r="A391" t="s">
        <v>337</v>
      </c>
      <c r="B391" t="s">
        <v>23</v>
      </c>
      <c r="C391" t="s">
        <v>338</v>
      </c>
      <c r="D391" t="s">
        <v>352</v>
      </c>
      <c r="E391" t="s">
        <v>340</v>
      </c>
      <c r="F391" t="s">
        <v>341</v>
      </c>
      <c r="G391" t="s">
        <v>342</v>
      </c>
      <c r="H391" t="s">
        <v>343</v>
      </c>
      <c r="I391" t="s">
        <v>344</v>
      </c>
      <c r="J391" t="s">
        <v>345</v>
      </c>
      <c r="K391" t="s">
        <v>346</v>
      </c>
      <c r="L391" t="s">
        <v>347</v>
      </c>
      <c r="M391" t="s">
        <v>348</v>
      </c>
      <c r="O391" t="s">
        <v>349</v>
      </c>
      <c r="P391" t="s">
        <v>350</v>
      </c>
      <c r="Q391" t="s">
        <v>37</v>
      </c>
      <c r="R391">
        <v>3</v>
      </c>
      <c r="S391" t="s">
        <v>351</v>
      </c>
      <c r="T391" t="s">
        <v>158</v>
      </c>
      <c r="U391" t="s">
        <v>53</v>
      </c>
      <c r="V391" t="s">
        <v>54</v>
      </c>
    </row>
    <row r="392" spans="1:22" hidden="1" x14ac:dyDescent="0.2">
      <c r="A392" t="s">
        <v>337</v>
      </c>
      <c r="B392" t="s">
        <v>23</v>
      </c>
      <c r="C392" t="s">
        <v>338</v>
      </c>
      <c r="D392" t="s">
        <v>352</v>
      </c>
      <c r="E392" t="s">
        <v>340</v>
      </c>
      <c r="F392" t="s">
        <v>341</v>
      </c>
      <c r="G392" t="s">
        <v>342</v>
      </c>
      <c r="H392" t="s">
        <v>343</v>
      </c>
      <c r="I392" t="s">
        <v>344</v>
      </c>
      <c r="J392" t="s">
        <v>345</v>
      </c>
      <c r="K392" t="s">
        <v>346</v>
      </c>
      <c r="L392" t="s">
        <v>347</v>
      </c>
      <c r="M392" t="s">
        <v>348</v>
      </c>
      <c r="O392" t="s">
        <v>349</v>
      </c>
      <c r="P392" t="s">
        <v>350</v>
      </c>
      <c r="Q392" t="s">
        <v>37</v>
      </c>
      <c r="R392">
        <v>3</v>
      </c>
      <c r="S392" t="s">
        <v>351</v>
      </c>
      <c r="T392" t="s">
        <v>158</v>
      </c>
      <c r="U392" t="s">
        <v>53</v>
      </c>
      <c r="V392" t="s">
        <v>352</v>
      </c>
    </row>
    <row r="393" spans="1:22" hidden="1" x14ac:dyDescent="0.2">
      <c r="A393" t="s">
        <v>337</v>
      </c>
      <c r="B393" t="s">
        <v>23</v>
      </c>
      <c r="C393" t="s">
        <v>338</v>
      </c>
      <c r="D393" t="s">
        <v>352</v>
      </c>
      <c r="E393" t="s">
        <v>340</v>
      </c>
      <c r="F393" t="s">
        <v>341</v>
      </c>
      <c r="G393" t="s">
        <v>342</v>
      </c>
      <c r="H393" t="s">
        <v>343</v>
      </c>
      <c r="I393" t="s">
        <v>344</v>
      </c>
      <c r="J393" t="s">
        <v>345</v>
      </c>
      <c r="K393" t="s">
        <v>346</v>
      </c>
      <c r="L393" t="s">
        <v>347</v>
      </c>
      <c r="M393" t="s">
        <v>348</v>
      </c>
      <c r="O393" t="s">
        <v>349</v>
      </c>
      <c r="P393" t="s">
        <v>350</v>
      </c>
      <c r="Q393" t="s">
        <v>37</v>
      </c>
      <c r="R393">
        <v>3</v>
      </c>
      <c r="S393" t="s">
        <v>351</v>
      </c>
      <c r="T393" t="s">
        <v>79</v>
      </c>
      <c r="U393" t="s">
        <v>53</v>
      </c>
      <c r="V393" t="s">
        <v>54</v>
      </c>
    </row>
    <row r="394" spans="1:22" hidden="1" x14ac:dyDescent="0.2">
      <c r="A394" t="s">
        <v>337</v>
      </c>
      <c r="B394" t="s">
        <v>23</v>
      </c>
      <c r="C394" t="s">
        <v>338</v>
      </c>
      <c r="D394" t="s">
        <v>352</v>
      </c>
      <c r="E394" t="s">
        <v>340</v>
      </c>
      <c r="F394" t="s">
        <v>341</v>
      </c>
      <c r="G394" t="s">
        <v>342</v>
      </c>
      <c r="H394" t="s">
        <v>343</v>
      </c>
      <c r="I394" t="s">
        <v>344</v>
      </c>
      <c r="J394" t="s">
        <v>345</v>
      </c>
      <c r="K394" t="s">
        <v>346</v>
      </c>
      <c r="L394" t="s">
        <v>347</v>
      </c>
      <c r="M394" t="s">
        <v>348</v>
      </c>
      <c r="O394" t="s">
        <v>349</v>
      </c>
      <c r="P394" t="s">
        <v>350</v>
      </c>
      <c r="Q394" t="s">
        <v>37</v>
      </c>
      <c r="R394">
        <v>3</v>
      </c>
      <c r="S394" t="s">
        <v>351</v>
      </c>
      <c r="T394" t="s">
        <v>79</v>
      </c>
      <c r="U394" t="s">
        <v>53</v>
      </c>
      <c r="V394" t="s">
        <v>352</v>
      </c>
    </row>
    <row r="395" spans="1:22" hidden="1" x14ac:dyDescent="0.2">
      <c r="A395" t="s">
        <v>337</v>
      </c>
      <c r="B395" t="s">
        <v>23</v>
      </c>
      <c r="C395" t="s">
        <v>338</v>
      </c>
      <c r="D395" t="s">
        <v>352</v>
      </c>
      <c r="E395" t="s">
        <v>340</v>
      </c>
      <c r="F395" t="s">
        <v>341</v>
      </c>
      <c r="G395" t="s">
        <v>342</v>
      </c>
      <c r="H395" t="s">
        <v>343</v>
      </c>
      <c r="I395" t="s">
        <v>344</v>
      </c>
      <c r="J395" t="s">
        <v>345</v>
      </c>
      <c r="K395" t="s">
        <v>346</v>
      </c>
      <c r="L395" t="s">
        <v>347</v>
      </c>
      <c r="M395" t="s">
        <v>348</v>
      </c>
      <c r="O395" t="s">
        <v>349</v>
      </c>
      <c r="P395" t="s">
        <v>350</v>
      </c>
      <c r="Q395" t="s">
        <v>37</v>
      </c>
      <c r="R395">
        <v>3</v>
      </c>
      <c r="S395" t="s">
        <v>351</v>
      </c>
      <c r="T395" t="s">
        <v>327</v>
      </c>
      <c r="U395" t="s">
        <v>53</v>
      </c>
      <c r="V395" t="s">
        <v>54</v>
      </c>
    </row>
    <row r="396" spans="1:22" hidden="1" x14ac:dyDescent="0.2">
      <c r="A396" t="s">
        <v>337</v>
      </c>
      <c r="B396" t="s">
        <v>23</v>
      </c>
      <c r="C396" t="s">
        <v>338</v>
      </c>
      <c r="D396" t="s">
        <v>352</v>
      </c>
      <c r="E396" t="s">
        <v>340</v>
      </c>
      <c r="F396" t="s">
        <v>341</v>
      </c>
      <c r="G396" t="s">
        <v>342</v>
      </c>
      <c r="H396" t="s">
        <v>343</v>
      </c>
      <c r="I396" t="s">
        <v>344</v>
      </c>
      <c r="J396" t="s">
        <v>345</v>
      </c>
      <c r="K396" t="s">
        <v>346</v>
      </c>
      <c r="L396" t="s">
        <v>347</v>
      </c>
      <c r="M396" t="s">
        <v>348</v>
      </c>
      <c r="O396" t="s">
        <v>349</v>
      </c>
      <c r="P396" t="s">
        <v>350</v>
      </c>
      <c r="Q396" t="s">
        <v>37</v>
      </c>
      <c r="R396">
        <v>3</v>
      </c>
      <c r="S396" t="s">
        <v>351</v>
      </c>
      <c r="T396" t="s">
        <v>327</v>
      </c>
      <c r="U396" t="s">
        <v>53</v>
      </c>
      <c r="V396" t="s">
        <v>352</v>
      </c>
    </row>
    <row r="397" spans="1:22" hidden="1" x14ac:dyDescent="0.2">
      <c r="A397" t="s">
        <v>354</v>
      </c>
      <c r="B397" t="s">
        <v>23</v>
      </c>
      <c r="C397" t="s">
        <v>352</v>
      </c>
      <c r="D397" t="s">
        <v>25</v>
      </c>
      <c r="E397" t="s">
        <v>355</v>
      </c>
      <c r="F397" t="s">
        <v>356</v>
      </c>
      <c r="G397" t="s">
        <v>357</v>
      </c>
      <c r="H397" t="s">
        <v>358</v>
      </c>
      <c r="I397" t="s">
        <v>359</v>
      </c>
      <c r="J397" t="s">
        <v>360</v>
      </c>
      <c r="K397" t="s">
        <v>25</v>
      </c>
      <c r="T397" t="s">
        <v>57</v>
      </c>
      <c r="U397" t="s">
        <v>53</v>
      </c>
      <c r="V397" t="s">
        <v>361</v>
      </c>
    </row>
    <row r="398" spans="1:22" hidden="1" x14ac:dyDescent="0.2">
      <c r="A398" t="s">
        <v>354</v>
      </c>
      <c r="B398" t="s">
        <v>23</v>
      </c>
      <c r="C398" t="s">
        <v>352</v>
      </c>
      <c r="D398" t="s">
        <v>25</v>
      </c>
      <c r="E398" t="s">
        <v>355</v>
      </c>
      <c r="F398" t="s">
        <v>356</v>
      </c>
      <c r="G398" t="s">
        <v>357</v>
      </c>
      <c r="H398" t="s">
        <v>358</v>
      </c>
      <c r="I398" t="s">
        <v>359</v>
      </c>
      <c r="J398" t="s">
        <v>360</v>
      </c>
      <c r="K398" t="s">
        <v>25</v>
      </c>
      <c r="T398" t="s">
        <v>57</v>
      </c>
      <c r="U398" t="s">
        <v>53</v>
      </c>
      <c r="V398" t="s">
        <v>338</v>
      </c>
    </row>
    <row r="399" spans="1:22" hidden="1" x14ac:dyDescent="0.2">
      <c r="A399" t="s">
        <v>354</v>
      </c>
      <c r="B399" t="s">
        <v>23</v>
      </c>
      <c r="C399" t="s">
        <v>352</v>
      </c>
      <c r="D399" t="s">
        <v>25</v>
      </c>
      <c r="E399" t="s">
        <v>355</v>
      </c>
      <c r="F399" t="s">
        <v>356</v>
      </c>
      <c r="G399" t="s">
        <v>357</v>
      </c>
      <c r="H399" t="s">
        <v>358</v>
      </c>
      <c r="I399" t="s">
        <v>359</v>
      </c>
      <c r="J399" t="s">
        <v>360</v>
      </c>
      <c r="K399" t="s">
        <v>25</v>
      </c>
      <c r="T399" t="s">
        <v>39</v>
      </c>
      <c r="U399" t="s">
        <v>53</v>
      </c>
      <c r="V399" t="s">
        <v>361</v>
      </c>
    </row>
    <row r="400" spans="1:22" hidden="1" x14ac:dyDescent="0.2">
      <c r="A400" t="s">
        <v>354</v>
      </c>
      <c r="B400" t="s">
        <v>23</v>
      </c>
      <c r="C400" t="s">
        <v>352</v>
      </c>
      <c r="D400" t="s">
        <v>25</v>
      </c>
      <c r="E400" t="s">
        <v>355</v>
      </c>
      <c r="F400" t="s">
        <v>356</v>
      </c>
      <c r="G400" t="s">
        <v>357</v>
      </c>
      <c r="H400" t="s">
        <v>358</v>
      </c>
      <c r="I400" t="s">
        <v>359</v>
      </c>
      <c r="J400" t="s">
        <v>360</v>
      </c>
      <c r="K400" t="s">
        <v>25</v>
      </c>
      <c r="T400" t="s">
        <v>39</v>
      </c>
      <c r="U400" t="s">
        <v>53</v>
      </c>
      <c r="V400" t="s">
        <v>338</v>
      </c>
    </row>
    <row r="401" spans="1:22" hidden="1" x14ac:dyDescent="0.2">
      <c r="A401" t="s">
        <v>354</v>
      </c>
      <c r="B401" t="s">
        <v>23</v>
      </c>
      <c r="C401" t="s">
        <v>352</v>
      </c>
      <c r="D401" t="s">
        <v>25</v>
      </c>
      <c r="E401" t="s">
        <v>355</v>
      </c>
      <c r="F401" t="s">
        <v>356</v>
      </c>
      <c r="G401" t="s">
        <v>357</v>
      </c>
      <c r="H401" t="s">
        <v>358</v>
      </c>
      <c r="I401" t="s">
        <v>359</v>
      </c>
      <c r="J401" t="s">
        <v>360</v>
      </c>
      <c r="K401" t="s">
        <v>25</v>
      </c>
      <c r="T401" t="s">
        <v>58</v>
      </c>
      <c r="U401" t="s">
        <v>53</v>
      </c>
      <c r="V401" t="s">
        <v>361</v>
      </c>
    </row>
    <row r="402" spans="1:22" hidden="1" x14ac:dyDescent="0.2">
      <c r="A402" t="s">
        <v>354</v>
      </c>
      <c r="B402" t="s">
        <v>23</v>
      </c>
      <c r="C402" t="s">
        <v>352</v>
      </c>
      <c r="D402" t="s">
        <v>25</v>
      </c>
      <c r="E402" t="s">
        <v>355</v>
      </c>
      <c r="F402" t="s">
        <v>356</v>
      </c>
      <c r="G402" t="s">
        <v>357</v>
      </c>
      <c r="H402" t="s">
        <v>358</v>
      </c>
      <c r="I402" t="s">
        <v>359</v>
      </c>
      <c r="J402" t="s">
        <v>360</v>
      </c>
      <c r="K402" t="s">
        <v>25</v>
      </c>
      <c r="T402" t="s">
        <v>58</v>
      </c>
      <c r="U402" t="s">
        <v>53</v>
      </c>
      <c r="V402" t="s">
        <v>338</v>
      </c>
    </row>
    <row r="403" spans="1:22" hidden="1" x14ac:dyDescent="0.2">
      <c r="A403" t="s">
        <v>354</v>
      </c>
      <c r="B403" t="s">
        <v>23</v>
      </c>
      <c r="C403" t="s">
        <v>352</v>
      </c>
      <c r="D403" t="s">
        <v>25</v>
      </c>
      <c r="E403" t="s">
        <v>355</v>
      </c>
      <c r="F403" t="s">
        <v>356</v>
      </c>
      <c r="G403" t="s">
        <v>357</v>
      </c>
      <c r="H403" t="s">
        <v>358</v>
      </c>
      <c r="I403" t="s">
        <v>359</v>
      </c>
      <c r="J403" t="s">
        <v>360</v>
      </c>
      <c r="K403" t="s">
        <v>25</v>
      </c>
      <c r="T403" t="s">
        <v>59</v>
      </c>
      <c r="U403" t="s">
        <v>53</v>
      </c>
      <c r="V403" t="s">
        <v>361</v>
      </c>
    </row>
    <row r="404" spans="1:22" hidden="1" x14ac:dyDescent="0.2">
      <c r="A404" t="s">
        <v>354</v>
      </c>
      <c r="B404" t="s">
        <v>23</v>
      </c>
      <c r="C404" t="s">
        <v>352</v>
      </c>
      <c r="D404" t="s">
        <v>25</v>
      </c>
      <c r="E404" t="s">
        <v>355</v>
      </c>
      <c r="F404" t="s">
        <v>356</v>
      </c>
      <c r="G404" t="s">
        <v>357</v>
      </c>
      <c r="H404" t="s">
        <v>358</v>
      </c>
      <c r="I404" t="s">
        <v>359</v>
      </c>
      <c r="J404" t="s">
        <v>360</v>
      </c>
      <c r="K404" t="s">
        <v>25</v>
      </c>
      <c r="T404" t="s">
        <v>59</v>
      </c>
      <c r="U404" t="s">
        <v>53</v>
      </c>
      <c r="V404" t="s">
        <v>338</v>
      </c>
    </row>
    <row r="405" spans="1:22" hidden="1" x14ac:dyDescent="0.2">
      <c r="A405" t="s">
        <v>354</v>
      </c>
      <c r="B405" t="s">
        <v>23</v>
      </c>
      <c r="C405" t="s">
        <v>352</v>
      </c>
      <c r="D405" t="s">
        <v>25</v>
      </c>
      <c r="E405" t="s">
        <v>355</v>
      </c>
      <c r="F405" t="s">
        <v>356</v>
      </c>
      <c r="G405" t="s">
        <v>357</v>
      </c>
      <c r="H405" t="s">
        <v>358</v>
      </c>
      <c r="I405" t="s">
        <v>359</v>
      </c>
      <c r="J405" t="s">
        <v>360</v>
      </c>
      <c r="K405" t="s">
        <v>25</v>
      </c>
      <c r="T405" t="s">
        <v>60</v>
      </c>
      <c r="U405" t="s">
        <v>53</v>
      </c>
      <c r="V405" t="s">
        <v>361</v>
      </c>
    </row>
    <row r="406" spans="1:22" hidden="1" x14ac:dyDescent="0.2">
      <c r="A406" t="s">
        <v>354</v>
      </c>
      <c r="B406" t="s">
        <v>23</v>
      </c>
      <c r="C406" t="s">
        <v>352</v>
      </c>
      <c r="D406" t="s">
        <v>25</v>
      </c>
      <c r="E406" t="s">
        <v>355</v>
      </c>
      <c r="F406" t="s">
        <v>356</v>
      </c>
      <c r="G406" t="s">
        <v>357</v>
      </c>
      <c r="H406" t="s">
        <v>358</v>
      </c>
      <c r="I406" t="s">
        <v>359</v>
      </c>
      <c r="J406" t="s">
        <v>360</v>
      </c>
      <c r="K406" t="s">
        <v>25</v>
      </c>
      <c r="T406" t="s">
        <v>60</v>
      </c>
      <c r="U406" t="s">
        <v>53</v>
      </c>
      <c r="V406" t="s">
        <v>338</v>
      </c>
    </row>
    <row r="407" spans="1:22" hidden="1" x14ac:dyDescent="0.2">
      <c r="A407" t="s">
        <v>354</v>
      </c>
      <c r="B407" t="s">
        <v>23</v>
      </c>
      <c r="C407" t="s">
        <v>352</v>
      </c>
      <c r="D407" t="s">
        <v>25</v>
      </c>
      <c r="E407" t="s">
        <v>355</v>
      </c>
      <c r="F407" t="s">
        <v>356</v>
      </c>
      <c r="G407" t="s">
        <v>357</v>
      </c>
      <c r="H407" t="s">
        <v>358</v>
      </c>
      <c r="I407" t="s">
        <v>359</v>
      </c>
      <c r="J407" t="s">
        <v>360</v>
      </c>
      <c r="K407" t="s">
        <v>25</v>
      </c>
      <c r="T407" t="s">
        <v>95</v>
      </c>
      <c r="U407" t="s">
        <v>53</v>
      </c>
      <c r="V407" t="s">
        <v>361</v>
      </c>
    </row>
    <row r="408" spans="1:22" hidden="1" x14ac:dyDescent="0.2">
      <c r="A408" t="s">
        <v>354</v>
      </c>
      <c r="B408" t="s">
        <v>23</v>
      </c>
      <c r="C408" t="s">
        <v>352</v>
      </c>
      <c r="D408" t="s">
        <v>25</v>
      </c>
      <c r="E408" t="s">
        <v>355</v>
      </c>
      <c r="F408" t="s">
        <v>356</v>
      </c>
      <c r="G408" t="s">
        <v>357</v>
      </c>
      <c r="H408" t="s">
        <v>358</v>
      </c>
      <c r="I408" t="s">
        <v>359</v>
      </c>
      <c r="J408" t="s">
        <v>360</v>
      </c>
      <c r="K408" t="s">
        <v>25</v>
      </c>
      <c r="T408" t="s">
        <v>95</v>
      </c>
      <c r="U408" t="s">
        <v>53</v>
      </c>
      <c r="V408" t="s">
        <v>338</v>
      </c>
    </row>
    <row r="409" spans="1:22" hidden="1" x14ac:dyDescent="0.2">
      <c r="A409" t="s">
        <v>354</v>
      </c>
      <c r="B409" t="s">
        <v>23</v>
      </c>
      <c r="C409" t="s">
        <v>352</v>
      </c>
      <c r="D409" t="s">
        <v>25</v>
      </c>
      <c r="E409" t="s">
        <v>355</v>
      </c>
      <c r="F409" t="s">
        <v>356</v>
      </c>
      <c r="G409" t="s">
        <v>357</v>
      </c>
      <c r="H409" t="s">
        <v>358</v>
      </c>
      <c r="I409" t="s">
        <v>359</v>
      </c>
      <c r="J409" t="s">
        <v>360</v>
      </c>
      <c r="K409" t="s">
        <v>25</v>
      </c>
      <c r="T409" t="s">
        <v>158</v>
      </c>
      <c r="U409" t="s">
        <v>53</v>
      </c>
      <c r="V409" t="s">
        <v>361</v>
      </c>
    </row>
    <row r="410" spans="1:22" hidden="1" x14ac:dyDescent="0.2">
      <c r="A410" t="s">
        <v>354</v>
      </c>
      <c r="B410" t="s">
        <v>23</v>
      </c>
      <c r="C410" t="s">
        <v>352</v>
      </c>
      <c r="D410" t="s">
        <v>25</v>
      </c>
      <c r="E410" t="s">
        <v>355</v>
      </c>
      <c r="F410" t="s">
        <v>356</v>
      </c>
      <c r="G410" t="s">
        <v>357</v>
      </c>
      <c r="H410" t="s">
        <v>358</v>
      </c>
      <c r="I410" t="s">
        <v>359</v>
      </c>
      <c r="J410" t="s">
        <v>360</v>
      </c>
      <c r="K410" t="s">
        <v>25</v>
      </c>
      <c r="T410" t="s">
        <v>158</v>
      </c>
      <c r="U410" t="s">
        <v>53</v>
      </c>
      <c r="V410" t="s">
        <v>338</v>
      </c>
    </row>
    <row r="411" spans="1:22" hidden="1" x14ac:dyDescent="0.2">
      <c r="A411" t="s">
        <v>354</v>
      </c>
      <c r="B411" t="s">
        <v>23</v>
      </c>
      <c r="C411" t="s">
        <v>352</v>
      </c>
      <c r="D411" t="s">
        <v>25</v>
      </c>
      <c r="E411" t="s">
        <v>355</v>
      </c>
      <c r="F411" t="s">
        <v>356</v>
      </c>
      <c r="G411" t="s">
        <v>357</v>
      </c>
      <c r="H411" t="s">
        <v>358</v>
      </c>
      <c r="I411" t="s">
        <v>359</v>
      </c>
      <c r="J411" t="s">
        <v>360</v>
      </c>
      <c r="K411" t="s">
        <v>25</v>
      </c>
      <c r="T411" t="s">
        <v>327</v>
      </c>
      <c r="U411" t="s">
        <v>53</v>
      </c>
      <c r="V411" t="s">
        <v>361</v>
      </c>
    </row>
    <row r="412" spans="1:22" hidden="1" x14ac:dyDescent="0.2">
      <c r="A412" t="s">
        <v>354</v>
      </c>
      <c r="B412" t="s">
        <v>23</v>
      </c>
      <c r="C412" t="s">
        <v>352</v>
      </c>
      <c r="D412" t="s">
        <v>25</v>
      </c>
      <c r="E412" t="s">
        <v>355</v>
      </c>
      <c r="F412" t="s">
        <v>356</v>
      </c>
      <c r="G412" t="s">
        <v>357</v>
      </c>
      <c r="H412" t="s">
        <v>358</v>
      </c>
      <c r="I412" t="s">
        <v>359</v>
      </c>
      <c r="J412" t="s">
        <v>360</v>
      </c>
      <c r="K412" t="s">
        <v>25</v>
      </c>
      <c r="T412" t="s">
        <v>327</v>
      </c>
      <c r="U412" t="s">
        <v>53</v>
      </c>
      <c r="V412" t="s">
        <v>338</v>
      </c>
    </row>
    <row r="413" spans="1:22" hidden="1" x14ac:dyDescent="0.2">
      <c r="A413" t="s">
        <v>362</v>
      </c>
      <c r="B413" t="s">
        <v>23</v>
      </c>
      <c r="C413" t="s">
        <v>363</v>
      </c>
      <c r="D413" t="s">
        <v>25</v>
      </c>
      <c r="E413" t="s">
        <v>364</v>
      </c>
      <c r="F413" t="s">
        <v>365</v>
      </c>
      <c r="G413" t="s">
        <v>366</v>
      </c>
      <c r="H413" t="s">
        <v>367</v>
      </c>
      <c r="I413" t="s">
        <v>368</v>
      </c>
      <c r="J413" t="s">
        <v>369</v>
      </c>
      <c r="K413" t="s">
        <v>370</v>
      </c>
      <c r="L413" t="s">
        <v>371</v>
      </c>
      <c r="M413" t="s">
        <v>372</v>
      </c>
      <c r="O413" t="s">
        <v>373</v>
      </c>
      <c r="P413" t="s">
        <v>374</v>
      </c>
      <c r="Q413" t="s">
        <v>375</v>
      </c>
      <c r="R413" t="s">
        <v>376</v>
      </c>
      <c r="S413" t="s">
        <v>377</v>
      </c>
      <c r="T413" t="s">
        <v>39</v>
      </c>
      <c r="U413" t="s">
        <v>53</v>
      </c>
      <c r="V413" t="s">
        <v>197</v>
      </c>
    </row>
    <row r="414" spans="1:22" hidden="1" x14ac:dyDescent="0.2">
      <c r="A414" t="s">
        <v>362</v>
      </c>
      <c r="B414" t="s">
        <v>23</v>
      </c>
      <c r="C414" t="s">
        <v>363</v>
      </c>
      <c r="D414" t="s">
        <v>25</v>
      </c>
      <c r="E414" t="s">
        <v>364</v>
      </c>
      <c r="F414" t="s">
        <v>365</v>
      </c>
      <c r="G414" t="s">
        <v>366</v>
      </c>
      <c r="H414" t="s">
        <v>367</v>
      </c>
      <c r="I414" t="s">
        <v>368</v>
      </c>
      <c r="J414" t="s">
        <v>369</v>
      </c>
      <c r="K414" t="s">
        <v>370</v>
      </c>
      <c r="L414" t="s">
        <v>371</v>
      </c>
      <c r="M414" t="s">
        <v>372</v>
      </c>
      <c r="O414" t="s">
        <v>373</v>
      </c>
      <c r="P414" t="s">
        <v>374</v>
      </c>
      <c r="Q414" t="s">
        <v>375</v>
      </c>
      <c r="R414" t="s">
        <v>376</v>
      </c>
      <c r="S414" t="s">
        <v>377</v>
      </c>
      <c r="T414" t="s">
        <v>39</v>
      </c>
      <c r="U414" t="s">
        <v>53</v>
      </c>
      <c r="V414" t="s">
        <v>56</v>
      </c>
    </row>
    <row r="415" spans="1:22" hidden="1" x14ac:dyDescent="0.2">
      <c r="A415" t="s">
        <v>362</v>
      </c>
      <c r="B415" t="s">
        <v>23</v>
      </c>
      <c r="C415" t="s">
        <v>363</v>
      </c>
      <c r="D415" t="s">
        <v>25</v>
      </c>
      <c r="E415" t="s">
        <v>364</v>
      </c>
      <c r="F415" t="s">
        <v>365</v>
      </c>
      <c r="G415" t="s">
        <v>366</v>
      </c>
      <c r="H415" t="s">
        <v>367</v>
      </c>
      <c r="I415" t="s">
        <v>368</v>
      </c>
      <c r="J415" t="s">
        <v>369</v>
      </c>
      <c r="K415" t="s">
        <v>370</v>
      </c>
      <c r="L415" t="s">
        <v>371</v>
      </c>
      <c r="M415" t="s">
        <v>372</v>
      </c>
      <c r="O415" t="s">
        <v>373</v>
      </c>
      <c r="P415" t="s">
        <v>374</v>
      </c>
      <c r="Q415" t="s">
        <v>375</v>
      </c>
      <c r="R415" t="s">
        <v>376</v>
      </c>
      <c r="S415" t="s">
        <v>377</v>
      </c>
      <c r="T415" t="s">
        <v>39</v>
      </c>
      <c r="U415" t="s">
        <v>53</v>
      </c>
      <c r="V415" t="s">
        <v>229</v>
      </c>
    </row>
    <row r="416" spans="1:22" hidden="1" x14ac:dyDescent="0.2">
      <c r="A416" t="s">
        <v>362</v>
      </c>
      <c r="B416" t="s">
        <v>23</v>
      </c>
      <c r="C416" t="s">
        <v>363</v>
      </c>
      <c r="D416" t="s">
        <v>25</v>
      </c>
      <c r="E416" t="s">
        <v>364</v>
      </c>
      <c r="F416" t="s">
        <v>365</v>
      </c>
      <c r="G416" t="s">
        <v>366</v>
      </c>
      <c r="H416" t="s">
        <v>367</v>
      </c>
      <c r="I416" t="s">
        <v>368</v>
      </c>
      <c r="J416" t="s">
        <v>369</v>
      </c>
      <c r="K416" t="s">
        <v>370</v>
      </c>
      <c r="L416" t="s">
        <v>371</v>
      </c>
      <c r="M416" t="s">
        <v>372</v>
      </c>
      <c r="O416" t="s">
        <v>373</v>
      </c>
      <c r="P416" t="s">
        <v>374</v>
      </c>
      <c r="Q416" t="s">
        <v>375</v>
      </c>
      <c r="R416" t="s">
        <v>376</v>
      </c>
      <c r="S416" t="s">
        <v>377</v>
      </c>
      <c r="T416" t="s">
        <v>39</v>
      </c>
      <c r="U416" t="s">
        <v>157</v>
      </c>
      <c r="V416" t="s">
        <v>314</v>
      </c>
    </row>
    <row r="417" spans="1:22" hidden="1" x14ac:dyDescent="0.2">
      <c r="A417" t="s">
        <v>362</v>
      </c>
      <c r="B417" t="s">
        <v>23</v>
      </c>
      <c r="C417" t="s">
        <v>363</v>
      </c>
      <c r="D417" t="s">
        <v>25</v>
      </c>
      <c r="E417" t="s">
        <v>364</v>
      </c>
      <c r="F417" t="s">
        <v>365</v>
      </c>
      <c r="G417" t="s">
        <v>366</v>
      </c>
      <c r="H417" t="s">
        <v>367</v>
      </c>
      <c r="I417" t="s">
        <v>368</v>
      </c>
      <c r="J417" t="s">
        <v>369</v>
      </c>
      <c r="K417" t="s">
        <v>370</v>
      </c>
      <c r="L417" t="s">
        <v>371</v>
      </c>
      <c r="M417" t="s">
        <v>372</v>
      </c>
      <c r="O417" t="s">
        <v>373</v>
      </c>
      <c r="P417" t="s">
        <v>374</v>
      </c>
      <c r="Q417" t="s">
        <v>375</v>
      </c>
      <c r="R417" t="s">
        <v>376</v>
      </c>
      <c r="S417" t="s">
        <v>377</v>
      </c>
      <c r="T417" t="s">
        <v>39</v>
      </c>
      <c r="U417" t="s">
        <v>55</v>
      </c>
      <c r="V417" t="s">
        <v>329</v>
      </c>
    </row>
    <row r="418" spans="1:22" hidden="1" x14ac:dyDescent="0.2">
      <c r="A418" t="s">
        <v>362</v>
      </c>
      <c r="B418" t="s">
        <v>23</v>
      </c>
      <c r="C418" t="s">
        <v>363</v>
      </c>
      <c r="D418" t="s">
        <v>25</v>
      </c>
      <c r="E418" t="s">
        <v>364</v>
      </c>
      <c r="F418" t="s">
        <v>365</v>
      </c>
      <c r="G418" t="s">
        <v>366</v>
      </c>
      <c r="H418" t="s">
        <v>367</v>
      </c>
      <c r="I418" t="s">
        <v>368</v>
      </c>
      <c r="J418" t="s">
        <v>369</v>
      </c>
      <c r="K418" t="s">
        <v>370</v>
      </c>
      <c r="L418" t="s">
        <v>371</v>
      </c>
      <c r="M418" t="s">
        <v>372</v>
      </c>
      <c r="O418" t="s">
        <v>373</v>
      </c>
      <c r="P418" t="s">
        <v>374</v>
      </c>
      <c r="Q418" t="s">
        <v>375</v>
      </c>
      <c r="R418" t="s">
        <v>376</v>
      </c>
      <c r="S418" t="s">
        <v>377</v>
      </c>
      <c r="T418" t="s">
        <v>57</v>
      </c>
      <c r="U418" t="s">
        <v>53</v>
      </c>
      <c r="V418" t="s">
        <v>197</v>
      </c>
    </row>
    <row r="419" spans="1:22" hidden="1" x14ac:dyDescent="0.2">
      <c r="A419" t="s">
        <v>362</v>
      </c>
      <c r="B419" t="s">
        <v>23</v>
      </c>
      <c r="C419" t="s">
        <v>363</v>
      </c>
      <c r="D419" t="s">
        <v>25</v>
      </c>
      <c r="E419" t="s">
        <v>364</v>
      </c>
      <c r="F419" t="s">
        <v>365</v>
      </c>
      <c r="G419" t="s">
        <v>366</v>
      </c>
      <c r="H419" t="s">
        <v>367</v>
      </c>
      <c r="I419" t="s">
        <v>368</v>
      </c>
      <c r="J419" t="s">
        <v>369</v>
      </c>
      <c r="K419" t="s">
        <v>370</v>
      </c>
      <c r="L419" t="s">
        <v>371</v>
      </c>
      <c r="M419" t="s">
        <v>372</v>
      </c>
      <c r="O419" t="s">
        <v>373</v>
      </c>
      <c r="P419" t="s">
        <v>374</v>
      </c>
      <c r="Q419" t="s">
        <v>375</v>
      </c>
      <c r="R419" t="s">
        <v>376</v>
      </c>
      <c r="S419" t="s">
        <v>377</v>
      </c>
      <c r="T419" t="s">
        <v>57</v>
      </c>
      <c r="U419" t="s">
        <v>53</v>
      </c>
      <c r="V419" t="s">
        <v>56</v>
      </c>
    </row>
    <row r="420" spans="1:22" hidden="1" x14ac:dyDescent="0.2">
      <c r="A420" t="s">
        <v>362</v>
      </c>
      <c r="B420" t="s">
        <v>23</v>
      </c>
      <c r="C420" t="s">
        <v>363</v>
      </c>
      <c r="D420" t="s">
        <v>25</v>
      </c>
      <c r="E420" t="s">
        <v>364</v>
      </c>
      <c r="F420" t="s">
        <v>365</v>
      </c>
      <c r="G420" t="s">
        <v>366</v>
      </c>
      <c r="H420" t="s">
        <v>367</v>
      </c>
      <c r="I420" t="s">
        <v>368</v>
      </c>
      <c r="J420" t="s">
        <v>369</v>
      </c>
      <c r="K420" t="s">
        <v>370</v>
      </c>
      <c r="L420" t="s">
        <v>371</v>
      </c>
      <c r="M420" t="s">
        <v>372</v>
      </c>
      <c r="O420" t="s">
        <v>373</v>
      </c>
      <c r="P420" t="s">
        <v>374</v>
      </c>
      <c r="Q420" t="s">
        <v>375</v>
      </c>
      <c r="R420" t="s">
        <v>376</v>
      </c>
      <c r="S420" t="s">
        <v>377</v>
      </c>
      <c r="T420" t="s">
        <v>57</v>
      </c>
      <c r="U420" t="s">
        <v>53</v>
      </c>
      <c r="V420" t="s">
        <v>229</v>
      </c>
    </row>
    <row r="421" spans="1:22" hidden="1" x14ac:dyDescent="0.2">
      <c r="A421" t="s">
        <v>362</v>
      </c>
      <c r="B421" t="s">
        <v>23</v>
      </c>
      <c r="C421" t="s">
        <v>363</v>
      </c>
      <c r="D421" t="s">
        <v>25</v>
      </c>
      <c r="E421" t="s">
        <v>364</v>
      </c>
      <c r="F421" t="s">
        <v>365</v>
      </c>
      <c r="G421" t="s">
        <v>366</v>
      </c>
      <c r="H421" t="s">
        <v>367</v>
      </c>
      <c r="I421" t="s">
        <v>368</v>
      </c>
      <c r="J421" t="s">
        <v>369</v>
      </c>
      <c r="K421" t="s">
        <v>370</v>
      </c>
      <c r="L421" t="s">
        <v>371</v>
      </c>
      <c r="M421" t="s">
        <v>372</v>
      </c>
      <c r="O421" t="s">
        <v>373</v>
      </c>
      <c r="P421" t="s">
        <v>374</v>
      </c>
      <c r="Q421" t="s">
        <v>375</v>
      </c>
      <c r="R421" t="s">
        <v>376</v>
      </c>
      <c r="S421" t="s">
        <v>377</v>
      </c>
      <c r="T421" t="s">
        <v>57</v>
      </c>
      <c r="U421" t="s">
        <v>157</v>
      </c>
      <c r="V421" t="s">
        <v>314</v>
      </c>
    </row>
    <row r="422" spans="1:22" hidden="1" x14ac:dyDescent="0.2">
      <c r="A422" t="s">
        <v>362</v>
      </c>
      <c r="B422" t="s">
        <v>23</v>
      </c>
      <c r="C422" t="s">
        <v>363</v>
      </c>
      <c r="D422" t="s">
        <v>25</v>
      </c>
      <c r="E422" t="s">
        <v>364</v>
      </c>
      <c r="F422" t="s">
        <v>365</v>
      </c>
      <c r="G422" t="s">
        <v>366</v>
      </c>
      <c r="H422" t="s">
        <v>367</v>
      </c>
      <c r="I422" t="s">
        <v>368</v>
      </c>
      <c r="J422" t="s">
        <v>369</v>
      </c>
      <c r="K422" t="s">
        <v>370</v>
      </c>
      <c r="L422" t="s">
        <v>371</v>
      </c>
      <c r="M422" t="s">
        <v>372</v>
      </c>
      <c r="O422" t="s">
        <v>373</v>
      </c>
      <c r="P422" t="s">
        <v>374</v>
      </c>
      <c r="Q422" t="s">
        <v>375</v>
      </c>
      <c r="R422" t="s">
        <v>376</v>
      </c>
      <c r="S422" t="s">
        <v>377</v>
      </c>
      <c r="T422" t="s">
        <v>57</v>
      </c>
      <c r="U422" t="s">
        <v>55</v>
      </c>
      <c r="V422" t="s">
        <v>329</v>
      </c>
    </row>
    <row r="423" spans="1:22" hidden="1" x14ac:dyDescent="0.2">
      <c r="A423" t="s">
        <v>362</v>
      </c>
      <c r="B423" t="s">
        <v>23</v>
      </c>
      <c r="C423" t="s">
        <v>363</v>
      </c>
      <c r="D423" t="s">
        <v>25</v>
      </c>
      <c r="E423" t="s">
        <v>364</v>
      </c>
      <c r="F423" t="s">
        <v>365</v>
      </c>
      <c r="G423" t="s">
        <v>366</v>
      </c>
      <c r="H423" t="s">
        <v>367</v>
      </c>
      <c r="I423" t="s">
        <v>368</v>
      </c>
      <c r="J423" t="s">
        <v>369</v>
      </c>
      <c r="K423" t="s">
        <v>370</v>
      </c>
      <c r="L423" t="s">
        <v>371</v>
      </c>
      <c r="M423" t="s">
        <v>372</v>
      </c>
      <c r="O423" t="s">
        <v>373</v>
      </c>
      <c r="P423" t="s">
        <v>374</v>
      </c>
      <c r="Q423" t="s">
        <v>375</v>
      </c>
      <c r="R423" t="s">
        <v>376</v>
      </c>
      <c r="S423" t="s">
        <v>377</v>
      </c>
      <c r="T423" t="s">
        <v>58</v>
      </c>
      <c r="U423" t="s">
        <v>53</v>
      </c>
      <c r="V423" t="s">
        <v>197</v>
      </c>
    </row>
    <row r="424" spans="1:22" hidden="1" x14ac:dyDescent="0.2">
      <c r="A424" t="s">
        <v>362</v>
      </c>
      <c r="B424" t="s">
        <v>23</v>
      </c>
      <c r="C424" t="s">
        <v>363</v>
      </c>
      <c r="D424" t="s">
        <v>25</v>
      </c>
      <c r="E424" t="s">
        <v>364</v>
      </c>
      <c r="F424" t="s">
        <v>365</v>
      </c>
      <c r="G424" t="s">
        <v>366</v>
      </c>
      <c r="H424" t="s">
        <v>367</v>
      </c>
      <c r="I424" t="s">
        <v>368</v>
      </c>
      <c r="J424" t="s">
        <v>369</v>
      </c>
      <c r="K424" t="s">
        <v>370</v>
      </c>
      <c r="L424" t="s">
        <v>371</v>
      </c>
      <c r="M424" t="s">
        <v>372</v>
      </c>
      <c r="O424" t="s">
        <v>373</v>
      </c>
      <c r="P424" t="s">
        <v>374</v>
      </c>
      <c r="Q424" t="s">
        <v>375</v>
      </c>
      <c r="R424" t="s">
        <v>376</v>
      </c>
      <c r="S424" t="s">
        <v>377</v>
      </c>
      <c r="T424" t="s">
        <v>58</v>
      </c>
      <c r="U424" t="s">
        <v>53</v>
      </c>
      <c r="V424" t="s">
        <v>56</v>
      </c>
    </row>
    <row r="425" spans="1:22" hidden="1" x14ac:dyDescent="0.2">
      <c r="A425" t="s">
        <v>362</v>
      </c>
      <c r="B425" t="s">
        <v>23</v>
      </c>
      <c r="C425" t="s">
        <v>363</v>
      </c>
      <c r="D425" t="s">
        <v>25</v>
      </c>
      <c r="E425" t="s">
        <v>364</v>
      </c>
      <c r="F425" t="s">
        <v>365</v>
      </c>
      <c r="G425" t="s">
        <v>366</v>
      </c>
      <c r="H425" t="s">
        <v>367</v>
      </c>
      <c r="I425" t="s">
        <v>368</v>
      </c>
      <c r="J425" t="s">
        <v>369</v>
      </c>
      <c r="K425" t="s">
        <v>370</v>
      </c>
      <c r="L425" t="s">
        <v>371</v>
      </c>
      <c r="M425" t="s">
        <v>372</v>
      </c>
      <c r="O425" t="s">
        <v>373</v>
      </c>
      <c r="P425" t="s">
        <v>374</v>
      </c>
      <c r="Q425" t="s">
        <v>375</v>
      </c>
      <c r="R425" t="s">
        <v>376</v>
      </c>
      <c r="S425" t="s">
        <v>377</v>
      </c>
      <c r="T425" t="s">
        <v>58</v>
      </c>
      <c r="U425" t="s">
        <v>53</v>
      </c>
      <c r="V425" t="s">
        <v>229</v>
      </c>
    </row>
    <row r="426" spans="1:22" hidden="1" x14ac:dyDescent="0.2">
      <c r="A426" t="s">
        <v>362</v>
      </c>
      <c r="B426" t="s">
        <v>23</v>
      </c>
      <c r="C426" t="s">
        <v>363</v>
      </c>
      <c r="D426" t="s">
        <v>25</v>
      </c>
      <c r="E426" t="s">
        <v>364</v>
      </c>
      <c r="F426" t="s">
        <v>365</v>
      </c>
      <c r="G426" t="s">
        <v>366</v>
      </c>
      <c r="H426" t="s">
        <v>367</v>
      </c>
      <c r="I426" t="s">
        <v>368</v>
      </c>
      <c r="J426" t="s">
        <v>369</v>
      </c>
      <c r="K426" t="s">
        <v>370</v>
      </c>
      <c r="L426" t="s">
        <v>371</v>
      </c>
      <c r="M426" t="s">
        <v>372</v>
      </c>
      <c r="O426" t="s">
        <v>373</v>
      </c>
      <c r="P426" t="s">
        <v>374</v>
      </c>
      <c r="Q426" t="s">
        <v>375</v>
      </c>
      <c r="R426" t="s">
        <v>376</v>
      </c>
      <c r="S426" t="s">
        <v>377</v>
      </c>
      <c r="T426" t="s">
        <v>58</v>
      </c>
      <c r="U426" t="s">
        <v>157</v>
      </c>
      <c r="V426" t="s">
        <v>314</v>
      </c>
    </row>
    <row r="427" spans="1:22" hidden="1" x14ac:dyDescent="0.2">
      <c r="A427" t="s">
        <v>362</v>
      </c>
      <c r="B427" t="s">
        <v>23</v>
      </c>
      <c r="C427" t="s">
        <v>363</v>
      </c>
      <c r="D427" t="s">
        <v>25</v>
      </c>
      <c r="E427" t="s">
        <v>364</v>
      </c>
      <c r="F427" t="s">
        <v>365</v>
      </c>
      <c r="G427" t="s">
        <v>366</v>
      </c>
      <c r="H427" t="s">
        <v>367</v>
      </c>
      <c r="I427" t="s">
        <v>368</v>
      </c>
      <c r="J427" t="s">
        <v>369</v>
      </c>
      <c r="K427" t="s">
        <v>370</v>
      </c>
      <c r="L427" t="s">
        <v>371</v>
      </c>
      <c r="M427" t="s">
        <v>372</v>
      </c>
      <c r="O427" t="s">
        <v>373</v>
      </c>
      <c r="P427" t="s">
        <v>374</v>
      </c>
      <c r="Q427" t="s">
        <v>375</v>
      </c>
      <c r="R427" t="s">
        <v>376</v>
      </c>
      <c r="S427" t="s">
        <v>377</v>
      </c>
      <c r="T427" t="s">
        <v>58</v>
      </c>
      <c r="U427" t="s">
        <v>55</v>
      </c>
      <c r="V427" t="s">
        <v>329</v>
      </c>
    </row>
    <row r="428" spans="1:22" hidden="1" x14ac:dyDescent="0.2">
      <c r="A428" t="s">
        <v>362</v>
      </c>
      <c r="B428" t="s">
        <v>23</v>
      </c>
      <c r="C428" t="s">
        <v>363</v>
      </c>
      <c r="D428" t="s">
        <v>25</v>
      </c>
      <c r="E428" t="s">
        <v>364</v>
      </c>
      <c r="F428" t="s">
        <v>365</v>
      </c>
      <c r="G428" t="s">
        <v>366</v>
      </c>
      <c r="H428" t="s">
        <v>367</v>
      </c>
      <c r="I428" t="s">
        <v>368</v>
      </c>
      <c r="J428" t="s">
        <v>369</v>
      </c>
      <c r="K428" t="s">
        <v>370</v>
      </c>
      <c r="L428" t="s">
        <v>371</v>
      </c>
      <c r="M428" t="s">
        <v>372</v>
      </c>
      <c r="O428" t="s">
        <v>373</v>
      </c>
      <c r="P428" t="s">
        <v>374</v>
      </c>
      <c r="Q428" t="s">
        <v>375</v>
      </c>
      <c r="R428" t="s">
        <v>376</v>
      </c>
      <c r="S428" t="s">
        <v>377</v>
      </c>
      <c r="T428" t="s">
        <v>59</v>
      </c>
      <c r="U428" t="s">
        <v>53</v>
      </c>
      <c r="V428" t="s">
        <v>197</v>
      </c>
    </row>
    <row r="429" spans="1:22" hidden="1" x14ac:dyDescent="0.2">
      <c r="A429" t="s">
        <v>362</v>
      </c>
      <c r="B429" t="s">
        <v>23</v>
      </c>
      <c r="C429" t="s">
        <v>363</v>
      </c>
      <c r="D429" t="s">
        <v>25</v>
      </c>
      <c r="E429" t="s">
        <v>364</v>
      </c>
      <c r="F429" t="s">
        <v>365</v>
      </c>
      <c r="G429" t="s">
        <v>366</v>
      </c>
      <c r="H429" t="s">
        <v>367</v>
      </c>
      <c r="I429" t="s">
        <v>368</v>
      </c>
      <c r="J429" t="s">
        <v>369</v>
      </c>
      <c r="K429" t="s">
        <v>370</v>
      </c>
      <c r="L429" t="s">
        <v>371</v>
      </c>
      <c r="M429" t="s">
        <v>372</v>
      </c>
      <c r="O429" t="s">
        <v>373</v>
      </c>
      <c r="P429" t="s">
        <v>374</v>
      </c>
      <c r="Q429" t="s">
        <v>375</v>
      </c>
      <c r="R429" t="s">
        <v>376</v>
      </c>
      <c r="S429" t="s">
        <v>377</v>
      </c>
      <c r="T429" t="s">
        <v>59</v>
      </c>
      <c r="U429" t="s">
        <v>53</v>
      </c>
      <c r="V429" t="s">
        <v>56</v>
      </c>
    </row>
    <row r="430" spans="1:22" hidden="1" x14ac:dyDescent="0.2">
      <c r="A430" t="s">
        <v>362</v>
      </c>
      <c r="B430" t="s">
        <v>23</v>
      </c>
      <c r="C430" t="s">
        <v>363</v>
      </c>
      <c r="D430" t="s">
        <v>25</v>
      </c>
      <c r="E430" t="s">
        <v>364</v>
      </c>
      <c r="F430" t="s">
        <v>365</v>
      </c>
      <c r="G430" t="s">
        <v>366</v>
      </c>
      <c r="H430" t="s">
        <v>367</v>
      </c>
      <c r="I430" t="s">
        <v>368</v>
      </c>
      <c r="J430" t="s">
        <v>369</v>
      </c>
      <c r="K430" t="s">
        <v>370</v>
      </c>
      <c r="L430" t="s">
        <v>371</v>
      </c>
      <c r="M430" t="s">
        <v>372</v>
      </c>
      <c r="O430" t="s">
        <v>373</v>
      </c>
      <c r="P430" t="s">
        <v>374</v>
      </c>
      <c r="Q430" t="s">
        <v>375</v>
      </c>
      <c r="R430" t="s">
        <v>376</v>
      </c>
      <c r="S430" t="s">
        <v>377</v>
      </c>
      <c r="T430" t="s">
        <v>59</v>
      </c>
      <c r="U430" t="s">
        <v>53</v>
      </c>
      <c r="V430" t="s">
        <v>229</v>
      </c>
    </row>
    <row r="431" spans="1:22" hidden="1" x14ac:dyDescent="0.2">
      <c r="A431" t="s">
        <v>362</v>
      </c>
      <c r="B431" t="s">
        <v>23</v>
      </c>
      <c r="C431" t="s">
        <v>363</v>
      </c>
      <c r="D431" t="s">
        <v>25</v>
      </c>
      <c r="E431" t="s">
        <v>364</v>
      </c>
      <c r="F431" t="s">
        <v>365</v>
      </c>
      <c r="G431" t="s">
        <v>366</v>
      </c>
      <c r="H431" t="s">
        <v>367</v>
      </c>
      <c r="I431" t="s">
        <v>368</v>
      </c>
      <c r="J431" t="s">
        <v>369</v>
      </c>
      <c r="K431" t="s">
        <v>370</v>
      </c>
      <c r="L431" t="s">
        <v>371</v>
      </c>
      <c r="M431" t="s">
        <v>372</v>
      </c>
      <c r="O431" t="s">
        <v>373</v>
      </c>
      <c r="P431" t="s">
        <v>374</v>
      </c>
      <c r="Q431" t="s">
        <v>375</v>
      </c>
      <c r="R431" t="s">
        <v>376</v>
      </c>
      <c r="S431" t="s">
        <v>377</v>
      </c>
      <c r="T431" t="s">
        <v>59</v>
      </c>
      <c r="U431" t="s">
        <v>157</v>
      </c>
      <c r="V431" t="s">
        <v>314</v>
      </c>
    </row>
    <row r="432" spans="1:22" hidden="1" x14ac:dyDescent="0.2">
      <c r="A432" t="s">
        <v>362</v>
      </c>
      <c r="B432" t="s">
        <v>23</v>
      </c>
      <c r="C432" t="s">
        <v>363</v>
      </c>
      <c r="D432" t="s">
        <v>25</v>
      </c>
      <c r="E432" t="s">
        <v>364</v>
      </c>
      <c r="F432" t="s">
        <v>365</v>
      </c>
      <c r="G432" t="s">
        <v>366</v>
      </c>
      <c r="H432" t="s">
        <v>367</v>
      </c>
      <c r="I432" t="s">
        <v>368</v>
      </c>
      <c r="J432" t="s">
        <v>369</v>
      </c>
      <c r="K432" t="s">
        <v>370</v>
      </c>
      <c r="L432" t="s">
        <v>371</v>
      </c>
      <c r="M432" t="s">
        <v>372</v>
      </c>
      <c r="O432" t="s">
        <v>373</v>
      </c>
      <c r="P432" t="s">
        <v>374</v>
      </c>
      <c r="Q432" t="s">
        <v>375</v>
      </c>
      <c r="R432" t="s">
        <v>376</v>
      </c>
      <c r="S432" t="s">
        <v>377</v>
      </c>
      <c r="T432" t="s">
        <v>59</v>
      </c>
      <c r="U432" t="s">
        <v>55</v>
      </c>
      <c r="V432" t="s">
        <v>329</v>
      </c>
    </row>
    <row r="433" spans="1:22" hidden="1" x14ac:dyDescent="0.2">
      <c r="A433" t="s">
        <v>362</v>
      </c>
      <c r="B433" t="s">
        <v>23</v>
      </c>
      <c r="C433" t="s">
        <v>363</v>
      </c>
      <c r="D433" t="s">
        <v>25</v>
      </c>
      <c r="E433" t="s">
        <v>364</v>
      </c>
      <c r="F433" t="s">
        <v>365</v>
      </c>
      <c r="G433" t="s">
        <v>366</v>
      </c>
      <c r="H433" t="s">
        <v>367</v>
      </c>
      <c r="I433" t="s">
        <v>368</v>
      </c>
      <c r="J433" t="s">
        <v>369</v>
      </c>
      <c r="K433" t="s">
        <v>370</v>
      </c>
      <c r="L433" t="s">
        <v>371</v>
      </c>
      <c r="M433" t="s">
        <v>372</v>
      </c>
      <c r="O433" t="s">
        <v>373</v>
      </c>
      <c r="P433" t="s">
        <v>374</v>
      </c>
      <c r="Q433" t="s">
        <v>375</v>
      </c>
      <c r="R433" t="s">
        <v>376</v>
      </c>
      <c r="S433" t="s">
        <v>377</v>
      </c>
      <c r="T433" t="s">
        <v>60</v>
      </c>
      <c r="U433" t="s">
        <v>53</v>
      </c>
      <c r="V433" t="s">
        <v>197</v>
      </c>
    </row>
    <row r="434" spans="1:22" hidden="1" x14ac:dyDescent="0.2">
      <c r="A434" t="s">
        <v>362</v>
      </c>
      <c r="B434" t="s">
        <v>23</v>
      </c>
      <c r="C434" t="s">
        <v>363</v>
      </c>
      <c r="D434" t="s">
        <v>25</v>
      </c>
      <c r="E434" t="s">
        <v>364</v>
      </c>
      <c r="F434" t="s">
        <v>365</v>
      </c>
      <c r="G434" t="s">
        <v>366</v>
      </c>
      <c r="H434" t="s">
        <v>367</v>
      </c>
      <c r="I434" t="s">
        <v>368</v>
      </c>
      <c r="J434" t="s">
        <v>369</v>
      </c>
      <c r="K434" t="s">
        <v>370</v>
      </c>
      <c r="L434" t="s">
        <v>371</v>
      </c>
      <c r="M434" t="s">
        <v>372</v>
      </c>
      <c r="O434" t="s">
        <v>373</v>
      </c>
      <c r="P434" t="s">
        <v>374</v>
      </c>
      <c r="Q434" t="s">
        <v>375</v>
      </c>
      <c r="R434" t="s">
        <v>376</v>
      </c>
      <c r="S434" t="s">
        <v>377</v>
      </c>
      <c r="T434" t="s">
        <v>60</v>
      </c>
      <c r="U434" t="s">
        <v>53</v>
      </c>
      <c r="V434" t="s">
        <v>56</v>
      </c>
    </row>
    <row r="435" spans="1:22" hidden="1" x14ac:dyDescent="0.2">
      <c r="A435" t="s">
        <v>362</v>
      </c>
      <c r="B435" t="s">
        <v>23</v>
      </c>
      <c r="C435" t="s">
        <v>363</v>
      </c>
      <c r="D435" t="s">
        <v>25</v>
      </c>
      <c r="E435" t="s">
        <v>364</v>
      </c>
      <c r="F435" t="s">
        <v>365</v>
      </c>
      <c r="G435" t="s">
        <v>366</v>
      </c>
      <c r="H435" t="s">
        <v>367</v>
      </c>
      <c r="I435" t="s">
        <v>368</v>
      </c>
      <c r="J435" t="s">
        <v>369</v>
      </c>
      <c r="K435" t="s">
        <v>370</v>
      </c>
      <c r="L435" t="s">
        <v>371</v>
      </c>
      <c r="M435" t="s">
        <v>372</v>
      </c>
      <c r="O435" t="s">
        <v>373</v>
      </c>
      <c r="P435" t="s">
        <v>374</v>
      </c>
      <c r="Q435" t="s">
        <v>375</v>
      </c>
      <c r="R435" t="s">
        <v>376</v>
      </c>
      <c r="S435" t="s">
        <v>377</v>
      </c>
      <c r="T435" t="s">
        <v>60</v>
      </c>
      <c r="U435" t="s">
        <v>53</v>
      </c>
      <c r="V435" t="s">
        <v>229</v>
      </c>
    </row>
    <row r="436" spans="1:22" hidden="1" x14ac:dyDescent="0.2">
      <c r="A436" t="s">
        <v>362</v>
      </c>
      <c r="B436" t="s">
        <v>23</v>
      </c>
      <c r="C436" t="s">
        <v>363</v>
      </c>
      <c r="D436" t="s">
        <v>25</v>
      </c>
      <c r="E436" t="s">
        <v>364</v>
      </c>
      <c r="F436" t="s">
        <v>365</v>
      </c>
      <c r="G436" t="s">
        <v>366</v>
      </c>
      <c r="H436" t="s">
        <v>367</v>
      </c>
      <c r="I436" t="s">
        <v>368</v>
      </c>
      <c r="J436" t="s">
        <v>369</v>
      </c>
      <c r="K436" t="s">
        <v>370</v>
      </c>
      <c r="L436" t="s">
        <v>371</v>
      </c>
      <c r="M436" t="s">
        <v>372</v>
      </c>
      <c r="O436" t="s">
        <v>373</v>
      </c>
      <c r="P436" t="s">
        <v>374</v>
      </c>
      <c r="Q436" t="s">
        <v>375</v>
      </c>
      <c r="R436" t="s">
        <v>376</v>
      </c>
      <c r="S436" t="s">
        <v>377</v>
      </c>
      <c r="T436" t="s">
        <v>60</v>
      </c>
      <c r="U436" t="s">
        <v>157</v>
      </c>
      <c r="V436" t="s">
        <v>314</v>
      </c>
    </row>
    <row r="437" spans="1:22" hidden="1" x14ac:dyDescent="0.2">
      <c r="A437" t="s">
        <v>362</v>
      </c>
      <c r="B437" t="s">
        <v>23</v>
      </c>
      <c r="C437" t="s">
        <v>363</v>
      </c>
      <c r="D437" t="s">
        <v>25</v>
      </c>
      <c r="E437" t="s">
        <v>364</v>
      </c>
      <c r="F437" t="s">
        <v>365</v>
      </c>
      <c r="G437" t="s">
        <v>366</v>
      </c>
      <c r="H437" t="s">
        <v>367</v>
      </c>
      <c r="I437" t="s">
        <v>368</v>
      </c>
      <c r="J437" t="s">
        <v>369</v>
      </c>
      <c r="K437" t="s">
        <v>370</v>
      </c>
      <c r="L437" t="s">
        <v>371</v>
      </c>
      <c r="M437" t="s">
        <v>372</v>
      </c>
      <c r="O437" t="s">
        <v>373</v>
      </c>
      <c r="P437" t="s">
        <v>374</v>
      </c>
      <c r="Q437" t="s">
        <v>375</v>
      </c>
      <c r="R437" t="s">
        <v>376</v>
      </c>
      <c r="S437" t="s">
        <v>377</v>
      </c>
      <c r="T437" t="s">
        <v>60</v>
      </c>
      <c r="U437" t="s">
        <v>55</v>
      </c>
      <c r="V437" t="s">
        <v>329</v>
      </c>
    </row>
    <row r="438" spans="1:22" hidden="1" x14ac:dyDescent="0.2">
      <c r="A438" t="s">
        <v>362</v>
      </c>
      <c r="B438" t="s">
        <v>23</v>
      </c>
      <c r="C438" t="s">
        <v>363</v>
      </c>
      <c r="D438" t="s">
        <v>25</v>
      </c>
      <c r="E438" t="s">
        <v>364</v>
      </c>
      <c r="F438" t="s">
        <v>365</v>
      </c>
      <c r="G438" t="s">
        <v>366</v>
      </c>
      <c r="H438" t="s">
        <v>367</v>
      </c>
      <c r="I438" t="s">
        <v>368</v>
      </c>
      <c r="J438" t="s">
        <v>369</v>
      </c>
      <c r="K438" t="s">
        <v>370</v>
      </c>
      <c r="L438" t="s">
        <v>371</v>
      </c>
      <c r="M438" t="s">
        <v>372</v>
      </c>
      <c r="O438" t="s">
        <v>373</v>
      </c>
      <c r="P438" t="s">
        <v>374</v>
      </c>
      <c r="Q438" t="s">
        <v>375</v>
      </c>
      <c r="R438" t="s">
        <v>376</v>
      </c>
      <c r="S438" t="s">
        <v>377</v>
      </c>
      <c r="T438" t="s">
        <v>131</v>
      </c>
      <c r="U438" t="s">
        <v>53</v>
      </c>
      <c r="V438" t="s">
        <v>197</v>
      </c>
    </row>
    <row r="439" spans="1:22" hidden="1" x14ac:dyDescent="0.2">
      <c r="A439" t="s">
        <v>362</v>
      </c>
      <c r="B439" t="s">
        <v>23</v>
      </c>
      <c r="C439" t="s">
        <v>363</v>
      </c>
      <c r="D439" t="s">
        <v>25</v>
      </c>
      <c r="E439" t="s">
        <v>364</v>
      </c>
      <c r="F439" t="s">
        <v>365</v>
      </c>
      <c r="G439" t="s">
        <v>366</v>
      </c>
      <c r="H439" t="s">
        <v>367</v>
      </c>
      <c r="I439" t="s">
        <v>368</v>
      </c>
      <c r="J439" t="s">
        <v>369</v>
      </c>
      <c r="K439" t="s">
        <v>370</v>
      </c>
      <c r="L439" t="s">
        <v>371</v>
      </c>
      <c r="M439" t="s">
        <v>372</v>
      </c>
      <c r="O439" t="s">
        <v>373</v>
      </c>
      <c r="P439" t="s">
        <v>374</v>
      </c>
      <c r="Q439" t="s">
        <v>375</v>
      </c>
      <c r="R439" t="s">
        <v>376</v>
      </c>
      <c r="S439" t="s">
        <v>377</v>
      </c>
      <c r="T439" t="s">
        <v>131</v>
      </c>
      <c r="U439" t="s">
        <v>53</v>
      </c>
      <c r="V439" t="s">
        <v>56</v>
      </c>
    </row>
    <row r="440" spans="1:22" hidden="1" x14ac:dyDescent="0.2">
      <c r="A440" t="s">
        <v>362</v>
      </c>
      <c r="B440" t="s">
        <v>23</v>
      </c>
      <c r="C440" t="s">
        <v>363</v>
      </c>
      <c r="D440" t="s">
        <v>25</v>
      </c>
      <c r="E440" t="s">
        <v>364</v>
      </c>
      <c r="F440" t="s">
        <v>365</v>
      </c>
      <c r="G440" t="s">
        <v>366</v>
      </c>
      <c r="H440" t="s">
        <v>367</v>
      </c>
      <c r="I440" t="s">
        <v>368</v>
      </c>
      <c r="J440" t="s">
        <v>369</v>
      </c>
      <c r="K440" t="s">
        <v>370</v>
      </c>
      <c r="L440" t="s">
        <v>371</v>
      </c>
      <c r="M440" t="s">
        <v>372</v>
      </c>
      <c r="O440" t="s">
        <v>373</v>
      </c>
      <c r="P440" t="s">
        <v>374</v>
      </c>
      <c r="Q440" t="s">
        <v>375</v>
      </c>
      <c r="R440" t="s">
        <v>376</v>
      </c>
      <c r="S440" t="s">
        <v>377</v>
      </c>
      <c r="T440" t="s">
        <v>131</v>
      </c>
      <c r="U440" t="s">
        <v>53</v>
      </c>
      <c r="V440" t="s">
        <v>229</v>
      </c>
    </row>
    <row r="441" spans="1:22" hidden="1" x14ac:dyDescent="0.2">
      <c r="A441" t="s">
        <v>362</v>
      </c>
      <c r="B441" t="s">
        <v>23</v>
      </c>
      <c r="C441" t="s">
        <v>363</v>
      </c>
      <c r="D441" t="s">
        <v>25</v>
      </c>
      <c r="E441" t="s">
        <v>364</v>
      </c>
      <c r="F441" t="s">
        <v>365</v>
      </c>
      <c r="G441" t="s">
        <v>366</v>
      </c>
      <c r="H441" t="s">
        <v>367</v>
      </c>
      <c r="I441" t="s">
        <v>368</v>
      </c>
      <c r="J441" t="s">
        <v>369</v>
      </c>
      <c r="K441" t="s">
        <v>370</v>
      </c>
      <c r="L441" t="s">
        <v>371</v>
      </c>
      <c r="M441" t="s">
        <v>372</v>
      </c>
      <c r="O441" t="s">
        <v>373</v>
      </c>
      <c r="P441" t="s">
        <v>374</v>
      </c>
      <c r="Q441" t="s">
        <v>375</v>
      </c>
      <c r="R441" t="s">
        <v>376</v>
      </c>
      <c r="S441" t="s">
        <v>377</v>
      </c>
      <c r="T441" t="s">
        <v>131</v>
      </c>
      <c r="U441" t="s">
        <v>157</v>
      </c>
      <c r="V441" t="s">
        <v>314</v>
      </c>
    </row>
    <row r="442" spans="1:22" hidden="1" x14ac:dyDescent="0.2">
      <c r="A442" t="s">
        <v>362</v>
      </c>
      <c r="B442" t="s">
        <v>23</v>
      </c>
      <c r="C442" t="s">
        <v>363</v>
      </c>
      <c r="D442" t="s">
        <v>25</v>
      </c>
      <c r="E442" t="s">
        <v>364</v>
      </c>
      <c r="F442" t="s">
        <v>365</v>
      </c>
      <c r="G442" t="s">
        <v>366</v>
      </c>
      <c r="H442" t="s">
        <v>367</v>
      </c>
      <c r="I442" t="s">
        <v>368</v>
      </c>
      <c r="J442" t="s">
        <v>369</v>
      </c>
      <c r="K442" t="s">
        <v>370</v>
      </c>
      <c r="L442" t="s">
        <v>371</v>
      </c>
      <c r="M442" t="s">
        <v>372</v>
      </c>
      <c r="O442" t="s">
        <v>373</v>
      </c>
      <c r="P442" t="s">
        <v>374</v>
      </c>
      <c r="Q442" t="s">
        <v>375</v>
      </c>
      <c r="R442" t="s">
        <v>376</v>
      </c>
      <c r="S442" t="s">
        <v>377</v>
      </c>
      <c r="T442" t="s">
        <v>131</v>
      </c>
      <c r="U442" t="s">
        <v>55</v>
      </c>
      <c r="V442" t="s">
        <v>329</v>
      </c>
    </row>
    <row r="443" spans="1:22" hidden="1" x14ac:dyDescent="0.2">
      <c r="A443" t="s">
        <v>378</v>
      </c>
      <c r="B443" t="s">
        <v>23</v>
      </c>
      <c r="C443" t="s">
        <v>113</v>
      </c>
      <c r="D443" t="s">
        <v>25</v>
      </c>
      <c r="E443" t="s">
        <v>379</v>
      </c>
      <c r="F443" t="s">
        <v>380</v>
      </c>
      <c r="G443" t="s">
        <v>25</v>
      </c>
      <c r="H443" t="s">
        <v>381</v>
      </c>
      <c r="I443" t="s">
        <v>382</v>
      </c>
      <c r="J443" t="s">
        <v>383</v>
      </c>
      <c r="K443" t="s">
        <v>25</v>
      </c>
      <c r="T443" t="s">
        <v>58</v>
      </c>
      <c r="U443" t="s">
        <v>157</v>
      </c>
      <c r="V443" t="s">
        <v>105</v>
      </c>
    </row>
    <row r="444" spans="1:22" hidden="1" x14ac:dyDescent="0.2">
      <c r="A444" t="s">
        <v>378</v>
      </c>
      <c r="B444" t="s">
        <v>23</v>
      </c>
      <c r="C444" t="s">
        <v>113</v>
      </c>
      <c r="D444" t="s">
        <v>25</v>
      </c>
      <c r="E444" t="s">
        <v>379</v>
      </c>
      <c r="F444" t="s">
        <v>380</v>
      </c>
      <c r="G444" t="s">
        <v>25</v>
      </c>
      <c r="H444" t="s">
        <v>381</v>
      </c>
      <c r="I444" t="s">
        <v>382</v>
      </c>
      <c r="J444" t="s">
        <v>383</v>
      </c>
      <c r="K444" t="s">
        <v>25</v>
      </c>
      <c r="T444" t="s">
        <v>58</v>
      </c>
      <c r="U444" t="s">
        <v>157</v>
      </c>
      <c r="V444" t="s">
        <v>56</v>
      </c>
    </row>
    <row r="445" spans="1:22" hidden="1" x14ac:dyDescent="0.2">
      <c r="A445" t="s">
        <v>378</v>
      </c>
      <c r="B445" t="s">
        <v>23</v>
      </c>
      <c r="C445" t="s">
        <v>113</v>
      </c>
      <c r="D445" t="s">
        <v>25</v>
      </c>
      <c r="E445" t="s">
        <v>379</v>
      </c>
      <c r="F445" t="s">
        <v>380</v>
      </c>
      <c r="G445" t="s">
        <v>25</v>
      </c>
      <c r="H445" t="s">
        <v>381</v>
      </c>
      <c r="I445" t="s">
        <v>382</v>
      </c>
      <c r="J445" t="s">
        <v>383</v>
      </c>
      <c r="K445" t="s">
        <v>25</v>
      </c>
      <c r="T445" t="s">
        <v>58</v>
      </c>
      <c r="U445" t="s">
        <v>55</v>
      </c>
      <c r="V445" t="s">
        <v>114</v>
      </c>
    </row>
    <row r="446" spans="1:22" hidden="1" x14ac:dyDescent="0.2">
      <c r="A446" t="s">
        <v>378</v>
      </c>
      <c r="B446" t="s">
        <v>23</v>
      </c>
      <c r="C446" t="s">
        <v>113</v>
      </c>
      <c r="D446" t="s">
        <v>25</v>
      </c>
      <c r="E446" t="s">
        <v>379</v>
      </c>
      <c r="F446" t="s">
        <v>380</v>
      </c>
      <c r="G446" t="s">
        <v>25</v>
      </c>
      <c r="H446" t="s">
        <v>381</v>
      </c>
      <c r="I446" t="s">
        <v>382</v>
      </c>
      <c r="J446" t="s">
        <v>383</v>
      </c>
      <c r="K446" t="s">
        <v>25</v>
      </c>
      <c r="T446" t="s">
        <v>59</v>
      </c>
      <c r="U446" t="s">
        <v>157</v>
      </c>
      <c r="V446" t="s">
        <v>105</v>
      </c>
    </row>
    <row r="447" spans="1:22" hidden="1" x14ac:dyDescent="0.2">
      <c r="A447" t="s">
        <v>378</v>
      </c>
      <c r="B447" t="s">
        <v>23</v>
      </c>
      <c r="C447" t="s">
        <v>113</v>
      </c>
      <c r="D447" t="s">
        <v>25</v>
      </c>
      <c r="E447" t="s">
        <v>379</v>
      </c>
      <c r="F447" t="s">
        <v>380</v>
      </c>
      <c r="G447" t="s">
        <v>25</v>
      </c>
      <c r="H447" t="s">
        <v>381</v>
      </c>
      <c r="I447" t="s">
        <v>382</v>
      </c>
      <c r="J447" t="s">
        <v>383</v>
      </c>
      <c r="K447" t="s">
        <v>25</v>
      </c>
      <c r="T447" t="s">
        <v>59</v>
      </c>
      <c r="U447" t="s">
        <v>157</v>
      </c>
      <c r="V447" t="s">
        <v>56</v>
      </c>
    </row>
    <row r="448" spans="1:22" hidden="1" x14ac:dyDescent="0.2">
      <c r="A448" t="s">
        <v>378</v>
      </c>
      <c r="B448" t="s">
        <v>23</v>
      </c>
      <c r="C448" t="s">
        <v>113</v>
      </c>
      <c r="D448" t="s">
        <v>25</v>
      </c>
      <c r="E448" t="s">
        <v>379</v>
      </c>
      <c r="F448" t="s">
        <v>380</v>
      </c>
      <c r="G448" t="s">
        <v>25</v>
      </c>
      <c r="H448" t="s">
        <v>381</v>
      </c>
      <c r="I448" t="s">
        <v>382</v>
      </c>
      <c r="J448" t="s">
        <v>383</v>
      </c>
      <c r="K448" t="s">
        <v>25</v>
      </c>
      <c r="T448" t="s">
        <v>59</v>
      </c>
      <c r="U448" t="s">
        <v>55</v>
      </c>
      <c r="V448" t="s">
        <v>114</v>
      </c>
    </row>
    <row r="449" spans="1:22" hidden="1" x14ac:dyDescent="0.2">
      <c r="A449" t="s">
        <v>378</v>
      </c>
      <c r="B449" t="s">
        <v>23</v>
      </c>
      <c r="C449" t="s">
        <v>113</v>
      </c>
      <c r="D449" t="s">
        <v>25</v>
      </c>
      <c r="E449" t="s">
        <v>379</v>
      </c>
      <c r="F449" t="s">
        <v>380</v>
      </c>
      <c r="G449" t="s">
        <v>25</v>
      </c>
      <c r="H449" t="s">
        <v>381</v>
      </c>
      <c r="I449" t="s">
        <v>382</v>
      </c>
      <c r="J449" t="s">
        <v>383</v>
      </c>
      <c r="K449" t="s">
        <v>25</v>
      </c>
      <c r="T449" t="s">
        <v>60</v>
      </c>
      <c r="U449" t="s">
        <v>157</v>
      </c>
      <c r="V449" t="s">
        <v>105</v>
      </c>
    </row>
    <row r="450" spans="1:22" hidden="1" x14ac:dyDescent="0.2">
      <c r="A450" t="s">
        <v>378</v>
      </c>
      <c r="B450" t="s">
        <v>23</v>
      </c>
      <c r="C450" t="s">
        <v>113</v>
      </c>
      <c r="D450" t="s">
        <v>25</v>
      </c>
      <c r="E450" t="s">
        <v>379</v>
      </c>
      <c r="F450" t="s">
        <v>380</v>
      </c>
      <c r="G450" t="s">
        <v>25</v>
      </c>
      <c r="H450" t="s">
        <v>381</v>
      </c>
      <c r="I450" t="s">
        <v>382</v>
      </c>
      <c r="J450" t="s">
        <v>383</v>
      </c>
      <c r="K450" t="s">
        <v>25</v>
      </c>
      <c r="T450" t="s">
        <v>60</v>
      </c>
      <c r="U450" t="s">
        <v>157</v>
      </c>
      <c r="V450" t="s">
        <v>56</v>
      </c>
    </row>
    <row r="451" spans="1:22" hidden="1" x14ac:dyDescent="0.2">
      <c r="A451" t="s">
        <v>378</v>
      </c>
      <c r="B451" t="s">
        <v>23</v>
      </c>
      <c r="C451" t="s">
        <v>113</v>
      </c>
      <c r="D451" t="s">
        <v>25</v>
      </c>
      <c r="E451" t="s">
        <v>379</v>
      </c>
      <c r="F451" t="s">
        <v>380</v>
      </c>
      <c r="G451" t="s">
        <v>25</v>
      </c>
      <c r="H451" t="s">
        <v>381</v>
      </c>
      <c r="I451" t="s">
        <v>382</v>
      </c>
      <c r="J451" t="s">
        <v>383</v>
      </c>
      <c r="K451" t="s">
        <v>25</v>
      </c>
      <c r="T451" t="s">
        <v>60</v>
      </c>
      <c r="U451" t="s">
        <v>55</v>
      </c>
      <c r="V451" t="s">
        <v>114</v>
      </c>
    </row>
    <row r="452" spans="1:22" hidden="1" x14ac:dyDescent="0.2">
      <c r="A452" t="s">
        <v>378</v>
      </c>
      <c r="B452" t="s">
        <v>23</v>
      </c>
      <c r="C452" t="s">
        <v>113</v>
      </c>
      <c r="D452" t="s">
        <v>25</v>
      </c>
      <c r="E452" t="s">
        <v>379</v>
      </c>
      <c r="F452" t="s">
        <v>380</v>
      </c>
      <c r="G452" t="s">
        <v>25</v>
      </c>
      <c r="H452" t="s">
        <v>381</v>
      </c>
      <c r="I452" t="s">
        <v>382</v>
      </c>
      <c r="J452" t="s">
        <v>383</v>
      </c>
      <c r="K452" t="s">
        <v>25</v>
      </c>
      <c r="T452" t="s">
        <v>39</v>
      </c>
      <c r="U452" t="s">
        <v>157</v>
      </c>
      <c r="V452" t="s">
        <v>105</v>
      </c>
    </row>
    <row r="453" spans="1:22" hidden="1" x14ac:dyDescent="0.2">
      <c r="A453" t="s">
        <v>378</v>
      </c>
      <c r="B453" t="s">
        <v>23</v>
      </c>
      <c r="C453" t="s">
        <v>113</v>
      </c>
      <c r="D453" t="s">
        <v>25</v>
      </c>
      <c r="E453" t="s">
        <v>379</v>
      </c>
      <c r="F453" t="s">
        <v>380</v>
      </c>
      <c r="G453" t="s">
        <v>25</v>
      </c>
      <c r="H453" t="s">
        <v>381</v>
      </c>
      <c r="I453" t="s">
        <v>382</v>
      </c>
      <c r="J453" t="s">
        <v>383</v>
      </c>
      <c r="K453" t="s">
        <v>25</v>
      </c>
      <c r="T453" t="s">
        <v>39</v>
      </c>
      <c r="U453" t="s">
        <v>157</v>
      </c>
      <c r="V453" t="s">
        <v>56</v>
      </c>
    </row>
    <row r="454" spans="1:22" hidden="1" x14ac:dyDescent="0.2">
      <c r="A454" t="s">
        <v>378</v>
      </c>
      <c r="B454" t="s">
        <v>23</v>
      </c>
      <c r="C454" t="s">
        <v>113</v>
      </c>
      <c r="D454" t="s">
        <v>25</v>
      </c>
      <c r="E454" t="s">
        <v>379</v>
      </c>
      <c r="F454" t="s">
        <v>380</v>
      </c>
      <c r="G454" t="s">
        <v>25</v>
      </c>
      <c r="H454" t="s">
        <v>381</v>
      </c>
      <c r="I454" t="s">
        <v>382</v>
      </c>
      <c r="J454" t="s">
        <v>383</v>
      </c>
      <c r="K454" t="s">
        <v>25</v>
      </c>
      <c r="T454" t="s">
        <v>39</v>
      </c>
      <c r="U454" t="s">
        <v>55</v>
      </c>
      <c r="V454" t="s">
        <v>114</v>
      </c>
    </row>
    <row r="455" spans="1:22" hidden="1" x14ac:dyDescent="0.2">
      <c r="A455" t="s">
        <v>378</v>
      </c>
      <c r="B455" t="s">
        <v>23</v>
      </c>
      <c r="C455" t="s">
        <v>113</v>
      </c>
      <c r="D455" t="s">
        <v>25</v>
      </c>
      <c r="E455" t="s">
        <v>379</v>
      </c>
      <c r="F455" t="s">
        <v>380</v>
      </c>
      <c r="G455" t="s">
        <v>25</v>
      </c>
      <c r="H455" t="s">
        <v>381</v>
      </c>
      <c r="I455" t="s">
        <v>382</v>
      </c>
      <c r="J455" t="s">
        <v>383</v>
      </c>
      <c r="K455" t="s">
        <v>25</v>
      </c>
      <c r="T455" t="s">
        <v>236</v>
      </c>
      <c r="U455" t="s">
        <v>157</v>
      </c>
      <c r="V455" t="s">
        <v>105</v>
      </c>
    </row>
    <row r="456" spans="1:22" hidden="1" x14ac:dyDescent="0.2">
      <c r="A456" t="s">
        <v>378</v>
      </c>
      <c r="B456" t="s">
        <v>23</v>
      </c>
      <c r="C456" t="s">
        <v>113</v>
      </c>
      <c r="D456" t="s">
        <v>25</v>
      </c>
      <c r="E456" t="s">
        <v>379</v>
      </c>
      <c r="F456" t="s">
        <v>380</v>
      </c>
      <c r="G456" t="s">
        <v>25</v>
      </c>
      <c r="H456" t="s">
        <v>381</v>
      </c>
      <c r="I456" t="s">
        <v>382</v>
      </c>
      <c r="J456" t="s">
        <v>383</v>
      </c>
      <c r="K456" t="s">
        <v>25</v>
      </c>
      <c r="T456" t="s">
        <v>236</v>
      </c>
      <c r="U456" t="s">
        <v>157</v>
      </c>
      <c r="V456" t="s">
        <v>56</v>
      </c>
    </row>
    <row r="457" spans="1:22" hidden="1" x14ac:dyDescent="0.2">
      <c r="A457" t="s">
        <v>378</v>
      </c>
      <c r="B457" t="s">
        <v>23</v>
      </c>
      <c r="C457" t="s">
        <v>113</v>
      </c>
      <c r="D457" t="s">
        <v>25</v>
      </c>
      <c r="E457" t="s">
        <v>379</v>
      </c>
      <c r="F457" t="s">
        <v>380</v>
      </c>
      <c r="G457" t="s">
        <v>25</v>
      </c>
      <c r="H457" t="s">
        <v>381</v>
      </c>
      <c r="I457" t="s">
        <v>382</v>
      </c>
      <c r="J457" t="s">
        <v>383</v>
      </c>
      <c r="K457" t="s">
        <v>25</v>
      </c>
      <c r="T457" t="s">
        <v>236</v>
      </c>
      <c r="U457" t="s">
        <v>55</v>
      </c>
      <c r="V457" t="s">
        <v>114</v>
      </c>
    </row>
    <row r="458" spans="1:22" hidden="1" x14ac:dyDescent="0.2">
      <c r="A458" t="s">
        <v>378</v>
      </c>
      <c r="B458" t="s">
        <v>23</v>
      </c>
      <c r="C458" t="s">
        <v>113</v>
      </c>
      <c r="D458" t="s">
        <v>25</v>
      </c>
      <c r="E458" t="s">
        <v>379</v>
      </c>
      <c r="F458" t="s">
        <v>380</v>
      </c>
      <c r="G458" t="s">
        <v>25</v>
      </c>
      <c r="H458" t="s">
        <v>381</v>
      </c>
      <c r="I458" t="s">
        <v>382</v>
      </c>
      <c r="J458" t="s">
        <v>383</v>
      </c>
      <c r="K458" t="s">
        <v>25</v>
      </c>
      <c r="T458" t="s">
        <v>79</v>
      </c>
      <c r="U458" t="s">
        <v>157</v>
      </c>
      <c r="V458" t="s">
        <v>105</v>
      </c>
    </row>
    <row r="459" spans="1:22" hidden="1" x14ac:dyDescent="0.2">
      <c r="A459" t="s">
        <v>378</v>
      </c>
      <c r="B459" t="s">
        <v>23</v>
      </c>
      <c r="C459" t="s">
        <v>113</v>
      </c>
      <c r="D459" t="s">
        <v>25</v>
      </c>
      <c r="E459" t="s">
        <v>379</v>
      </c>
      <c r="F459" t="s">
        <v>380</v>
      </c>
      <c r="G459" t="s">
        <v>25</v>
      </c>
      <c r="H459" t="s">
        <v>381</v>
      </c>
      <c r="I459" t="s">
        <v>382</v>
      </c>
      <c r="J459" t="s">
        <v>383</v>
      </c>
      <c r="K459" t="s">
        <v>25</v>
      </c>
      <c r="T459" t="s">
        <v>79</v>
      </c>
      <c r="U459" t="s">
        <v>157</v>
      </c>
      <c r="V459" t="s">
        <v>56</v>
      </c>
    </row>
    <row r="460" spans="1:22" hidden="1" x14ac:dyDescent="0.2">
      <c r="A460" t="s">
        <v>378</v>
      </c>
      <c r="B460" t="s">
        <v>23</v>
      </c>
      <c r="C460" t="s">
        <v>113</v>
      </c>
      <c r="D460" t="s">
        <v>25</v>
      </c>
      <c r="E460" t="s">
        <v>379</v>
      </c>
      <c r="F460" t="s">
        <v>380</v>
      </c>
      <c r="G460" t="s">
        <v>25</v>
      </c>
      <c r="H460" t="s">
        <v>381</v>
      </c>
      <c r="I460" t="s">
        <v>382</v>
      </c>
      <c r="J460" t="s">
        <v>383</v>
      </c>
      <c r="K460" t="s">
        <v>25</v>
      </c>
      <c r="T460" t="s">
        <v>79</v>
      </c>
      <c r="U460" t="s">
        <v>55</v>
      </c>
      <c r="V460" t="s">
        <v>114</v>
      </c>
    </row>
    <row r="461" spans="1:22" hidden="1" x14ac:dyDescent="0.2">
      <c r="A461" t="s">
        <v>384</v>
      </c>
      <c r="B461" t="s">
        <v>23</v>
      </c>
      <c r="C461" t="s">
        <v>54</v>
      </c>
      <c r="D461" t="s">
        <v>385</v>
      </c>
      <c r="E461" t="s">
        <v>386</v>
      </c>
      <c r="F461" t="s">
        <v>387</v>
      </c>
      <c r="G461" t="s">
        <v>388</v>
      </c>
      <c r="H461" t="s">
        <v>389</v>
      </c>
      <c r="I461" t="s">
        <v>390</v>
      </c>
      <c r="J461" t="s">
        <v>391</v>
      </c>
      <c r="K461" t="s">
        <v>392</v>
      </c>
      <c r="L461" t="s">
        <v>393</v>
      </c>
      <c r="M461" t="s">
        <v>394</v>
      </c>
      <c r="O461" t="s">
        <v>395</v>
      </c>
      <c r="T461" t="s">
        <v>57</v>
      </c>
      <c r="U461" t="s">
        <v>53</v>
      </c>
      <c r="V461" t="s">
        <v>338</v>
      </c>
    </row>
    <row r="462" spans="1:22" hidden="1" x14ac:dyDescent="0.2">
      <c r="A462" t="s">
        <v>384</v>
      </c>
      <c r="B462" t="s">
        <v>23</v>
      </c>
      <c r="C462" t="s">
        <v>54</v>
      </c>
      <c r="D462" t="s">
        <v>385</v>
      </c>
      <c r="E462" t="s">
        <v>386</v>
      </c>
      <c r="F462" t="s">
        <v>387</v>
      </c>
      <c r="G462" t="s">
        <v>388</v>
      </c>
      <c r="H462" t="s">
        <v>389</v>
      </c>
      <c r="I462" t="s">
        <v>390</v>
      </c>
      <c r="J462" t="s">
        <v>391</v>
      </c>
      <c r="K462" t="s">
        <v>392</v>
      </c>
      <c r="L462" t="s">
        <v>393</v>
      </c>
      <c r="M462" t="s">
        <v>394</v>
      </c>
      <c r="O462" t="s">
        <v>395</v>
      </c>
      <c r="T462" t="s">
        <v>57</v>
      </c>
      <c r="U462" t="s">
        <v>53</v>
      </c>
      <c r="V462" t="s">
        <v>396</v>
      </c>
    </row>
    <row r="463" spans="1:22" hidden="1" x14ac:dyDescent="0.2">
      <c r="A463" t="s">
        <v>384</v>
      </c>
      <c r="B463" t="s">
        <v>23</v>
      </c>
      <c r="C463" t="s">
        <v>54</v>
      </c>
      <c r="D463" t="s">
        <v>385</v>
      </c>
      <c r="E463" t="s">
        <v>386</v>
      </c>
      <c r="F463" t="s">
        <v>387</v>
      </c>
      <c r="G463" t="s">
        <v>388</v>
      </c>
      <c r="H463" t="s">
        <v>389</v>
      </c>
      <c r="I463" t="s">
        <v>390</v>
      </c>
      <c r="J463" t="s">
        <v>391</v>
      </c>
      <c r="K463" t="s">
        <v>392</v>
      </c>
      <c r="L463" t="s">
        <v>393</v>
      </c>
      <c r="M463" t="s">
        <v>394</v>
      </c>
      <c r="O463" t="s">
        <v>395</v>
      </c>
      <c r="T463" t="s">
        <v>57</v>
      </c>
      <c r="U463" t="s">
        <v>53</v>
      </c>
      <c r="V463" t="s">
        <v>43</v>
      </c>
    </row>
    <row r="464" spans="1:22" hidden="1" x14ac:dyDescent="0.2">
      <c r="A464" t="s">
        <v>384</v>
      </c>
      <c r="B464" t="s">
        <v>23</v>
      </c>
      <c r="C464" t="s">
        <v>54</v>
      </c>
      <c r="D464" t="s">
        <v>385</v>
      </c>
      <c r="E464" t="s">
        <v>386</v>
      </c>
      <c r="F464" t="s">
        <v>387</v>
      </c>
      <c r="G464" t="s">
        <v>388</v>
      </c>
      <c r="H464" t="s">
        <v>389</v>
      </c>
      <c r="I464" t="s">
        <v>390</v>
      </c>
      <c r="J464" t="s">
        <v>391</v>
      </c>
      <c r="K464" t="s">
        <v>392</v>
      </c>
      <c r="L464" t="s">
        <v>393</v>
      </c>
      <c r="M464" t="s">
        <v>394</v>
      </c>
      <c r="O464" t="s">
        <v>395</v>
      </c>
      <c r="T464" t="s">
        <v>57</v>
      </c>
      <c r="U464" t="s">
        <v>53</v>
      </c>
      <c r="V464" t="s">
        <v>78</v>
      </c>
    </row>
    <row r="465" spans="1:22" hidden="1" x14ac:dyDescent="0.2">
      <c r="A465" t="s">
        <v>384</v>
      </c>
      <c r="B465" t="s">
        <v>23</v>
      </c>
      <c r="C465" t="s">
        <v>54</v>
      </c>
      <c r="D465" t="s">
        <v>385</v>
      </c>
      <c r="E465" t="s">
        <v>386</v>
      </c>
      <c r="F465" t="s">
        <v>387</v>
      </c>
      <c r="G465" t="s">
        <v>388</v>
      </c>
      <c r="H465" t="s">
        <v>389</v>
      </c>
      <c r="I465" t="s">
        <v>390</v>
      </c>
      <c r="J465" t="s">
        <v>391</v>
      </c>
      <c r="K465" t="s">
        <v>392</v>
      </c>
      <c r="L465" t="s">
        <v>393</v>
      </c>
      <c r="M465" t="s">
        <v>394</v>
      </c>
      <c r="O465" t="s">
        <v>395</v>
      </c>
      <c r="T465" t="s">
        <v>39</v>
      </c>
      <c r="U465" t="s">
        <v>53</v>
      </c>
      <c r="V465" t="s">
        <v>338</v>
      </c>
    </row>
    <row r="466" spans="1:22" hidden="1" x14ac:dyDescent="0.2">
      <c r="A466" t="s">
        <v>384</v>
      </c>
      <c r="B466" t="s">
        <v>23</v>
      </c>
      <c r="C466" t="s">
        <v>54</v>
      </c>
      <c r="D466" t="s">
        <v>385</v>
      </c>
      <c r="E466" t="s">
        <v>386</v>
      </c>
      <c r="F466" t="s">
        <v>387</v>
      </c>
      <c r="G466" t="s">
        <v>388</v>
      </c>
      <c r="H466" t="s">
        <v>389</v>
      </c>
      <c r="I466" t="s">
        <v>390</v>
      </c>
      <c r="J466" t="s">
        <v>391</v>
      </c>
      <c r="K466" t="s">
        <v>392</v>
      </c>
      <c r="L466" t="s">
        <v>393</v>
      </c>
      <c r="M466" t="s">
        <v>394</v>
      </c>
      <c r="O466" t="s">
        <v>395</v>
      </c>
      <c r="T466" t="s">
        <v>39</v>
      </c>
      <c r="U466" t="s">
        <v>53</v>
      </c>
      <c r="V466" t="s">
        <v>396</v>
      </c>
    </row>
    <row r="467" spans="1:22" hidden="1" x14ac:dyDescent="0.2">
      <c r="A467" t="s">
        <v>384</v>
      </c>
      <c r="B467" t="s">
        <v>23</v>
      </c>
      <c r="C467" t="s">
        <v>54</v>
      </c>
      <c r="D467" t="s">
        <v>385</v>
      </c>
      <c r="E467" t="s">
        <v>386</v>
      </c>
      <c r="F467" t="s">
        <v>387</v>
      </c>
      <c r="G467" t="s">
        <v>388</v>
      </c>
      <c r="H467" t="s">
        <v>389</v>
      </c>
      <c r="I467" t="s">
        <v>390</v>
      </c>
      <c r="J467" t="s">
        <v>391</v>
      </c>
      <c r="K467" t="s">
        <v>392</v>
      </c>
      <c r="L467" t="s">
        <v>393</v>
      </c>
      <c r="M467" t="s">
        <v>394</v>
      </c>
      <c r="O467" t="s">
        <v>395</v>
      </c>
      <c r="T467" t="s">
        <v>39</v>
      </c>
      <c r="U467" t="s">
        <v>53</v>
      </c>
      <c r="V467" t="s">
        <v>43</v>
      </c>
    </row>
    <row r="468" spans="1:22" hidden="1" x14ac:dyDescent="0.2">
      <c r="A468" t="s">
        <v>384</v>
      </c>
      <c r="B468" t="s">
        <v>23</v>
      </c>
      <c r="C468" t="s">
        <v>54</v>
      </c>
      <c r="D468" t="s">
        <v>385</v>
      </c>
      <c r="E468" t="s">
        <v>386</v>
      </c>
      <c r="F468" t="s">
        <v>387</v>
      </c>
      <c r="G468" t="s">
        <v>388</v>
      </c>
      <c r="H468" t="s">
        <v>389</v>
      </c>
      <c r="I468" t="s">
        <v>390</v>
      </c>
      <c r="J468" t="s">
        <v>391</v>
      </c>
      <c r="K468" t="s">
        <v>392</v>
      </c>
      <c r="L468" t="s">
        <v>393</v>
      </c>
      <c r="M468" t="s">
        <v>394</v>
      </c>
      <c r="O468" t="s">
        <v>395</v>
      </c>
      <c r="T468" t="s">
        <v>39</v>
      </c>
      <c r="U468" t="s">
        <v>53</v>
      </c>
      <c r="V468" t="s">
        <v>78</v>
      </c>
    </row>
    <row r="469" spans="1:22" hidden="1" x14ac:dyDescent="0.2">
      <c r="A469" t="s">
        <v>384</v>
      </c>
      <c r="B469" t="s">
        <v>23</v>
      </c>
      <c r="C469" t="s">
        <v>54</v>
      </c>
      <c r="D469" t="s">
        <v>385</v>
      </c>
      <c r="E469" t="s">
        <v>386</v>
      </c>
      <c r="F469" t="s">
        <v>387</v>
      </c>
      <c r="G469" t="s">
        <v>388</v>
      </c>
      <c r="H469" t="s">
        <v>389</v>
      </c>
      <c r="I469" t="s">
        <v>390</v>
      </c>
      <c r="J469" t="s">
        <v>391</v>
      </c>
      <c r="K469" t="s">
        <v>392</v>
      </c>
      <c r="L469" t="s">
        <v>393</v>
      </c>
      <c r="M469" t="s">
        <v>394</v>
      </c>
      <c r="O469" t="s">
        <v>395</v>
      </c>
      <c r="T469" t="s">
        <v>58</v>
      </c>
      <c r="U469" t="s">
        <v>53</v>
      </c>
      <c r="V469" t="s">
        <v>338</v>
      </c>
    </row>
    <row r="470" spans="1:22" hidden="1" x14ac:dyDescent="0.2">
      <c r="A470" t="s">
        <v>384</v>
      </c>
      <c r="B470" t="s">
        <v>23</v>
      </c>
      <c r="C470" t="s">
        <v>54</v>
      </c>
      <c r="D470" t="s">
        <v>385</v>
      </c>
      <c r="E470" t="s">
        <v>386</v>
      </c>
      <c r="F470" t="s">
        <v>387</v>
      </c>
      <c r="G470" t="s">
        <v>388</v>
      </c>
      <c r="H470" t="s">
        <v>389</v>
      </c>
      <c r="I470" t="s">
        <v>390</v>
      </c>
      <c r="J470" t="s">
        <v>391</v>
      </c>
      <c r="K470" t="s">
        <v>392</v>
      </c>
      <c r="L470" t="s">
        <v>393</v>
      </c>
      <c r="M470" t="s">
        <v>394</v>
      </c>
      <c r="O470" t="s">
        <v>395</v>
      </c>
      <c r="T470" t="s">
        <v>58</v>
      </c>
      <c r="U470" t="s">
        <v>53</v>
      </c>
      <c r="V470" t="s">
        <v>396</v>
      </c>
    </row>
    <row r="471" spans="1:22" hidden="1" x14ac:dyDescent="0.2">
      <c r="A471" t="s">
        <v>384</v>
      </c>
      <c r="B471" t="s">
        <v>23</v>
      </c>
      <c r="C471" t="s">
        <v>54</v>
      </c>
      <c r="D471" t="s">
        <v>385</v>
      </c>
      <c r="E471" t="s">
        <v>386</v>
      </c>
      <c r="F471" t="s">
        <v>387</v>
      </c>
      <c r="G471" t="s">
        <v>388</v>
      </c>
      <c r="H471" t="s">
        <v>389</v>
      </c>
      <c r="I471" t="s">
        <v>390</v>
      </c>
      <c r="J471" t="s">
        <v>391</v>
      </c>
      <c r="K471" t="s">
        <v>392</v>
      </c>
      <c r="L471" t="s">
        <v>393</v>
      </c>
      <c r="M471" t="s">
        <v>394</v>
      </c>
      <c r="O471" t="s">
        <v>395</v>
      </c>
      <c r="T471" t="s">
        <v>58</v>
      </c>
      <c r="U471" t="s">
        <v>53</v>
      </c>
      <c r="V471" t="s">
        <v>43</v>
      </c>
    </row>
    <row r="472" spans="1:22" hidden="1" x14ac:dyDescent="0.2">
      <c r="A472" t="s">
        <v>384</v>
      </c>
      <c r="B472" t="s">
        <v>23</v>
      </c>
      <c r="C472" t="s">
        <v>54</v>
      </c>
      <c r="D472" t="s">
        <v>385</v>
      </c>
      <c r="E472" t="s">
        <v>386</v>
      </c>
      <c r="F472" t="s">
        <v>387</v>
      </c>
      <c r="G472" t="s">
        <v>388</v>
      </c>
      <c r="H472" t="s">
        <v>389</v>
      </c>
      <c r="I472" t="s">
        <v>390</v>
      </c>
      <c r="J472" t="s">
        <v>391</v>
      </c>
      <c r="K472" t="s">
        <v>392</v>
      </c>
      <c r="L472" t="s">
        <v>393</v>
      </c>
      <c r="M472" t="s">
        <v>394</v>
      </c>
      <c r="O472" t="s">
        <v>395</v>
      </c>
      <c r="T472" t="s">
        <v>58</v>
      </c>
      <c r="U472" t="s">
        <v>53</v>
      </c>
      <c r="V472" t="s">
        <v>78</v>
      </c>
    </row>
    <row r="473" spans="1:22" hidden="1" x14ac:dyDescent="0.2">
      <c r="A473" t="s">
        <v>384</v>
      </c>
      <c r="B473" t="s">
        <v>23</v>
      </c>
      <c r="C473" t="s">
        <v>54</v>
      </c>
      <c r="D473" t="s">
        <v>385</v>
      </c>
      <c r="E473" t="s">
        <v>386</v>
      </c>
      <c r="F473" t="s">
        <v>387</v>
      </c>
      <c r="G473" t="s">
        <v>388</v>
      </c>
      <c r="H473" t="s">
        <v>389</v>
      </c>
      <c r="I473" t="s">
        <v>390</v>
      </c>
      <c r="J473" t="s">
        <v>391</v>
      </c>
      <c r="K473" t="s">
        <v>392</v>
      </c>
      <c r="L473" t="s">
        <v>393</v>
      </c>
      <c r="M473" t="s">
        <v>394</v>
      </c>
      <c r="O473" t="s">
        <v>395</v>
      </c>
      <c r="T473" t="s">
        <v>59</v>
      </c>
      <c r="U473" t="s">
        <v>53</v>
      </c>
      <c r="V473" t="s">
        <v>338</v>
      </c>
    </row>
    <row r="474" spans="1:22" hidden="1" x14ac:dyDescent="0.2">
      <c r="A474" t="s">
        <v>384</v>
      </c>
      <c r="B474" t="s">
        <v>23</v>
      </c>
      <c r="C474" t="s">
        <v>54</v>
      </c>
      <c r="D474" t="s">
        <v>385</v>
      </c>
      <c r="E474" t="s">
        <v>386</v>
      </c>
      <c r="F474" t="s">
        <v>387</v>
      </c>
      <c r="G474" t="s">
        <v>388</v>
      </c>
      <c r="H474" t="s">
        <v>389</v>
      </c>
      <c r="I474" t="s">
        <v>390</v>
      </c>
      <c r="J474" t="s">
        <v>391</v>
      </c>
      <c r="K474" t="s">
        <v>392</v>
      </c>
      <c r="L474" t="s">
        <v>393</v>
      </c>
      <c r="M474" t="s">
        <v>394</v>
      </c>
      <c r="O474" t="s">
        <v>395</v>
      </c>
      <c r="T474" t="s">
        <v>59</v>
      </c>
      <c r="U474" t="s">
        <v>53</v>
      </c>
      <c r="V474" t="s">
        <v>396</v>
      </c>
    </row>
    <row r="475" spans="1:22" hidden="1" x14ac:dyDescent="0.2">
      <c r="A475" t="s">
        <v>384</v>
      </c>
      <c r="B475" t="s">
        <v>23</v>
      </c>
      <c r="C475" t="s">
        <v>54</v>
      </c>
      <c r="D475" t="s">
        <v>385</v>
      </c>
      <c r="E475" t="s">
        <v>386</v>
      </c>
      <c r="F475" t="s">
        <v>387</v>
      </c>
      <c r="G475" t="s">
        <v>388</v>
      </c>
      <c r="H475" t="s">
        <v>389</v>
      </c>
      <c r="I475" t="s">
        <v>390</v>
      </c>
      <c r="J475" t="s">
        <v>391</v>
      </c>
      <c r="K475" t="s">
        <v>392</v>
      </c>
      <c r="L475" t="s">
        <v>393</v>
      </c>
      <c r="M475" t="s">
        <v>394</v>
      </c>
      <c r="O475" t="s">
        <v>395</v>
      </c>
      <c r="T475" t="s">
        <v>59</v>
      </c>
      <c r="U475" t="s">
        <v>53</v>
      </c>
      <c r="V475" t="s">
        <v>43</v>
      </c>
    </row>
    <row r="476" spans="1:22" hidden="1" x14ac:dyDescent="0.2">
      <c r="A476" t="s">
        <v>384</v>
      </c>
      <c r="B476" t="s">
        <v>23</v>
      </c>
      <c r="C476" t="s">
        <v>54</v>
      </c>
      <c r="D476" t="s">
        <v>385</v>
      </c>
      <c r="E476" t="s">
        <v>386</v>
      </c>
      <c r="F476" t="s">
        <v>387</v>
      </c>
      <c r="G476" t="s">
        <v>388</v>
      </c>
      <c r="H476" t="s">
        <v>389</v>
      </c>
      <c r="I476" t="s">
        <v>390</v>
      </c>
      <c r="J476" t="s">
        <v>391</v>
      </c>
      <c r="K476" t="s">
        <v>392</v>
      </c>
      <c r="L476" t="s">
        <v>393</v>
      </c>
      <c r="M476" t="s">
        <v>394</v>
      </c>
      <c r="O476" t="s">
        <v>395</v>
      </c>
      <c r="T476" t="s">
        <v>59</v>
      </c>
      <c r="U476" t="s">
        <v>53</v>
      </c>
      <c r="V476" t="s">
        <v>78</v>
      </c>
    </row>
    <row r="477" spans="1:22" hidden="1" x14ac:dyDescent="0.2">
      <c r="A477" t="s">
        <v>384</v>
      </c>
      <c r="B477" t="s">
        <v>23</v>
      </c>
      <c r="C477" t="s">
        <v>54</v>
      </c>
      <c r="D477" t="s">
        <v>385</v>
      </c>
      <c r="E477" t="s">
        <v>386</v>
      </c>
      <c r="F477" t="s">
        <v>387</v>
      </c>
      <c r="G477" t="s">
        <v>388</v>
      </c>
      <c r="H477" t="s">
        <v>389</v>
      </c>
      <c r="I477" t="s">
        <v>390</v>
      </c>
      <c r="J477" t="s">
        <v>391</v>
      </c>
      <c r="K477" t="s">
        <v>392</v>
      </c>
      <c r="L477" t="s">
        <v>393</v>
      </c>
      <c r="M477" t="s">
        <v>394</v>
      </c>
      <c r="O477" t="s">
        <v>395</v>
      </c>
      <c r="T477" t="s">
        <v>60</v>
      </c>
      <c r="U477" t="s">
        <v>53</v>
      </c>
      <c r="V477" t="s">
        <v>338</v>
      </c>
    </row>
    <row r="478" spans="1:22" hidden="1" x14ac:dyDescent="0.2">
      <c r="A478" t="s">
        <v>384</v>
      </c>
      <c r="B478" t="s">
        <v>23</v>
      </c>
      <c r="C478" t="s">
        <v>54</v>
      </c>
      <c r="D478" t="s">
        <v>385</v>
      </c>
      <c r="E478" t="s">
        <v>386</v>
      </c>
      <c r="F478" t="s">
        <v>387</v>
      </c>
      <c r="G478" t="s">
        <v>388</v>
      </c>
      <c r="H478" t="s">
        <v>389</v>
      </c>
      <c r="I478" t="s">
        <v>390</v>
      </c>
      <c r="J478" t="s">
        <v>391</v>
      </c>
      <c r="K478" t="s">
        <v>392</v>
      </c>
      <c r="L478" t="s">
        <v>393</v>
      </c>
      <c r="M478" t="s">
        <v>394</v>
      </c>
      <c r="O478" t="s">
        <v>395</v>
      </c>
      <c r="T478" t="s">
        <v>60</v>
      </c>
      <c r="U478" t="s">
        <v>53</v>
      </c>
      <c r="V478" t="s">
        <v>396</v>
      </c>
    </row>
    <row r="479" spans="1:22" hidden="1" x14ac:dyDescent="0.2">
      <c r="A479" t="s">
        <v>384</v>
      </c>
      <c r="B479" t="s">
        <v>23</v>
      </c>
      <c r="C479" t="s">
        <v>54</v>
      </c>
      <c r="D479" t="s">
        <v>385</v>
      </c>
      <c r="E479" t="s">
        <v>386</v>
      </c>
      <c r="F479" t="s">
        <v>387</v>
      </c>
      <c r="G479" t="s">
        <v>388</v>
      </c>
      <c r="H479" t="s">
        <v>389</v>
      </c>
      <c r="I479" t="s">
        <v>390</v>
      </c>
      <c r="J479" t="s">
        <v>391</v>
      </c>
      <c r="K479" t="s">
        <v>392</v>
      </c>
      <c r="L479" t="s">
        <v>393</v>
      </c>
      <c r="M479" t="s">
        <v>394</v>
      </c>
      <c r="O479" t="s">
        <v>395</v>
      </c>
      <c r="T479" t="s">
        <v>60</v>
      </c>
      <c r="U479" t="s">
        <v>53</v>
      </c>
      <c r="V479" t="s">
        <v>43</v>
      </c>
    </row>
    <row r="480" spans="1:22" hidden="1" x14ac:dyDescent="0.2">
      <c r="A480" t="s">
        <v>384</v>
      </c>
      <c r="B480" t="s">
        <v>23</v>
      </c>
      <c r="C480" t="s">
        <v>54</v>
      </c>
      <c r="D480" t="s">
        <v>385</v>
      </c>
      <c r="E480" t="s">
        <v>386</v>
      </c>
      <c r="F480" t="s">
        <v>387</v>
      </c>
      <c r="G480" t="s">
        <v>388</v>
      </c>
      <c r="H480" t="s">
        <v>389</v>
      </c>
      <c r="I480" t="s">
        <v>390</v>
      </c>
      <c r="J480" t="s">
        <v>391</v>
      </c>
      <c r="K480" t="s">
        <v>392</v>
      </c>
      <c r="L480" t="s">
        <v>393</v>
      </c>
      <c r="M480" t="s">
        <v>394</v>
      </c>
      <c r="O480" t="s">
        <v>395</v>
      </c>
      <c r="T480" t="s">
        <v>60</v>
      </c>
      <c r="U480" t="s">
        <v>53</v>
      </c>
      <c r="V480" t="s">
        <v>78</v>
      </c>
    </row>
    <row r="481" spans="1:22" hidden="1" x14ac:dyDescent="0.2">
      <c r="A481" t="s">
        <v>384</v>
      </c>
      <c r="B481" t="s">
        <v>23</v>
      </c>
      <c r="C481" t="s">
        <v>54</v>
      </c>
      <c r="D481" t="s">
        <v>385</v>
      </c>
      <c r="E481" t="s">
        <v>386</v>
      </c>
      <c r="F481" t="s">
        <v>387</v>
      </c>
      <c r="G481" t="s">
        <v>388</v>
      </c>
      <c r="H481" t="s">
        <v>389</v>
      </c>
      <c r="I481" t="s">
        <v>390</v>
      </c>
      <c r="J481" t="s">
        <v>391</v>
      </c>
      <c r="K481" t="s">
        <v>392</v>
      </c>
      <c r="L481" t="s">
        <v>393</v>
      </c>
      <c r="M481" t="s">
        <v>394</v>
      </c>
      <c r="O481" t="s">
        <v>395</v>
      </c>
      <c r="T481" t="s">
        <v>61</v>
      </c>
      <c r="U481" t="s">
        <v>53</v>
      </c>
      <c r="V481" t="s">
        <v>338</v>
      </c>
    </row>
    <row r="482" spans="1:22" hidden="1" x14ac:dyDescent="0.2">
      <c r="A482" t="s">
        <v>384</v>
      </c>
      <c r="B482" t="s">
        <v>23</v>
      </c>
      <c r="C482" t="s">
        <v>54</v>
      </c>
      <c r="D482" t="s">
        <v>385</v>
      </c>
      <c r="E482" t="s">
        <v>386</v>
      </c>
      <c r="F482" t="s">
        <v>387</v>
      </c>
      <c r="G482" t="s">
        <v>388</v>
      </c>
      <c r="H482" t="s">
        <v>389</v>
      </c>
      <c r="I482" t="s">
        <v>390</v>
      </c>
      <c r="J482" t="s">
        <v>391</v>
      </c>
      <c r="K482" t="s">
        <v>392</v>
      </c>
      <c r="L482" t="s">
        <v>393</v>
      </c>
      <c r="M482" t="s">
        <v>394</v>
      </c>
      <c r="O482" t="s">
        <v>395</v>
      </c>
      <c r="T482" t="s">
        <v>61</v>
      </c>
      <c r="U482" t="s">
        <v>53</v>
      </c>
      <c r="V482" t="s">
        <v>396</v>
      </c>
    </row>
    <row r="483" spans="1:22" hidden="1" x14ac:dyDescent="0.2">
      <c r="A483" t="s">
        <v>384</v>
      </c>
      <c r="B483" t="s">
        <v>23</v>
      </c>
      <c r="C483" t="s">
        <v>54</v>
      </c>
      <c r="D483" t="s">
        <v>385</v>
      </c>
      <c r="E483" t="s">
        <v>386</v>
      </c>
      <c r="F483" t="s">
        <v>387</v>
      </c>
      <c r="G483" t="s">
        <v>388</v>
      </c>
      <c r="H483" t="s">
        <v>389</v>
      </c>
      <c r="I483" t="s">
        <v>390</v>
      </c>
      <c r="J483" t="s">
        <v>391</v>
      </c>
      <c r="K483" t="s">
        <v>392</v>
      </c>
      <c r="L483" t="s">
        <v>393</v>
      </c>
      <c r="M483" t="s">
        <v>394</v>
      </c>
      <c r="O483" t="s">
        <v>395</v>
      </c>
      <c r="T483" t="s">
        <v>61</v>
      </c>
      <c r="U483" t="s">
        <v>53</v>
      </c>
      <c r="V483" t="s">
        <v>43</v>
      </c>
    </row>
    <row r="484" spans="1:22" hidden="1" x14ac:dyDescent="0.2">
      <c r="A484" t="s">
        <v>384</v>
      </c>
      <c r="B484" t="s">
        <v>23</v>
      </c>
      <c r="C484" t="s">
        <v>54</v>
      </c>
      <c r="D484" t="s">
        <v>385</v>
      </c>
      <c r="E484" t="s">
        <v>386</v>
      </c>
      <c r="F484" t="s">
        <v>387</v>
      </c>
      <c r="G484" t="s">
        <v>388</v>
      </c>
      <c r="H484" t="s">
        <v>389</v>
      </c>
      <c r="I484" t="s">
        <v>390</v>
      </c>
      <c r="J484" t="s">
        <v>391</v>
      </c>
      <c r="K484" t="s">
        <v>392</v>
      </c>
      <c r="L484" t="s">
        <v>393</v>
      </c>
      <c r="M484" t="s">
        <v>394</v>
      </c>
      <c r="O484" t="s">
        <v>395</v>
      </c>
      <c r="T484" t="s">
        <v>61</v>
      </c>
      <c r="U484" t="s">
        <v>53</v>
      </c>
      <c r="V484" t="s">
        <v>78</v>
      </c>
    </row>
    <row r="485" spans="1:22" hidden="1" x14ac:dyDescent="0.2">
      <c r="A485" t="s">
        <v>384</v>
      </c>
      <c r="B485" t="s">
        <v>23</v>
      </c>
      <c r="C485" t="s">
        <v>54</v>
      </c>
      <c r="D485" t="s">
        <v>385</v>
      </c>
      <c r="E485" t="s">
        <v>386</v>
      </c>
      <c r="F485" t="s">
        <v>387</v>
      </c>
      <c r="G485" t="s">
        <v>388</v>
      </c>
      <c r="H485" t="s">
        <v>389</v>
      </c>
      <c r="I485" t="s">
        <v>390</v>
      </c>
      <c r="J485" t="s">
        <v>391</v>
      </c>
      <c r="K485" t="s">
        <v>392</v>
      </c>
      <c r="L485" t="s">
        <v>393</v>
      </c>
      <c r="M485" t="s">
        <v>394</v>
      </c>
      <c r="O485" t="s">
        <v>395</v>
      </c>
      <c r="T485" t="s">
        <v>62</v>
      </c>
      <c r="U485" t="s">
        <v>53</v>
      </c>
      <c r="V485" t="s">
        <v>338</v>
      </c>
    </row>
    <row r="486" spans="1:22" hidden="1" x14ac:dyDescent="0.2">
      <c r="A486" t="s">
        <v>384</v>
      </c>
      <c r="B486" t="s">
        <v>23</v>
      </c>
      <c r="C486" t="s">
        <v>54</v>
      </c>
      <c r="D486" t="s">
        <v>385</v>
      </c>
      <c r="E486" t="s">
        <v>386</v>
      </c>
      <c r="F486" t="s">
        <v>387</v>
      </c>
      <c r="G486" t="s">
        <v>388</v>
      </c>
      <c r="H486" t="s">
        <v>389</v>
      </c>
      <c r="I486" t="s">
        <v>390</v>
      </c>
      <c r="J486" t="s">
        <v>391</v>
      </c>
      <c r="K486" t="s">
        <v>392</v>
      </c>
      <c r="L486" t="s">
        <v>393</v>
      </c>
      <c r="M486" t="s">
        <v>394</v>
      </c>
      <c r="O486" t="s">
        <v>395</v>
      </c>
      <c r="T486" t="s">
        <v>62</v>
      </c>
      <c r="U486" t="s">
        <v>53</v>
      </c>
      <c r="V486" t="s">
        <v>396</v>
      </c>
    </row>
    <row r="487" spans="1:22" hidden="1" x14ac:dyDescent="0.2">
      <c r="A487" t="s">
        <v>384</v>
      </c>
      <c r="B487" t="s">
        <v>23</v>
      </c>
      <c r="C487" t="s">
        <v>54</v>
      </c>
      <c r="D487" t="s">
        <v>385</v>
      </c>
      <c r="E487" t="s">
        <v>386</v>
      </c>
      <c r="F487" t="s">
        <v>387</v>
      </c>
      <c r="G487" t="s">
        <v>388</v>
      </c>
      <c r="H487" t="s">
        <v>389</v>
      </c>
      <c r="I487" t="s">
        <v>390</v>
      </c>
      <c r="J487" t="s">
        <v>391</v>
      </c>
      <c r="K487" t="s">
        <v>392</v>
      </c>
      <c r="L487" t="s">
        <v>393</v>
      </c>
      <c r="M487" t="s">
        <v>394</v>
      </c>
      <c r="O487" t="s">
        <v>395</v>
      </c>
      <c r="T487" t="s">
        <v>62</v>
      </c>
      <c r="U487" t="s">
        <v>53</v>
      </c>
      <c r="V487" t="s">
        <v>43</v>
      </c>
    </row>
    <row r="488" spans="1:22" hidden="1" x14ac:dyDescent="0.2">
      <c r="A488" t="s">
        <v>384</v>
      </c>
      <c r="B488" t="s">
        <v>23</v>
      </c>
      <c r="C488" t="s">
        <v>54</v>
      </c>
      <c r="D488" t="s">
        <v>385</v>
      </c>
      <c r="E488" t="s">
        <v>386</v>
      </c>
      <c r="F488" t="s">
        <v>387</v>
      </c>
      <c r="G488" t="s">
        <v>388</v>
      </c>
      <c r="H488" t="s">
        <v>389</v>
      </c>
      <c r="I488" t="s">
        <v>390</v>
      </c>
      <c r="J488" t="s">
        <v>391</v>
      </c>
      <c r="K488" t="s">
        <v>392</v>
      </c>
      <c r="L488" t="s">
        <v>393</v>
      </c>
      <c r="M488" t="s">
        <v>394</v>
      </c>
      <c r="O488" t="s">
        <v>395</v>
      </c>
      <c r="T488" t="s">
        <v>62</v>
      </c>
      <c r="U488" t="s">
        <v>53</v>
      </c>
      <c r="V488" t="s">
        <v>78</v>
      </c>
    </row>
    <row r="489" spans="1:22" hidden="1" x14ac:dyDescent="0.2">
      <c r="A489" t="s">
        <v>384</v>
      </c>
      <c r="B489" t="s">
        <v>23</v>
      </c>
      <c r="C489" t="s">
        <v>54</v>
      </c>
      <c r="D489" t="s">
        <v>397</v>
      </c>
      <c r="E489" t="s">
        <v>386</v>
      </c>
      <c r="F489" t="s">
        <v>387</v>
      </c>
      <c r="G489" t="s">
        <v>388</v>
      </c>
      <c r="H489" t="s">
        <v>389</v>
      </c>
      <c r="I489" t="s">
        <v>390</v>
      </c>
      <c r="J489" t="s">
        <v>391</v>
      </c>
      <c r="K489" t="s">
        <v>392</v>
      </c>
      <c r="L489" t="s">
        <v>393</v>
      </c>
      <c r="M489" t="s">
        <v>394</v>
      </c>
      <c r="O489" t="s">
        <v>395</v>
      </c>
      <c r="T489" t="s">
        <v>57</v>
      </c>
      <c r="U489" t="s">
        <v>53</v>
      </c>
      <c r="V489" t="s">
        <v>338</v>
      </c>
    </row>
    <row r="490" spans="1:22" hidden="1" x14ac:dyDescent="0.2">
      <c r="A490" t="s">
        <v>384</v>
      </c>
      <c r="B490" t="s">
        <v>23</v>
      </c>
      <c r="C490" t="s">
        <v>54</v>
      </c>
      <c r="D490" t="s">
        <v>397</v>
      </c>
      <c r="E490" t="s">
        <v>386</v>
      </c>
      <c r="F490" t="s">
        <v>387</v>
      </c>
      <c r="G490" t="s">
        <v>388</v>
      </c>
      <c r="H490" t="s">
        <v>389</v>
      </c>
      <c r="I490" t="s">
        <v>390</v>
      </c>
      <c r="J490" t="s">
        <v>391</v>
      </c>
      <c r="K490" t="s">
        <v>392</v>
      </c>
      <c r="L490" t="s">
        <v>393</v>
      </c>
      <c r="M490" t="s">
        <v>394</v>
      </c>
      <c r="O490" t="s">
        <v>395</v>
      </c>
      <c r="T490" t="s">
        <v>57</v>
      </c>
      <c r="U490" t="s">
        <v>53</v>
      </c>
      <c r="V490" t="s">
        <v>396</v>
      </c>
    </row>
    <row r="491" spans="1:22" hidden="1" x14ac:dyDescent="0.2">
      <c r="A491" t="s">
        <v>384</v>
      </c>
      <c r="B491" t="s">
        <v>23</v>
      </c>
      <c r="C491" t="s">
        <v>54</v>
      </c>
      <c r="D491" t="s">
        <v>397</v>
      </c>
      <c r="E491" t="s">
        <v>386</v>
      </c>
      <c r="F491" t="s">
        <v>387</v>
      </c>
      <c r="G491" t="s">
        <v>388</v>
      </c>
      <c r="H491" t="s">
        <v>389</v>
      </c>
      <c r="I491" t="s">
        <v>390</v>
      </c>
      <c r="J491" t="s">
        <v>391</v>
      </c>
      <c r="K491" t="s">
        <v>392</v>
      </c>
      <c r="L491" t="s">
        <v>393</v>
      </c>
      <c r="M491" t="s">
        <v>394</v>
      </c>
      <c r="O491" t="s">
        <v>395</v>
      </c>
      <c r="T491" t="s">
        <v>57</v>
      </c>
      <c r="U491" t="s">
        <v>53</v>
      </c>
      <c r="V491" t="s">
        <v>43</v>
      </c>
    </row>
    <row r="492" spans="1:22" hidden="1" x14ac:dyDescent="0.2">
      <c r="A492" t="s">
        <v>384</v>
      </c>
      <c r="B492" t="s">
        <v>23</v>
      </c>
      <c r="C492" t="s">
        <v>54</v>
      </c>
      <c r="D492" t="s">
        <v>397</v>
      </c>
      <c r="E492" t="s">
        <v>386</v>
      </c>
      <c r="F492" t="s">
        <v>387</v>
      </c>
      <c r="G492" t="s">
        <v>388</v>
      </c>
      <c r="H492" t="s">
        <v>389</v>
      </c>
      <c r="I492" t="s">
        <v>390</v>
      </c>
      <c r="J492" t="s">
        <v>391</v>
      </c>
      <c r="K492" t="s">
        <v>392</v>
      </c>
      <c r="L492" t="s">
        <v>393</v>
      </c>
      <c r="M492" t="s">
        <v>394</v>
      </c>
      <c r="O492" t="s">
        <v>395</v>
      </c>
      <c r="T492" t="s">
        <v>57</v>
      </c>
      <c r="U492" t="s">
        <v>53</v>
      </c>
      <c r="V492" t="s">
        <v>78</v>
      </c>
    </row>
    <row r="493" spans="1:22" hidden="1" x14ac:dyDescent="0.2">
      <c r="A493" t="s">
        <v>384</v>
      </c>
      <c r="B493" t="s">
        <v>23</v>
      </c>
      <c r="C493" t="s">
        <v>54</v>
      </c>
      <c r="D493" t="s">
        <v>397</v>
      </c>
      <c r="E493" t="s">
        <v>386</v>
      </c>
      <c r="F493" t="s">
        <v>387</v>
      </c>
      <c r="G493" t="s">
        <v>388</v>
      </c>
      <c r="H493" t="s">
        <v>389</v>
      </c>
      <c r="I493" t="s">
        <v>390</v>
      </c>
      <c r="J493" t="s">
        <v>391</v>
      </c>
      <c r="K493" t="s">
        <v>392</v>
      </c>
      <c r="L493" t="s">
        <v>393</v>
      </c>
      <c r="M493" t="s">
        <v>394</v>
      </c>
      <c r="O493" t="s">
        <v>395</v>
      </c>
      <c r="T493" t="s">
        <v>39</v>
      </c>
      <c r="U493" t="s">
        <v>53</v>
      </c>
      <c r="V493" t="s">
        <v>338</v>
      </c>
    </row>
    <row r="494" spans="1:22" hidden="1" x14ac:dyDescent="0.2">
      <c r="A494" t="s">
        <v>384</v>
      </c>
      <c r="B494" t="s">
        <v>23</v>
      </c>
      <c r="C494" t="s">
        <v>54</v>
      </c>
      <c r="D494" t="s">
        <v>397</v>
      </c>
      <c r="E494" t="s">
        <v>386</v>
      </c>
      <c r="F494" t="s">
        <v>387</v>
      </c>
      <c r="G494" t="s">
        <v>388</v>
      </c>
      <c r="H494" t="s">
        <v>389</v>
      </c>
      <c r="I494" t="s">
        <v>390</v>
      </c>
      <c r="J494" t="s">
        <v>391</v>
      </c>
      <c r="K494" t="s">
        <v>392</v>
      </c>
      <c r="L494" t="s">
        <v>393</v>
      </c>
      <c r="M494" t="s">
        <v>394</v>
      </c>
      <c r="O494" t="s">
        <v>395</v>
      </c>
      <c r="T494" t="s">
        <v>39</v>
      </c>
      <c r="U494" t="s">
        <v>53</v>
      </c>
      <c r="V494" t="s">
        <v>396</v>
      </c>
    </row>
    <row r="495" spans="1:22" hidden="1" x14ac:dyDescent="0.2">
      <c r="A495" t="s">
        <v>384</v>
      </c>
      <c r="B495" t="s">
        <v>23</v>
      </c>
      <c r="C495" t="s">
        <v>54</v>
      </c>
      <c r="D495" t="s">
        <v>397</v>
      </c>
      <c r="E495" t="s">
        <v>386</v>
      </c>
      <c r="F495" t="s">
        <v>387</v>
      </c>
      <c r="G495" t="s">
        <v>388</v>
      </c>
      <c r="H495" t="s">
        <v>389</v>
      </c>
      <c r="I495" t="s">
        <v>390</v>
      </c>
      <c r="J495" t="s">
        <v>391</v>
      </c>
      <c r="K495" t="s">
        <v>392</v>
      </c>
      <c r="L495" t="s">
        <v>393</v>
      </c>
      <c r="M495" t="s">
        <v>394</v>
      </c>
      <c r="O495" t="s">
        <v>395</v>
      </c>
      <c r="T495" t="s">
        <v>39</v>
      </c>
      <c r="U495" t="s">
        <v>53</v>
      </c>
      <c r="V495" t="s">
        <v>43</v>
      </c>
    </row>
    <row r="496" spans="1:22" hidden="1" x14ac:dyDescent="0.2">
      <c r="A496" t="s">
        <v>384</v>
      </c>
      <c r="B496" t="s">
        <v>23</v>
      </c>
      <c r="C496" t="s">
        <v>54</v>
      </c>
      <c r="D496" t="s">
        <v>397</v>
      </c>
      <c r="E496" t="s">
        <v>386</v>
      </c>
      <c r="F496" t="s">
        <v>387</v>
      </c>
      <c r="G496" t="s">
        <v>388</v>
      </c>
      <c r="H496" t="s">
        <v>389</v>
      </c>
      <c r="I496" t="s">
        <v>390</v>
      </c>
      <c r="J496" t="s">
        <v>391</v>
      </c>
      <c r="K496" t="s">
        <v>392</v>
      </c>
      <c r="L496" t="s">
        <v>393</v>
      </c>
      <c r="M496" t="s">
        <v>394</v>
      </c>
      <c r="O496" t="s">
        <v>395</v>
      </c>
      <c r="T496" t="s">
        <v>39</v>
      </c>
      <c r="U496" t="s">
        <v>53</v>
      </c>
      <c r="V496" t="s">
        <v>78</v>
      </c>
    </row>
    <row r="497" spans="1:22" hidden="1" x14ac:dyDescent="0.2">
      <c r="A497" t="s">
        <v>384</v>
      </c>
      <c r="B497" t="s">
        <v>23</v>
      </c>
      <c r="C497" t="s">
        <v>54</v>
      </c>
      <c r="D497" t="s">
        <v>397</v>
      </c>
      <c r="E497" t="s">
        <v>386</v>
      </c>
      <c r="F497" t="s">
        <v>387</v>
      </c>
      <c r="G497" t="s">
        <v>388</v>
      </c>
      <c r="H497" t="s">
        <v>389</v>
      </c>
      <c r="I497" t="s">
        <v>390</v>
      </c>
      <c r="J497" t="s">
        <v>391</v>
      </c>
      <c r="K497" t="s">
        <v>392</v>
      </c>
      <c r="L497" t="s">
        <v>393</v>
      </c>
      <c r="M497" t="s">
        <v>394</v>
      </c>
      <c r="O497" t="s">
        <v>395</v>
      </c>
      <c r="T497" t="s">
        <v>58</v>
      </c>
      <c r="U497" t="s">
        <v>53</v>
      </c>
      <c r="V497" t="s">
        <v>338</v>
      </c>
    </row>
    <row r="498" spans="1:22" hidden="1" x14ac:dyDescent="0.2">
      <c r="A498" t="s">
        <v>384</v>
      </c>
      <c r="B498" t="s">
        <v>23</v>
      </c>
      <c r="C498" t="s">
        <v>54</v>
      </c>
      <c r="D498" t="s">
        <v>397</v>
      </c>
      <c r="E498" t="s">
        <v>386</v>
      </c>
      <c r="F498" t="s">
        <v>387</v>
      </c>
      <c r="G498" t="s">
        <v>388</v>
      </c>
      <c r="H498" t="s">
        <v>389</v>
      </c>
      <c r="I498" t="s">
        <v>390</v>
      </c>
      <c r="J498" t="s">
        <v>391</v>
      </c>
      <c r="K498" t="s">
        <v>392</v>
      </c>
      <c r="L498" t="s">
        <v>393</v>
      </c>
      <c r="M498" t="s">
        <v>394</v>
      </c>
      <c r="O498" t="s">
        <v>395</v>
      </c>
      <c r="T498" t="s">
        <v>58</v>
      </c>
      <c r="U498" t="s">
        <v>53</v>
      </c>
      <c r="V498" t="s">
        <v>396</v>
      </c>
    </row>
    <row r="499" spans="1:22" hidden="1" x14ac:dyDescent="0.2">
      <c r="A499" t="s">
        <v>384</v>
      </c>
      <c r="B499" t="s">
        <v>23</v>
      </c>
      <c r="C499" t="s">
        <v>54</v>
      </c>
      <c r="D499" t="s">
        <v>397</v>
      </c>
      <c r="E499" t="s">
        <v>386</v>
      </c>
      <c r="F499" t="s">
        <v>387</v>
      </c>
      <c r="G499" t="s">
        <v>388</v>
      </c>
      <c r="H499" t="s">
        <v>389</v>
      </c>
      <c r="I499" t="s">
        <v>390</v>
      </c>
      <c r="J499" t="s">
        <v>391</v>
      </c>
      <c r="K499" t="s">
        <v>392</v>
      </c>
      <c r="L499" t="s">
        <v>393</v>
      </c>
      <c r="M499" t="s">
        <v>394</v>
      </c>
      <c r="O499" t="s">
        <v>395</v>
      </c>
      <c r="T499" t="s">
        <v>58</v>
      </c>
      <c r="U499" t="s">
        <v>53</v>
      </c>
      <c r="V499" t="s">
        <v>43</v>
      </c>
    </row>
    <row r="500" spans="1:22" hidden="1" x14ac:dyDescent="0.2">
      <c r="A500" t="s">
        <v>384</v>
      </c>
      <c r="B500" t="s">
        <v>23</v>
      </c>
      <c r="C500" t="s">
        <v>54</v>
      </c>
      <c r="D500" t="s">
        <v>397</v>
      </c>
      <c r="E500" t="s">
        <v>386</v>
      </c>
      <c r="F500" t="s">
        <v>387</v>
      </c>
      <c r="G500" t="s">
        <v>388</v>
      </c>
      <c r="H500" t="s">
        <v>389</v>
      </c>
      <c r="I500" t="s">
        <v>390</v>
      </c>
      <c r="J500" t="s">
        <v>391</v>
      </c>
      <c r="K500" t="s">
        <v>392</v>
      </c>
      <c r="L500" t="s">
        <v>393</v>
      </c>
      <c r="M500" t="s">
        <v>394</v>
      </c>
      <c r="O500" t="s">
        <v>395</v>
      </c>
      <c r="T500" t="s">
        <v>58</v>
      </c>
      <c r="U500" t="s">
        <v>53</v>
      </c>
      <c r="V500" t="s">
        <v>78</v>
      </c>
    </row>
    <row r="501" spans="1:22" hidden="1" x14ac:dyDescent="0.2">
      <c r="A501" t="s">
        <v>384</v>
      </c>
      <c r="B501" t="s">
        <v>23</v>
      </c>
      <c r="C501" t="s">
        <v>54</v>
      </c>
      <c r="D501" t="s">
        <v>397</v>
      </c>
      <c r="E501" t="s">
        <v>386</v>
      </c>
      <c r="F501" t="s">
        <v>387</v>
      </c>
      <c r="G501" t="s">
        <v>388</v>
      </c>
      <c r="H501" t="s">
        <v>389</v>
      </c>
      <c r="I501" t="s">
        <v>390</v>
      </c>
      <c r="J501" t="s">
        <v>391</v>
      </c>
      <c r="K501" t="s">
        <v>392</v>
      </c>
      <c r="L501" t="s">
        <v>393</v>
      </c>
      <c r="M501" t="s">
        <v>394</v>
      </c>
      <c r="O501" t="s">
        <v>395</v>
      </c>
      <c r="T501" t="s">
        <v>59</v>
      </c>
      <c r="U501" t="s">
        <v>53</v>
      </c>
      <c r="V501" t="s">
        <v>338</v>
      </c>
    </row>
    <row r="502" spans="1:22" hidden="1" x14ac:dyDescent="0.2">
      <c r="A502" t="s">
        <v>384</v>
      </c>
      <c r="B502" t="s">
        <v>23</v>
      </c>
      <c r="C502" t="s">
        <v>54</v>
      </c>
      <c r="D502" t="s">
        <v>397</v>
      </c>
      <c r="E502" t="s">
        <v>386</v>
      </c>
      <c r="F502" t="s">
        <v>387</v>
      </c>
      <c r="G502" t="s">
        <v>388</v>
      </c>
      <c r="H502" t="s">
        <v>389</v>
      </c>
      <c r="I502" t="s">
        <v>390</v>
      </c>
      <c r="J502" t="s">
        <v>391</v>
      </c>
      <c r="K502" t="s">
        <v>392</v>
      </c>
      <c r="L502" t="s">
        <v>393</v>
      </c>
      <c r="M502" t="s">
        <v>394</v>
      </c>
      <c r="O502" t="s">
        <v>395</v>
      </c>
      <c r="T502" t="s">
        <v>59</v>
      </c>
      <c r="U502" t="s">
        <v>53</v>
      </c>
      <c r="V502" t="s">
        <v>396</v>
      </c>
    </row>
    <row r="503" spans="1:22" hidden="1" x14ac:dyDescent="0.2">
      <c r="A503" t="s">
        <v>384</v>
      </c>
      <c r="B503" t="s">
        <v>23</v>
      </c>
      <c r="C503" t="s">
        <v>54</v>
      </c>
      <c r="D503" t="s">
        <v>397</v>
      </c>
      <c r="E503" t="s">
        <v>386</v>
      </c>
      <c r="F503" t="s">
        <v>387</v>
      </c>
      <c r="G503" t="s">
        <v>388</v>
      </c>
      <c r="H503" t="s">
        <v>389</v>
      </c>
      <c r="I503" t="s">
        <v>390</v>
      </c>
      <c r="J503" t="s">
        <v>391</v>
      </c>
      <c r="K503" t="s">
        <v>392</v>
      </c>
      <c r="L503" t="s">
        <v>393</v>
      </c>
      <c r="M503" t="s">
        <v>394</v>
      </c>
      <c r="O503" t="s">
        <v>395</v>
      </c>
      <c r="T503" t="s">
        <v>59</v>
      </c>
      <c r="U503" t="s">
        <v>53</v>
      </c>
      <c r="V503" t="s">
        <v>43</v>
      </c>
    </row>
    <row r="504" spans="1:22" hidden="1" x14ac:dyDescent="0.2">
      <c r="A504" t="s">
        <v>384</v>
      </c>
      <c r="B504" t="s">
        <v>23</v>
      </c>
      <c r="C504" t="s">
        <v>54</v>
      </c>
      <c r="D504" t="s">
        <v>397</v>
      </c>
      <c r="E504" t="s">
        <v>386</v>
      </c>
      <c r="F504" t="s">
        <v>387</v>
      </c>
      <c r="G504" t="s">
        <v>388</v>
      </c>
      <c r="H504" t="s">
        <v>389</v>
      </c>
      <c r="I504" t="s">
        <v>390</v>
      </c>
      <c r="J504" t="s">
        <v>391</v>
      </c>
      <c r="K504" t="s">
        <v>392</v>
      </c>
      <c r="L504" t="s">
        <v>393</v>
      </c>
      <c r="M504" t="s">
        <v>394</v>
      </c>
      <c r="O504" t="s">
        <v>395</v>
      </c>
      <c r="T504" t="s">
        <v>59</v>
      </c>
      <c r="U504" t="s">
        <v>53</v>
      </c>
      <c r="V504" t="s">
        <v>78</v>
      </c>
    </row>
    <row r="505" spans="1:22" hidden="1" x14ac:dyDescent="0.2">
      <c r="A505" t="s">
        <v>384</v>
      </c>
      <c r="B505" t="s">
        <v>23</v>
      </c>
      <c r="C505" t="s">
        <v>54</v>
      </c>
      <c r="D505" t="s">
        <v>397</v>
      </c>
      <c r="E505" t="s">
        <v>386</v>
      </c>
      <c r="F505" t="s">
        <v>387</v>
      </c>
      <c r="G505" t="s">
        <v>388</v>
      </c>
      <c r="H505" t="s">
        <v>389</v>
      </c>
      <c r="I505" t="s">
        <v>390</v>
      </c>
      <c r="J505" t="s">
        <v>391</v>
      </c>
      <c r="K505" t="s">
        <v>392</v>
      </c>
      <c r="L505" t="s">
        <v>393</v>
      </c>
      <c r="M505" t="s">
        <v>394</v>
      </c>
      <c r="O505" t="s">
        <v>395</v>
      </c>
      <c r="T505" t="s">
        <v>60</v>
      </c>
      <c r="U505" t="s">
        <v>53</v>
      </c>
      <c r="V505" t="s">
        <v>338</v>
      </c>
    </row>
    <row r="506" spans="1:22" hidden="1" x14ac:dyDescent="0.2">
      <c r="A506" t="s">
        <v>384</v>
      </c>
      <c r="B506" t="s">
        <v>23</v>
      </c>
      <c r="C506" t="s">
        <v>54</v>
      </c>
      <c r="D506" t="s">
        <v>397</v>
      </c>
      <c r="E506" t="s">
        <v>386</v>
      </c>
      <c r="F506" t="s">
        <v>387</v>
      </c>
      <c r="G506" t="s">
        <v>388</v>
      </c>
      <c r="H506" t="s">
        <v>389</v>
      </c>
      <c r="I506" t="s">
        <v>390</v>
      </c>
      <c r="J506" t="s">
        <v>391</v>
      </c>
      <c r="K506" t="s">
        <v>392</v>
      </c>
      <c r="L506" t="s">
        <v>393</v>
      </c>
      <c r="M506" t="s">
        <v>394</v>
      </c>
      <c r="O506" t="s">
        <v>395</v>
      </c>
      <c r="T506" t="s">
        <v>60</v>
      </c>
      <c r="U506" t="s">
        <v>53</v>
      </c>
      <c r="V506" t="s">
        <v>396</v>
      </c>
    </row>
    <row r="507" spans="1:22" hidden="1" x14ac:dyDescent="0.2">
      <c r="A507" t="s">
        <v>384</v>
      </c>
      <c r="B507" t="s">
        <v>23</v>
      </c>
      <c r="C507" t="s">
        <v>54</v>
      </c>
      <c r="D507" t="s">
        <v>397</v>
      </c>
      <c r="E507" t="s">
        <v>386</v>
      </c>
      <c r="F507" t="s">
        <v>387</v>
      </c>
      <c r="G507" t="s">
        <v>388</v>
      </c>
      <c r="H507" t="s">
        <v>389</v>
      </c>
      <c r="I507" t="s">
        <v>390</v>
      </c>
      <c r="J507" t="s">
        <v>391</v>
      </c>
      <c r="K507" t="s">
        <v>392</v>
      </c>
      <c r="L507" t="s">
        <v>393</v>
      </c>
      <c r="M507" t="s">
        <v>394</v>
      </c>
      <c r="O507" t="s">
        <v>395</v>
      </c>
      <c r="T507" t="s">
        <v>60</v>
      </c>
      <c r="U507" t="s">
        <v>53</v>
      </c>
      <c r="V507" t="s">
        <v>43</v>
      </c>
    </row>
    <row r="508" spans="1:22" hidden="1" x14ac:dyDescent="0.2">
      <c r="A508" t="s">
        <v>384</v>
      </c>
      <c r="B508" t="s">
        <v>23</v>
      </c>
      <c r="C508" t="s">
        <v>54</v>
      </c>
      <c r="D508" t="s">
        <v>397</v>
      </c>
      <c r="E508" t="s">
        <v>386</v>
      </c>
      <c r="F508" t="s">
        <v>387</v>
      </c>
      <c r="G508" t="s">
        <v>388</v>
      </c>
      <c r="H508" t="s">
        <v>389</v>
      </c>
      <c r="I508" t="s">
        <v>390</v>
      </c>
      <c r="J508" t="s">
        <v>391</v>
      </c>
      <c r="K508" t="s">
        <v>392</v>
      </c>
      <c r="L508" t="s">
        <v>393</v>
      </c>
      <c r="M508" t="s">
        <v>394</v>
      </c>
      <c r="O508" t="s">
        <v>395</v>
      </c>
      <c r="T508" t="s">
        <v>60</v>
      </c>
      <c r="U508" t="s">
        <v>53</v>
      </c>
      <c r="V508" t="s">
        <v>78</v>
      </c>
    </row>
    <row r="509" spans="1:22" hidden="1" x14ac:dyDescent="0.2">
      <c r="A509" t="s">
        <v>384</v>
      </c>
      <c r="B509" t="s">
        <v>23</v>
      </c>
      <c r="C509" t="s">
        <v>54</v>
      </c>
      <c r="D509" t="s">
        <v>397</v>
      </c>
      <c r="E509" t="s">
        <v>386</v>
      </c>
      <c r="F509" t="s">
        <v>387</v>
      </c>
      <c r="G509" t="s">
        <v>388</v>
      </c>
      <c r="H509" t="s">
        <v>389</v>
      </c>
      <c r="I509" t="s">
        <v>390</v>
      </c>
      <c r="J509" t="s">
        <v>391</v>
      </c>
      <c r="K509" t="s">
        <v>392</v>
      </c>
      <c r="L509" t="s">
        <v>393</v>
      </c>
      <c r="M509" t="s">
        <v>394</v>
      </c>
      <c r="O509" t="s">
        <v>395</v>
      </c>
      <c r="T509" t="s">
        <v>61</v>
      </c>
      <c r="U509" t="s">
        <v>53</v>
      </c>
      <c r="V509" t="s">
        <v>338</v>
      </c>
    </row>
    <row r="510" spans="1:22" hidden="1" x14ac:dyDescent="0.2">
      <c r="A510" t="s">
        <v>384</v>
      </c>
      <c r="B510" t="s">
        <v>23</v>
      </c>
      <c r="C510" t="s">
        <v>54</v>
      </c>
      <c r="D510" t="s">
        <v>397</v>
      </c>
      <c r="E510" t="s">
        <v>386</v>
      </c>
      <c r="F510" t="s">
        <v>387</v>
      </c>
      <c r="G510" t="s">
        <v>388</v>
      </c>
      <c r="H510" t="s">
        <v>389</v>
      </c>
      <c r="I510" t="s">
        <v>390</v>
      </c>
      <c r="J510" t="s">
        <v>391</v>
      </c>
      <c r="K510" t="s">
        <v>392</v>
      </c>
      <c r="L510" t="s">
        <v>393</v>
      </c>
      <c r="M510" t="s">
        <v>394</v>
      </c>
      <c r="O510" t="s">
        <v>395</v>
      </c>
      <c r="T510" t="s">
        <v>61</v>
      </c>
      <c r="U510" t="s">
        <v>53</v>
      </c>
      <c r="V510" t="s">
        <v>396</v>
      </c>
    </row>
    <row r="511" spans="1:22" hidden="1" x14ac:dyDescent="0.2">
      <c r="A511" t="s">
        <v>384</v>
      </c>
      <c r="B511" t="s">
        <v>23</v>
      </c>
      <c r="C511" t="s">
        <v>54</v>
      </c>
      <c r="D511" t="s">
        <v>397</v>
      </c>
      <c r="E511" t="s">
        <v>386</v>
      </c>
      <c r="F511" t="s">
        <v>387</v>
      </c>
      <c r="G511" t="s">
        <v>388</v>
      </c>
      <c r="H511" t="s">
        <v>389</v>
      </c>
      <c r="I511" t="s">
        <v>390</v>
      </c>
      <c r="J511" t="s">
        <v>391</v>
      </c>
      <c r="K511" t="s">
        <v>392</v>
      </c>
      <c r="L511" t="s">
        <v>393</v>
      </c>
      <c r="M511" t="s">
        <v>394</v>
      </c>
      <c r="O511" t="s">
        <v>395</v>
      </c>
      <c r="T511" t="s">
        <v>61</v>
      </c>
      <c r="U511" t="s">
        <v>53</v>
      </c>
      <c r="V511" t="s">
        <v>43</v>
      </c>
    </row>
    <row r="512" spans="1:22" hidden="1" x14ac:dyDescent="0.2">
      <c r="A512" t="s">
        <v>384</v>
      </c>
      <c r="B512" t="s">
        <v>23</v>
      </c>
      <c r="C512" t="s">
        <v>54</v>
      </c>
      <c r="D512" t="s">
        <v>397</v>
      </c>
      <c r="E512" t="s">
        <v>386</v>
      </c>
      <c r="F512" t="s">
        <v>387</v>
      </c>
      <c r="G512" t="s">
        <v>388</v>
      </c>
      <c r="H512" t="s">
        <v>389</v>
      </c>
      <c r="I512" t="s">
        <v>390</v>
      </c>
      <c r="J512" t="s">
        <v>391</v>
      </c>
      <c r="K512" t="s">
        <v>392</v>
      </c>
      <c r="L512" t="s">
        <v>393</v>
      </c>
      <c r="M512" t="s">
        <v>394</v>
      </c>
      <c r="O512" t="s">
        <v>395</v>
      </c>
      <c r="T512" t="s">
        <v>61</v>
      </c>
      <c r="U512" t="s">
        <v>53</v>
      </c>
      <c r="V512" t="s">
        <v>78</v>
      </c>
    </row>
    <row r="513" spans="1:22" hidden="1" x14ac:dyDescent="0.2">
      <c r="A513" t="s">
        <v>384</v>
      </c>
      <c r="B513" t="s">
        <v>23</v>
      </c>
      <c r="C513" t="s">
        <v>54</v>
      </c>
      <c r="D513" t="s">
        <v>397</v>
      </c>
      <c r="E513" t="s">
        <v>386</v>
      </c>
      <c r="F513" t="s">
        <v>387</v>
      </c>
      <c r="G513" t="s">
        <v>388</v>
      </c>
      <c r="H513" t="s">
        <v>389</v>
      </c>
      <c r="I513" t="s">
        <v>390</v>
      </c>
      <c r="J513" t="s">
        <v>391</v>
      </c>
      <c r="K513" t="s">
        <v>392</v>
      </c>
      <c r="L513" t="s">
        <v>393</v>
      </c>
      <c r="M513" t="s">
        <v>394</v>
      </c>
      <c r="O513" t="s">
        <v>395</v>
      </c>
      <c r="T513" t="s">
        <v>62</v>
      </c>
      <c r="U513" t="s">
        <v>53</v>
      </c>
      <c r="V513" t="s">
        <v>338</v>
      </c>
    </row>
    <row r="514" spans="1:22" hidden="1" x14ac:dyDescent="0.2">
      <c r="A514" t="s">
        <v>384</v>
      </c>
      <c r="B514" t="s">
        <v>23</v>
      </c>
      <c r="C514" t="s">
        <v>54</v>
      </c>
      <c r="D514" t="s">
        <v>397</v>
      </c>
      <c r="E514" t="s">
        <v>386</v>
      </c>
      <c r="F514" t="s">
        <v>387</v>
      </c>
      <c r="G514" t="s">
        <v>388</v>
      </c>
      <c r="H514" t="s">
        <v>389</v>
      </c>
      <c r="I514" t="s">
        <v>390</v>
      </c>
      <c r="J514" t="s">
        <v>391</v>
      </c>
      <c r="K514" t="s">
        <v>392</v>
      </c>
      <c r="L514" t="s">
        <v>393</v>
      </c>
      <c r="M514" t="s">
        <v>394</v>
      </c>
      <c r="O514" t="s">
        <v>395</v>
      </c>
      <c r="T514" t="s">
        <v>62</v>
      </c>
      <c r="U514" t="s">
        <v>53</v>
      </c>
      <c r="V514" t="s">
        <v>396</v>
      </c>
    </row>
    <row r="515" spans="1:22" hidden="1" x14ac:dyDescent="0.2">
      <c r="A515" t="s">
        <v>384</v>
      </c>
      <c r="B515" t="s">
        <v>23</v>
      </c>
      <c r="C515" t="s">
        <v>54</v>
      </c>
      <c r="D515" t="s">
        <v>397</v>
      </c>
      <c r="E515" t="s">
        <v>386</v>
      </c>
      <c r="F515" t="s">
        <v>387</v>
      </c>
      <c r="G515" t="s">
        <v>388</v>
      </c>
      <c r="H515" t="s">
        <v>389</v>
      </c>
      <c r="I515" t="s">
        <v>390</v>
      </c>
      <c r="J515" t="s">
        <v>391</v>
      </c>
      <c r="K515" t="s">
        <v>392</v>
      </c>
      <c r="L515" t="s">
        <v>393</v>
      </c>
      <c r="M515" t="s">
        <v>394</v>
      </c>
      <c r="O515" t="s">
        <v>395</v>
      </c>
      <c r="T515" t="s">
        <v>62</v>
      </c>
      <c r="U515" t="s">
        <v>53</v>
      </c>
      <c r="V515" t="s">
        <v>43</v>
      </c>
    </row>
    <row r="516" spans="1:22" hidden="1" x14ac:dyDescent="0.2">
      <c r="A516" t="s">
        <v>384</v>
      </c>
      <c r="B516" t="s">
        <v>23</v>
      </c>
      <c r="C516" t="s">
        <v>54</v>
      </c>
      <c r="D516" t="s">
        <v>397</v>
      </c>
      <c r="E516" t="s">
        <v>386</v>
      </c>
      <c r="F516" t="s">
        <v>387</v>
      </c>
      <c r="G516" t="s">
        <v>388</v>
      </c>
      <c r="H516" t="s">
        <v>389</v>
      </c>
      <c r="I516" t="s">
        <v>390</v>
      </c>
      <c r="J516" t="s">
        <v>391</v>
      </c>
      <c r="K516" t="s">
        <v>392</v>
      </c>
      <c r="L516" t="s">
        <v>393</v>
      </c>
      <c r="M516" t="s">
        <v>394</v>
      </c>
      <c r="O516" t="s">
        <v>395</v>
      </c>
      <c r="T516" t="s">
        <v>62</v>
      </c>
      <c r="U516" t="s">
        <v>53</v>
      </c>
      <c r="V516" t="s">
        <v>78</v>
      </c>
    </row>
    <row r="517" spans="1:22" hidden="1" x14ac:dyDescent="0.2">
      <c r="A517" t="s">
        <v>384</v>
      </c>
      <c r="B517" t="s">
        <v>23</v>
      </c>
      <c r="C517" t="s">
        <v>54</v>
      </c>
      <c r="D517" t="s">
        <v>398</v>
      </c>
      <c r="E517" t="s">
        <v>386</v>
      </c>
      <c r="F517" t="s">
        <v>387</v>
      </c>
      <c r="G517" t="s">
        <v>388</v>
      </c>
      <c r="H517" t="s">
        <v>389</v>
      </c>
      <c r="I517" t="s">
        <v>390</v>
      </c>
      <c r="J517" t="s">
        <v>391</v>
      </c>
      <c r="K517" t="s">
        <v>392</v>
      </c>
      <c r="L517" t="s">
        <v>393</v>
      </c>
      <c r="M517" t="s">
        <v>394</v>
      </c>
      <c r="O517" t="s">
        <v>395</v>
      </c>
      <c r="T517" t="s">
        <v>57</v>
      </c>
      <c r="U517" t="s">
        <v>53</v>
      </c>
      <c r="V517" t="s">
        <v>338</v>
      </c>
    </row>
    <row r="518" spans="1:22" hidden="1" x14ac:dyDescent="0.2">
      <c r="A518" t="s">
        <v>384</v>
      </c>
      <c r="B518" t="s">
        <v>23</v>
      </c>
      <c r="C518" t="s">
        <v>54</v>
      </c>
      <c r="D518" t="s">
        <v>398</v>
      </c>
      <c r="E518" t="s">
        <v>386</v>
      </c>
      <c r="F518" t="s">
        <v>387</v>
      </c>
      <c r="G518" t="s">
        <v>388</v>
      </c>
      <c r="H518" t="s">
        <v>389</v>
      </c>
      <c r="I518" t="s">
        <v>390</v>
      </c>
      <c r="J518" t="s">
        <v>391</v>
      </c>
      <c r="K518" t="s">
        <v>392</v>
      </c>
      <c r="L518" t="s">
        <v>393</v>
      </c>
      <c r="M518" t="s">
        <v>394</v>
      </c>
      <c r="O518" t="s">
        <v>395</v>
      </c>
      <c r="T518" t="s">
        <v>57</v>
      </c>
      <c r="U518" t="s">
        <v>53</v>
      </c>
      <c r="V518" t="s">
        <v>396</v>
      </c>
    </row>
    <row r="519" spans="1:22" hidden="1" x14ac:dyDescent="0.2">
      <c r="A519" t="s">
        <v>384</v>
      </c>
      <c r="B519" t="s">
        <v>23</v>
      </c>
      <c r="C519" t="s">
        <v>54</v>
      </c>
      <c r="D519" t="s">
        <v>398</v>
      </c>
      <c r="E519" t="s">
        <v>386</v>
      </c>
      <c r="F519" t="s">
        <v>387</v>
      </c>
      <c r="G519" t="s">
        <v>388</v>
      </c>
      <c r="H519" t="s">
        <v>389</v>
      </c>
      <c r="I519" t="s">
        <v>390</v>
      </c>
      <c r="J519" t="s">
        <v>391</v>
      </c>
      <c r="K519" t="s">
        <v>392</v>
      </c>
      <c r="L519" t="s">
        <v>393</v>
      </c>
      <c r="M519" t="s">
        <v>394</v>
      </c>
      <c r="O519" t="s">
        <v>395</v>
      </c>
      <c r="T519" t="s">
        <v>57</v>
      </c>
      <c r="U519" t="s">
        <v>53</v>
      </c>
      <c r="V519" t="s">
        <v>43</v>
      </c>
    </row>
    <row r="520" spans="1:22" hidden="1" x14ac:dyDescent="0.2">
      <c r="A520" t="s">
        <v>384</v>
      </c>
      <c r="B520" t="s">
        <v>23</v>
      </c>
      <c r="C520" t="s">
        <v>54</v>
      </c>
      <c r="D520" t="s">
        <v>398</v>
      </c>
      <c r="E520" t="s">
        <v>386</v>
      </c>
      <c r="F520" t="s">
        <v>387</v>
      </c>
      <c r="G520" t="s">
        <v>388</v>
      </c>
      <c r="H520" t="s">
        <v>389</v>
      </c>
      <c r="I520" t="s">
        <v>390</v>
      </c>
      <c r="J520" t="s">
        <v>391</v>
      </c>
      <c r="K520" t="s">
        <v>392</v>
      </c>
      <c r="L520" t="s">
        <v>393</v>
      </c>
      <c r="M520" t="s">
        <v>394</v>
      </c>
      <c r="O520" t="s">
        <v>395</v>
      </c>
      <c r="T520" t="s">
        <v>57</v>
      </c>
      <c r="U520" t="s">
        <v>53</v>
      </c>
      <c r="V520" t="s">
        <v>78</v>
      </c>
    </row>
    <row r="521" spans="1:22" hidden="1" x14ac:dyDescent="0.2">
      <c r="A521" t="s">
        <v>384</v>
      </c>
      <c r="B521" t="s">
        <v>23</v>
      </c>
      <c r="C521" t="s">
        <v>54</v>
      </c>
      <c r="D521" t="s">
        <v>398</v>
      </c>
      <c r="E521" t="s">
        <v>386</v>
      </c>
      <c r="F521" t="s">
        <v>387</v>
      </c>
      <c r="G521" t="s">
        <v>388</v>
      </c>
      <c r="H521" t="s">
        <v>389</v>
      </c>
      <c r="I521" t="s">
        <v>390</v>
      </c>
      <c r="J521" t="s">
        <v>391</v>
      </c>
      <c r="K521" t="s">
        <v>392</v>
      </c>
      <c r="L521" t="s">
        <v>393</v>
      </c>
      <c r="M521" t="s">
        <v>394</v>
      </c>
      <c r="O521" t="s">
        <v>395</v>
      </c>
      <c r="T521" t="s">
        <v>39</v>
      </c>
      <c r="U521" t="s">
        <v>53</v>
      </c>
      <c r="V521" t="s">
        <v>338</v>
      </c>
    </row>
    <row r="522" spans="1:22" hidden="1" x14ac:dyDescent="0.2">
      <c r="A522" t="s">
        <v>384</v>
      </c>
      <c r="B522" t="s">
        <v>23</v>
      </c>
      <c r="C522" t="s">
        <v>54</v>
      </c>
      <c r="D522" t="s">
        <v>398</v>
      </c>
      <c r="E522" t="s">
        <v>386</v>
      </c>
      <c r="F522" t="s">
        <v>387</v>
      </c>
      <c r="G522" t="s">
        <v>388</v>
      </c>
      <c r="H522" t="s">
        <v>389</v>
      </c>
      <c r="I522" t="s">
        <v>390</v>
      </c>
      <c r="J522" t="s">
        <v>391</v>
      </c>
      <c r="K522" t="s">
        <v>392</v>
      </c>
      <c r="L522" t="s">
        <v>393</v>
      </c>
      <c r="M522" t="s">
        <v>394</v>
      </c>
      <c r="O522" t="s">
        <v>395</v>
      </c>
      <c r="T522" t="s">
        <v>39</v>
      </c>
      <c r="U522" t="s">
        <v>53</v>
      </c>
      <c r="V522" t="s">
        <v>396</v>
      </c>
    </row>
    <row r="523" spans="1:22" hidden="1" x14ac:dyDescent="0.2">
      <c r="A523" t="s">
        <v>384</v>
      </c>
      <c r="B523" t="s">
        <v>23</v>
      </c>
      <c r="C523" t="s">
        <v>54</v>
      </c>
      <c r="D523" t="s">
        <v>398</v>
      </c>
      <c r="E523" t="s">
        <v>386</v>
      </c>
      <c r="F523" t="s">
        <v>387</v>
      </c>
      <c r="G523" t="s">
        <v>388</v>
      </c>
      <c r="H523" t="s">
        <v>389</v>
      </c>
      <c r="I523" t="s">
        <v>390</v>
      </c>
      <c r="J523" t="s">
        <v>391</v>
      </c>
      <c r="K523" t="s">
        <v>392</v>
      </c>
      <c r="L523" t="s">
        <v>393</v>
      </c>
      <c r="M523" t="s">
        <v>394</v>
      </c>
      <c r="O523" t="s">
        <v>395</v>
      </c>
      <c r="T523" t="s">
        <v>39</v>
      </c>
      <c r="U523" t="s">
        <v>53</v>
      </c>
      <c r="V523" t="s">
        <v>43</v>
      </c>
    </row>
    <row r="524" spans="1:22" hidden="1" x14ac:dyDescent="0.2">
      <c r="A524" t="s">
        <v>384</v>
      </c>
      <c r="B524" t="s">
        <v>23</v>
      </c>
      <c r="C524" t="s">
        <v>54</v>
      </c>
      <c r="D524" t="s">
        <v>398</v>
      </c>
      <c r="E524" t="s">
        <v>386</v>
      </c>
      <c r="F524" t="s">
        <v>387</v>
      </c>
      <c r="G524" t="s">
        <v>388</v>
      </c>
      <c r="H524" t="s">
        <v>389</v>
      </c>
      <c r="I524" t="s">
        <v>390</v>
      </c>
      <c r="J524" t="s">
        <v>391</v>
      </c>
      <c r="K524" t="s">
        <v>392</v>
      </c>
      <c r="L524" t="s">
        <v>393</v>
      </c>
      <c r="M524" t="s">
        <v>394</v>
      </c>
      <c r="O524" t="s">
        <v>395</v>
      </c>
      <c r="T524" t="s">
        <v>39</v>
      </c>
      <c r="U524" t="s">
        <v>53</v>
      </c>
      <c r="V524" t="s">
        <v>78</v>
      </c>
    </row>
    <row r="525" spans="1:22" hidden="1" x14ac:dyDescent="0.2">
      <c r="A525" t="s">
        <v>384</v>
      </c>
      <c r="B525" t="s">
        <v>23</v>
      </c>
      <c r="C525" t="s">
        <v>54</v>
      </c>
      <c r="D525" t="s">
        <v>398</v>
      </c>
      <c r="E525" t="s">
        <v>386</v>
      </c>
      <c r="F525" t="s">
        <v>387</v>
      </c>
      <c r="G525" t="s">
        <v>388</v>
      </c>
      <c r="H525" t="s">
        <v>389</v>
      </c>
      <c r="I525" t="s">
        <v>390</v>
      </c>
      <c r="J525" t="s">
        <v>391</v>
      </c>
      <c r="K525" t="s">
        <v>392</v>
      </c>
      <c r="L525" t="s">
        <v>393</v>
      </c>
      <c r="M525" t="s">
        <v>394</v>
      </c>
      <c r="O525" t="s">
        <v>395</v>
      </c>
      <c r="T525" t="s">
        <v>58</v>
      </c>
      <c r="U525" t="s">
        <v>53</v>
      </c>
      <c r="V525" t="s">
        <v>338</v>
      </c>
    </row>
    <row r="526" spans="1:22" hidden="1" x14ac:dyDescent="0.2">
      <c r="A526" t="s">
        <v>384</v>
      </c>
      <c r="B526" t="s">
        <v>23</v>
      </c>
      <c r="C526" t="s">
        <v>54</v>
      </c>
      <c r="D526" t="s">
        <v>398</v>
      </c>
      <c r="E526" t="s">
        <v>386</v>
      </c>
      <c r="F526" t="s">
        <v>387</v>
      </c>
      <c r="G526" t="s">
        <v>388</v>
      </c>
      <c r="H526" t="s">
        <v>389</v>
      </c>
      <c r="I526" t="s">
        <v>390</v>
      </c>
      <c r="J526" t="s">
        <v>391</v>
      </c>
      <c r="K526" t="s">
        <v>392</v>
      </c>
      <c r="L526" t="s">
        <v>393</v>
      </c>
      <c r="M526" t="s">
        <v>394</v>
      </c>
      <c r="O526" t="s">
        <v>395</v>
      </c>
      <c r="T526" t="s">
        <v>58</v>
      </c>
      <c r="U526" t="s">
        <v>53</v>
      </c>
      <c r="V526" t="s">
        <v>396</v>
      </c>
    </row>
    <row r="527" spans="1:22" hidden="1" x14ac:dyDescent="0.2">
      <c r="A527" t="s">
        <v>384</v>
      </c>
      <c r="B527" t="s">
        <v>23</v>
      </c>
      <c r="C527" t="s">
        <v>54</v>
      </c>
      <c r="D527" t="s">
        <v>398</v>
      </c>
      <c r="E527" t="s">
        <v>386</v>
      </c>
      <c r="F527" t="s">
        <v>387</v>
      </c>
      <c r="G527" t="s">
        <v>388</v>
      </c>
      <c r="H527" t="s">
        <v>389</v>
      </c>
      <c r="I527" t="s">
        <v>390</v>
      </c>
      <c r="J527" t="s">
        <v>391</v>
      </c>
      <c r="K527" t="s">
        <v>392</v>
      </c>
      <c r="L527" t="s">
        <v>393</v>
      </c>
      <c r="M527" t="s">
        <v>394</v>
      </c>
      <c r="O527" t="s">
        <v>395</v>
      </c>
      <c r="T527" t="s">
        <v>58</v>
      </c>
      <c r="U527" t="s">
        <v>53</v>
      </c>
      <c r="V527" t="s">
        <v>43</v>
      </c>
    </row>
    <row r="528" spans="1:22" hidden="1" x14ac:dyDescent="0.2">
      <c r="A528" t="s">
        <v>384</v>
      </c>
      <c r="B528" t="s">
        <v>23</v>
      </c>
      <c r="C528" t="s">
        <v>54</v>
      </c>
      <c r="D528" t="s">
        <v>398</v>
      </c>
      <c r="E528" t="s">
        <v>386</v>
      </c>
      <c r="F528" t="s">
        <v>387</v>
      </c>
      <c r="G528" t="s">
        <v>388</v>
      </c>
      <c r="H528" t="s">
        <v>389</v>
      </c>
      <c r="I528" t="s">
        <v>390</v>
      </c>
      <c r="J528" t="s">
        <v>391</v>
      </c>
      <c r="K528" t="s">
        <v>392</v>
      </c>
      <c r="L528" t="s">
        <v>393</v>
      </c>
      <c r="M528" t="s">
        <v>394</v>
      </c>
      <c r="O528" t="s">
        <v>395</v>
      </c>
      <c r="T528" t="s">
        <v>58</v>
      </c>
      <c r="U528" t="s">
        <v>53</v>
      </c>
      <c r="V528" t="s">
        <v>78</v>
      </c>
    </row>
    <row r="529" spans="1:22" hidden="1" x14ac:dyDescent="0.2">
      <c r="A529" t="s">
        <v>384</v>
      </c>
      <c r="B529" t="s">
        <v>23</v>
      </c>
      <c r="C529" t="s">
        <v>54</v>
      </c>
      <c r="D529" t="s">
        <v>398</v>
      </c>
      <c r="E529" t="s">
        <v>386</v>
      </c>
      <c r="F529" t="s">
        <v>387</v>
      </c>
      <c r="G529" t="s">
        <v>388</v>
      </c>
      <c r="H529" t="s">
        <v>389</v>
      </c>
      <c r="I529" t="s">
        <v>390</v>
      </c>
      <c r="J529" t="s">
        <v>391</v>
      </c>
      <c r="K529" t="s">
        <v>392</v>
      </c>
      <c r="L529" t="s">
        <v>393</v>
      </c>
      <c r="M529" t="s">
        <v>394</v>
      </c>
      <c r="O529" t="s">
        <v>395</v>
      </c>
      <c r="T529" t="s">
        <v>59</v>
      </c>
      <c r="U529" t="s">
        <v>53</v>
      </c>
      <c r="V529" t="s">
        <v>338</v>
      </c>
    </row>
    <row r="530" spans="1:22" hidden="1" x14ac:dyDescent="0.2">
      <c r="A530" t="s">
        <v>384</v>
      </c>
      <c r="B530" t="s">
        <v>23</v>
      </c>
      <c r="C530" t="s">
        <v>54</v>
      </c>
      <c r="D530" t="s">
        <v>398</v>
      </c>
      <c r="E530" t="s">
        <v>386</v>
      </c>
      <c r="F530" t="s">
        <v>387</v>
      </c>
      <c r="G530" t="s">
        <v>388</v>
      </c>
      <c r="H530" t="s">
        <v>389</v>
      </c>
      <c r="I530" t="s">
        <v>390</v>
      </c>
      <c r="J530" t="s">
        <v>391</v>
      </c>
      <c r="K530" t="s">
        <v>392</v>
      </c>
      <c r="L530" t="s">
        <v>393</v>
      </c>
      <c r="M530" t="s">
        <v>394</v>
      </c>
      <c r="O530" t="s">
        <v>395</v>
      </c>
      <c r="T530" t="s">
        <v>59</v>
      </c>
      <c r="U530" t="s">
        <v>53</v>
      </c>
      <c r="V530" t="s">
        <v>396</v>
      </c>
    </row>
    <row r="531" spans="1:22" hidden="1" x14ac:dyDescent="0.2">
      <c r="A531" t="s">
        <v>384</v>
      </c>
      <c r="B531" t="s">
        <v>23</v>
      </c>
      <c r="C531" t="s">
        <v>54</v>
      </c>
      <c r="D531" t="s">
        <v>398</v>
      </c>
      <c r="E531" t="s">
        <v>386</v>
      </c>
      <c r="F531" t="s">
        <v>387</v>
      </c>
      <c r="G531" t="s">
        <v>388</v>
      </c>
      <c r="H531" t="s">
        <v>389</v>
      </c>
      <c r="I531" t="s">
        <v>390</v>
      </c>
      <c r="J531" t="s">
        <v>391</v>
      </c>
      <c r="K531" t="s">
        <v>392</v>
      </c>
      <c r="L531" t="s">
        <v>393</v>
      </c>
      <c r="M531" t="s">
        <v>394</v>
      </c>
      <c r="O531" t="s">
        <v>395</v>
      </c>
      <c r="T531" t="s">
        <v>59</v>
      </c>
      <c r="U531" t="s">
        <v>53</v>
      </c>
      <c r="V531" t="s">
        <v>43</v>
      </c>
    </row>
    <row r="532" spans="1:22" hidden="1" x14ac:dyDescent="0.2">
      <c r="A532" t="s">
        <v>384</v>
      </c>
      <c r="B532" t="s">
        <v>23</v>
      </c>
      <c r="C532" t="s">
        <v>54</v>
      </c>
      <c r="D532" t="s">
        <v>398</v>
      </c>
      <c r="E532" t="s">
        <v>386</v>
      </c>
      <c r="F532" t="s">
        <v>387</v>
      </c>
      <c r="G532" t="s">
        <v>388</v>
      </c>
      <c r="H532" t="s">
        <v>389</v>
      </c>
      <c r="I532" t="s">
        <v>390</v>
      </c>
      <c r="J532" t="s">
        <v>391</v>
      </c>
      <c r="K532" t="s">
        <v>392</v>
      </c>
      <c r="L532" t="s">
        <v>393</v>
      </c>
      <c r="M532" t="s">
        <v>394</v>
      </c>
      <c r="O532" t="s">
        <v>395</v>
      </c>
      <c r="T532" t="s">
        <v>59</v>
      </c>
      <c r="U532" t="s">
        <v>53</v>
      </c>
      <c r="V532" t="s">
        <v>78</v>
      </c>
    </row>
    <row r="533" spans="1:22" hidden="1" x14ac:dyDescent="0.2">
      <c r="A533" t="s">
        <v>384</v>
      </c>
      <c r="B533" t="s">
        <v>23</v>
      </c>
      <c r="C533" t="s">
        <v>54</v>
      </c>
      <c r="D533" t="s">
        <v>398</v>
      </c>
      <c r="E533" t="s">
        <v>386</v>
      </c>
      <c r="F533" t="s">
        <v>387</v>
      </c>
      <c r="G533" t="s">
        <v>388</v>
      </c>
      <c r="H533" t="s">
        <v>389</v>
      </c>
      <c r="I533" t="s">
        <v>390</v>
      </c>
      <c r="J533" t="s">
        <v>391</v>
      </c>
      <c r="K533" t="s">
        <v>392</v>
      </c>
      <c r="L533" t="s">
        <v>393</v>
      </c>
      <c r="M533" t="s">
        <v>394</v>
      </c>
      <c r="O533" t="s">
        <v>395</v>
      </c>
      <c r="T533" t="s">
        <v>60</v>
      </c>
      <c r="U533" t="s">
        <v>53</v>
      </c>
      <c r="V533" t="s">
        <v>338</v>
      </c>
    </row>
    <row r="534" spans="1:22" hidden="1" x14ac:dyDescent="0.2">
      <c r="A534" t="s">
        <v>384</v>
      </c>
      <c r="B534" t="s">
        <v>23</v>
      </c>
      <c r="C534" t="s">
        <v>54</v>
      </c>
      <c r="D534" t="s">
        <v>398</v>
      </c>
      <c r="E534" t="s">
        <v>386</v>
      </c>
      <c r="F534" t="s">
        <v>387</v>
      </c>
      <c r="G534" t="s">
        <v>388</v>
      </c>
      <c r="H534" t="s">
        <v>389</v>
      </c>
      <c r="I534" t="s">
        <v>390</v>
      </c>
      <c r="J534" t="s">
        <v>391</v>
      </c>
      <c r="K534" t="s">
        <v>392</v>
      </c>
      <c r="L534" t="s">
        <v>393</v>
      </c>
      <c r="M534" t="s">
        <v>394</v>
      </c>
      <c r="O534" t="s">
        <v>395</v>
      </c>
      <c r="T534" t="s">
        <v>60</v>
      </c>
      <c r="U534" t="s">
        <v>53</v>
      </c>
      <c r="V534" t="s">
        <v>396</v>
      </c>
    </row>
    <row r="535" spans="1:22" hidden="1" x14ac:dyDescent="0.2">
      <c r="A535" t="s">
        <v>384</v>
      </c>
      <c r="B535" t="s">
        <v>23</v>
      </c>
      <c r="C535" t="s">
        <v>54</v>
      </c>
      <c r="D535" t="s">
        <v>398</v>
      </c>
      <c r="E535" t="s">
        <v>386</v>
      </c>
      <c r="F535" t="s">
        <v>387</v>
      </c>
      <c r="G535" t="s">
        <v>388</v>
      </c>
      <c r="H535" t="s">
        <v>389</v>
      </c>
      <c r="I535" t="s">
        <v>390</v>
      </c>
      <c r="J535" t="s">
        <v>391</v>
      </c>
      <c r="K535" t="s">
        <v>392</v>
      </c>
      <c r="L535" t="s">
        <v>393</v>
      </c>
      <c r="M535" t="s">
        <v>394</v>
      </c>
      <c r="O535" t="s">
        <v>395</v>
      </c>
      <c r="T535" t="s">
        <v>60</v>
      </c>
      <c r="U535" t="s">
        <v>53</v>
      </c>
      <c r="V535" t="s">
        <v>43</v>
      </c>
    </row>
    <row r="536" spans="1:22" hidden="1" x14ac:dyDescent="0.2">
      <c r="A536" t="s">
        <v>384</v>
      </c>
      <c r="B536" t="s">
        <v>23</v>
      </c>
      <c r="C536" t="s">
        <v>54</v>
      </c>
      <c r="D536" t="s">
        <v>398</v>
      </c>
      <c r="E536" t="s">
        <v>386</v>
      </c>
      <c r="F536" t="s">
        <v>387</v>
      </c>
      <c r="G536" t="s">
        <v>388</v>
      </c>
      <c r="H536" t="s">
        <v>389</v>
      </c>
      <c r="I536" t="s">
        <v>390</v>
      </c>
      <c r="J536" t="s">
        <v>391</v>
      </c>
      <c r="K536" t="s">
        <v>392</v>
      </c>
      <c r="L536" t="s">
        <v>393</v>
      </c>
      <c r="M536" t="s">
        <v>394</v>
      </c>
      <c r="O536" t="s">
        <v>395</v>
      </c>
      <c r="T536" t="s">
        <v>60</v>
      </c>
      <c r="U536" t="s">
        <v>53</v>
      </c>
      <c r="V536" t="s">
        <v>78</v>
      </c>
    </row>
    <row r="537" spans="1:22" hidden="1" x14ac:dyDescent="0.2">
      <c r="A537" t="s">
        <v>384</v>
      </c>
      <c r="B537" t="s">
        <v>23</v>
      </c>
      <c r="C537" t="s">
        <v>54</v>
      </c>
      <c r="D537" t="s">
        <v>398</v>
      </c>
      <c r="E537" t="s">
        <v>386</v>
      </c>
      <c r="F537" t="s">
        <v>387</v>
      </c>
      <c r="G537" t="s">
        <v>388</v>
      </c>
      <c r="H537" t="s">
        <v>389</v>
      </c>
      <c r="I537" t="s">
        <v>390</v>
      </c>
      <c r="J537" t="s">
        <v>391</v>
      </c>
      <c r="K537" t="s">
        <v>392</v>
      </c>
      <c r="L537" t="s">
        <v>393</v>
      </c>
      <c r="M537" t="s">
        <v>394</v>
      </c>
      <c r="O537" t="s">
        <v>395</v>
      </c>
      <c r="T537" t="s">
        <v>61</v>
      </c>
      <c r="U537" t="s">
        <v>53</v>
      </c>
      <c r="V537" t="s">
        <v>338</v>
      </c>
    </row>
    <row r="538" spans="1:22" hidden="1" x14ac:dyDescent="0.2">
      <c r="A538" t="s">
        <v>384</v>
      </c>
      <c r="B538" t="s">
        <v>23</v>
      </c>
      <c r="C538" t="s">
        <v>54</v>
      </c>
      <c r="D538" t="s">
        <v>398</v>
      </c>
      <c r="E538" t="s">
        <v>386</v>
      </c>
      <c r="F538" t="s">
        <v>387</v>
      </c>
      <c r="G538" t="s">
        <v>388</v>
      </c>
      <c r="H538" t="s">
        <v>389</v>
      </c>
      <c r="I538" t="s">
        <v>390</v>
      </c>
      <c r="J538" t="s">
        <v>391</v>
      </c>
      <c r="K538" t="s">
        <v>392</v>
      </c>
      <c r="L538" t="s">
        <v>393</v>
      </c>
      <c r="M538" t="s">
        <v>394</v>
      </c>
      <c r="O538" t="s">
        <v>395</v>
      </c>
      <c r="T538" t="s">
        <v>61</v>
      </c>
      <c r="U538" t="s">
        <v>53</v>
      </c>
      <c r="V538" t="s">
        <v>396</v>
      </c>
    </row>
    <row r="539" spans="1:22" hidden="1" x14ac:dyDescent="0.2">
      <c r="A539" t="s">
        <v>384</v>
      </c>
      <c r="B539" t="s">
        <v>23</v>
      </c>
      <c r="C539" t="s">
        <v>54</v>
      </c>
      <c r="D539" t="s">
        <v>398</v>
      </c>
      <c r="E539" t="s">
        <v>386</v>
      </c>
      <c r="F539" t="s">
        <v>387</v>
      </c>
      <c r="G539" t="s">
        <v>388</v>
      </c>
      <c r="H539" t="s">
        <v>389</v>
      </c>
      <c r="I539" t="s">
        <v>390</v>
      </c>
      <c r="J539" t="s">
        <v>391</v>
      </c>
      <c r="K539" t="s">
        <v>392</v>
      </c>
      <c r="L539" t="s">
        <v>393</v>
      </c>
      <c r="M539" t="s">
        <v>394</v>
      </c>
      <c r="O539" t="s">
        <v>395</v>
      </c>
      <c r="T539" t="s">
        <v>61</v>
      </c>
      <c r="U539" t="s">
        <v>53</v>
      </c>
      <c r="V539" t="s">
        <v>43</v>
      </c>
    </row>
    <row r="540" spans="1:22" hidden="1" x14ac:dyDescent="0.2">
      <c r="A540" t="s">
        <v>384</v>
      </c>
      <c r="B540" t="s">
        <v>23</v>
      </c>
      <c r="C540" t="s">
        <v>54</v>
      </c>
      <c r="D540" t="s">
        <v>398</v>
      </c>
      <c r="E540" t="s">
        <v>386</v>
      </c>
      <c r="F540" t="s">
        <v>387</v>
      </c>
      <c r="G540" t="s">
        <v>388</v>
      </c>
      <c r="H540" t="s">
        <v>389</v>
      </c>
      <c r="I540" t="s">
        <v>390</v>
      </c>
      <c r="J540" t="s">
        <v>391</v>
      </c>
      <c r="K540" t="s">
        <v>392</v>
      </c>
      <c r="L540" t="s">
        <v>393</v>
      </c>
      <c r="M540" t="s">
        <v>394</v>
      </c>
      <c r="O540" t="s">
        <v>395</v>
      </c>
      <c r="T540" t="s">
        <v>61</v>
      </c>
      <c r="U540" t="s">
        <v>53</v>
      </c>
      <c r="V540" t="s">
        <v>78</v>
      </c>
    </row>
    <row r="541" spans="1:22" hidden="1" x14ac:dyDescent="0.2">
      <c r="A541" t="s">
        <v>384</v>
      </c>
      <c r="B541" t="s">
        <v>23</v>
      </c>
      <c r="C541" t="s">
        <v>54</v>
      </c>
      <c r="D541" t="s">
        <v>398</v>
      </c>
      <c r="E541" t="s">
        <v>386</v>
      </c>
      <c r="F541" t="s">
        <v>387</v>
      </c>
      <c r="G541" t="s">
        <v>388</v>
      </c>
      <c r="H541" t="s">
        <v>389</v>
      </c>
      <c r="I541" t="s">
        <v>390</v>
      </c>
      <c r="J541" t="s">
        <v>391</v>
      </c>
      <c r="K541" t="s">
        <v>392</v>
      </c>
      <c r="L541" t="s">
        <v>393</v>
      </c>
      <c r="M541" t="s">
        <v>394</v>
      </c>
      <c r="O541" t="s">
        <v>395</v>
      </c>
      <c r="T541" t="s">
        <v>62</v>
      </c>
      <c r="U541" t="s">
        <v>53</v>
      </c>
      <c r="V541" t="s">
        <v>338</v>
      </c>
    </row>
    <row r="542" spans="1:22" hidden="1" x14ac:dyDescent="0.2">
      <c r="A542" t="s">
        <v>384</v>
      </c>
      <c r="B542" t="s">
        <v>23</v>
      </c>
      <c r="C542" t="s">
        <v>54</v>
      </c>
      <c r="D542" t="s">
        <v>398</v>
      </c>
      <c r="E542" t="s">
        <v>386</v>
      </c>
      <c r="F542" t="s">
        <v>387</v>
      </c>
      <c r="G542" t="s">
        <v>388</v>
      </c>
      <c r="H542" t="s">
        <v>389</v>
      </c>
      <c r="I542" t="s">
        <v>390</v>
      </c>
      <c r="J542" t="s">
        <v>391</v>
      </c>
      <c r="K542" t="s">
        <v>392</v>
      </c>
      <c r="L542" t="s">
        <v>393</v>
      </c>
      <c r="M542" t="s">
        <v>394</v>
      </c>
      <c r="O542" t="s">
        <v>395</v>
      </c>
      <c r="T542" t="s">
        <v>62</v>
      </c>
      <c r="U542" t="s">
        <v>53</v>
      </c>
      <c r="V542" t="s">
        <v>396</v>
      </c>
    </row>
    <row r="543" spans="1:22" hidden="1" x14ac:dyDescent="0.2">
      <c r="A543" t="s">
        <v>384</v>
      </c>
      <c r="B543" t="s">
        <v>23</v>
      </c>
      <c r="C543" t="s">
        <v>54</v>
      </c>
      <c r="D543" t="s">
        <v>398</v>
      </c>
      <c r="E543" t="s">
        <v>386</v>
      </c>
      <c r="F543" t="s">
        <v>387</v>
      </c>
      <c r="G543" t="s">
        <v>388</v>
      </c>
      <c r="H543" t="s">
        <v>389</v>
      </c>
      <c r="I543" t="s">
        <v>390</v>
      </c>
      <c r="J543" t="s">
        <v>391</v>
      </c>
      <c r="K543" t="s">
        <v>392</v>
      </c>
      <c r="L543" t="s">
        <v>393</v>
      </c>
      <c r="M543" t="s">
        <v>394</v>
      </c>
      <c r="O543" t="s">
        <v>395</v>
      </c>
      <c r="T543" t="s">
        <v>62</v>
      </c>
      <c r="U543" t="s">
        <v>53</v>
      </c>
      <c r="V543" t="s">
        <v>43</v>
      </c>
    </row>
    <row r="544" spans="1:22" hidden="1" x14ac:dyDescent="0.2">
      <c r="A544" t="s">
        <v>384</v>
      </c>
      <c r="B544" t="s">
        <v>23</v>
      </c>
      <c r="C544" t="s">
        <v>54</v>
      </c>
      <c r="D544" t="s">
        <v>398</v>
      </c>
      <c r="E544" t="s">
        <v>386</v>
      </c>
      <c r="F544" t="s">
        <v>387</v>
      </c>
      <c r="G544" t="s">
        <v>388</v>
      </c>
      <c r="H544" t="s">
        <v>389</v>
      </c>
      <c r="I544" t="s">
        <v>390</v>
      </c>
      <c r="J544" t="s">
        <v>391</v>
      </c>
      <c r="K544" t="s">
        <v>392</v>
      </c>
      <c r="L544" t="s">
        <v>393</v>
      </c>
      <c r="M544" t="s">
        <v>394</v>
      </c>
      <c r="O544" t="s">
        <v>395</v>
      </c>
      <c r="T544" t="s">
        <v>62</v>
      </c>
      <c r="U544" t="s">
        <v>53</v>
      </c>
      <c r="V544" t="s">
        <v>78</v>
      </c>
    </row>
    <row r="545" spans="1:22" hidden="1" x14ac:dyDescent="0.2">
      <c r="A545" t="s">
        <v>399</v>
      </c>
      <c r="B545" t="s">
        <v>23</v>
      </c>
      <c r="C545" t="s">
        <v>400</v>
      </c>
      <c r="D545" t="s">
        <v>25</v>
      </c>
      <c r="E545" t="s">
        <v>401</v>
      </c>
      <c r="F545" t="s">
        <v>25</v>
      </c>
      <c r="G545" t="s">
        <v>25</v>
      </c>
      <c r="H545" t="s">
        <v>402</v>
      </c>
      <c r="I545" t="s">
        <v>25</v>
      </c>
      <c r="J545" t="s">
        <v>25</v>
      </c>
      <c r="K545" t="s">
        <v>25</v>
      </c>
      <c r="N545" t="s">
        <v>25</v>
      </c>
      <c r="T545" t="s">
        <v>403</v>
      </c>
      <c r="U545" t="s">
        <v>25</v>
      </c>
      <c r="V545" t="s">
        <v>25</v>
      </c>
    </row>
    <row r="546" spans="1:22" hidden="1" x14ac:dyDescent="0.2">
      <c r="A546" t="s">
        <v>399</v>
      </c>
      <c r="B546" t="s">
        <v>23</v>
      </c>
      <c r="C546" t="s">
        <v>400</v>
      </c>
      <c r="D546" t="s">
        <v>25</v>
      </c>
      <c r="E546" t="s">
        <v>401</v>
      </c>
      <c r="F546" t="s">
        <v>25</v>
      </c>
      <c r="G546" t="s">
        <v>25</v>
      </c>
      <c r="H546" t="s">
        <v>402</v>
      </c>
      <c r="I546" t="s">
        <v>25</v>
      </c>
      <c r="J546" t="s">
        <v>25</v>
      </c>
      <c r="K546" t="s">
        <v>25</v>
      </c>
      <c r="N546" t="s">
        <v>25</v>
      </c>
      <c r="T546" t="s">
        <v>103</v>
      </c>
      <c r="U546" t="s">
        <v>25</v>
      </c>
      <c r="V546" t="s">
        <v>25</v>
      </c>
    </row>
    <row r="547" spans="1:22" hidden="1" x14ac:dyDescent="0.2">
      <c r="A547" t="s">
        <v>404</v>
      </c>
      <c r="B547" t="s">
        <v>23</v>
      </c>
      <c r="C547" t="s">
        <v>78</v>
      </c>
      <c r="D547" t="s">
        <v>405</v>
      </c>
      <c r="E547" t="s">
        <v>406</v>
      </c>
      <c r="F547" t="s">
        <v>407</v>
      </c>
      <c r="G547" t="s">
        <v>408</v>
      </c>
      <c r="H547" t="s">
        <v>409</v>
      </c>
      <c r="I547" t="s">
        <v>410</v>
      </c>
      <c r="J547" t="s">
        <v>411</v>
      </c>
      <c r="K547" t="s">
        <v>25</v>
      </c>
      <c r="L547" t="s">
        <v>412</v>
      </c>
      <c r="P547" t="s">
        <v>413</v>
      </c>
      <c r="Q547" t="s">
        <v>37</v>
      </c>
      <c r="R547">
        <v>3</v>
      </c>
      <c r="S547" t="s">
        <v>414</v>
      </c>
      <c r="T547" t="s">
        <v>57</v>
      </c>
      <c r="U547" t="s">
        <v>53</v>
      </c>
      <c r="V547" t="s">
        <v>54</v>
      </c>
    </row>
    <row r="548" spans="1:22" hidden="1" x14ac:dyDescent="0.2">
      <c r="A548" t="s">
        <v>404</v>
      </c>
      <c r="B548" t="s">
        <v>23</v>
      </c>
      <c r="C548" t="s">
        <v>78</v>
      </c>
      <c r="D548" t="s">
        <v>405</v>
      </c>
      <c r="E548" t="s">
        <v>406</v>
      </c>
      <c r="F548" t="s">
        <v>407</v>
      </c>
      <c r="G548" t="s">
        <v>408</v>
      </c>
      <c r="H548" t="s">
        <v>409</v>
      </c>
      <c r="I548" t="s">
        <v>410</v>
      </c>
      <c r="J548" t="s">
        <v>411</v>
      </c>
      <c r="K548" t="s">
        <v>25</v>
      </c>
      <c r="L548" t="s">
        <v>412</v>
      </c>
      <c r="P548" t="s">
        <v>413</v>
      </c>
      <c r="Q548" t="s">
        <v>37</v>
      </c>
      <c r="R548">
        <v>3</v>
      </c>
      <c r="S548" t="s">
        <v>414</v>
      </c>
      <c r="T548" t="s">
        <v>57</v>
      </c>
      <c r="U548" t="s">
        <v>53</v>
      </c>
      <c r="V548" t="s">
        <v>77</v>
      </c>
    </row>
    <row r="549" spans="1:22" hidden="1" x14ac:dyDescent="0.2">
      <c r="A549" t="s">
        <v>404</v>
      </c>
      <c r="B549" t="s">
        <v>23</v>
      </c>
      <c r="C549" t="s">
        <v>78</v>
      </c>
      <c r="D549" t="s">
        <v>405</v>
      </c>
      <c r="E549" t="s">
        <v>406</v>
      </c>
      <c r="F549" t="s">
        <v>407</v>
      </c>
      <c r="G549" t="s">
        <v>408</v>
      </c>
      <c r="H549" t="s">
        <v>409</v>
      </c>
      <c r="I549" t="s">
        <v>410</v>
      </c>
      <c r="J549" t="s">
        <v>411</v>
      </c>
      <c r="K549" t="s">
        <v>25</v>
      </c>
      <c r="L549" t="s">
        <v>412</v>
      </c>
      <c r="P549" t="s">
        <v>413</v>
      </c>
      <c r="Q549" t="s">
        <v>37</v>
      </c>
      <c r="R549">
        <v>3</v>
      </c>
      <c r="S549" t="s">
        <v>414</v>
      </c>
      <c r="T549" t="s">
        <v>57</v>
      </c>
      <c r="U549" t="s">
        <v>53</v>
      </c>
      <c r="V549" t="s">
        <v>64</v>
      </c>
    </row>
    <row r="550" spans="1:22" hidden="1" x14ac:dyDescent="0.2">
      <c r="A550" t="s">
        <v>404</v>
      </c>
      <c r="B550" t="s">
        <v>23</v>
      </c>
      <c r="C550" t="s">
        <v>78</v>
      </c>
      <c r="D550" t="s">
        <v>405</v>
      </c>
      <c r="E550" t="s">
        <v>406</v>
      </c>
      <c r="F550" t="s">
        <v>407</v>
      </c>
      <c r="G550" t="s">
        <v>408</v>
      </c>
      <c r="H550" t="s">
        <v>409</v>
      </c>
      <c r="I550" t="s">
        <v>410</v>
      </c>
      <c r="J550" t="s">
        <v>411</v>
      </c>
      <c r="K550" t="s">
        <v>25</v>
      </c>
      <c r="L550" t="s">
        <v>412</v>
      </c>
      <c r="P550" t="s">
        <v>413</v>
      </c>
      <c r="Q550" t="s">
        <v>37</v>
      </c>
      <c r="R550">
        <v>3</v>
      </c>
      <c r="S550" t="s">
        <v>414</v>
      </c>
      <c r="T550" t="s">
        <v>39</v>
      </c>
      <c r="U550" t="s">
        <v>53</v>
      </c>
      <c r="V550" t="s">
        <v>54</v>
      </c>
    </row>
    <row r="551" spans="1:22" hidden="1" x14ac:dyDescent="0.2">
      <c r="A551" t="s">
        <v>404</v>
      </c>
      <c r="B551" t="s">
        <v>23</v>
      </c>
      <c r="C551" t="s">
        <v>78</v>
      </c>
      <c r="D551" t="s">
        <v>405</v>
      </c>
      <c r="E551" t="s">
        <v>406</v>
      </c>
      <c r="F551" t="s">
        <v>407</v>
      </c>
      <c r="G551" t="s">
        <v>408</v>
      </c>
      <c r="H551" t="s">
        <v>409</v>
      </c>
      <c r="I551" t="s">
        <v>410</v>
      </c>
      <c r="J551" t="s">
        <v>411</v>
      </c>
      <c r="K551" t="s">
        <v>25</v>
      </c>
      <c r="L551" t="s">
        <v>412</v>
      </c>
      <c r="P551" t="s">
        <v>413</v>
      </c>
      <c r="Q551" t="s">
        <v>37</v>
      </c>
      <c r="R551">
        <v>3</v>
      </c>
      <c r="S551" t="s">
        <v>414</v>
      </c>
      <c r="T551" t="s">
        <v>39</v>
      </c>
      <c r="U551" t="s">
        <v>53</v>
      </c>
      <c r="V551" t="s">
        <v>77</v>
      </c>
    </row>
    <row r="552" spans="1:22" hidden="1" x14ac:dyDescent="0.2">
      <c r="A552" t="s">
        <v>404</v>
      </c>
      <c r="B552" t="s">
        <v>23</v>
      </c>
      <c r="C552" t="s">
        <v>78</v>
      </c>
      <c r="D552" t="s">
        <v>405</v>
      </c>
      <c r="E552" t="s">
        <v>406</v>
      </c>
      <c r="F552" t="s">
        <v>407</v>
      </c>
      <c r="G552" t="s">
        <v>408</v>
      </c>
      <c r="H552" t="s">
        <v>409</v>
      </c>
      <c r="I552" t="s">
        <v>410</v>
      </c>
      <c r="J552" t="s">
        <v>411</v>
      </c>
      <c r="K552" t="s">
        <v>25</v>
      </c>
      <c r="L552" t="s">
        <v>412</v>
      </c>
      <c r="P552" t="s">
        <v>413</v>
      </c>
      <c r="Q552" t="s">
        <v>37</v>
      </c>
      <c r="R552">
        <v>3</v>
      </c>
      <c r="S552" t="s">
        <v>414</v>
      </c>
      <c r="T552" t="s">
        <v>39</v>
      </c>
      <c r="U552" t="s">
        <v>53</v>
      </c>
      <c r="V552" t="s">
        <v>64</v>
      </c>
    </row>
    <row r="553" spans="1:22" hidden="1" x14ac:dyDescent="0.2">
      <c r="A553" t="s">
        <v>404</v>
      </c>
      <c r="B553" t="s">
        <v>23</v>
      </c>
      <c r="C553" t="s">
        <v>78</v>
      </c>
      <c r="D553" t="s">
        <v>405</v>
      </c>
      <c r="E553" t="s">
        <v>406</v>
      </c>
      <c r="F553" t="s">
        <v>407</v>
      </c>
      <c r="G553" t="s">
        <v>408</v>
      </c>
      <c r="H553" t="s">
        <v>409</v>
      </c>
      <c r="I553" t="s">
        <v>410</v>
      </c>
      <c r="J553" t="s">
        <v>411</v>
      </c>
      <c r="K553" t="s">
        <v>25</v>
      </c>
      <c r="L553" t="s">
        <v>412</v>
      </c>
      <c r="P553" t="s">
        <v>413</v>
      </c>
      <c r="Q553" t="s">
        <v>37</v>
      </c>
      <c r="R553">
        <v>3</v>
      </c>
      <c r="S553" t="s">
        <v>414</v>
      </c>
      <c r="T553" t="s">
        <v>58</v>
      </c>
      <c r="U553" t="s">
        <v>53</v>
      </c>
      <c r="V553" t="s">
        <v>54</v>
      </c>
    </row>
    <row r="554" spans="1:22" hidden="1" x14ac:dyDescent="0.2">
      <c r="A554" t="s">
        <v>404</v>
      </c>
      <c r="B554" t="s">
        <v>23</v>
      </c>
      <c r="C554" t="s">
        <v>78</v>
      </c>
      <c r="D554" t="s">
        <v>405</v>
      </c>
      <c r="E554" t="s">
        <v>406</v>
      </c>
      <c r="F554" t="s">
        <v>407</v>
      </c>
      <c r="G554" t="s">
        <v>408</v>
      </c>
      <c r="H554" t="s">
        <v>409</v>
      </c>
      <c r="I554" t="s">
        <v>410</v>
      </c>
      <c r="J554" t="s">
        <v>411</v>
      </c>
      <c r="K554" t="s">
        <v>25</v>
      </c>
      <c r="L554" t="s">
        <v>412</v>
      </c>
      <c r="P554" t="s">
        <v>413</v>
      </c>
      <c r="Q554" t="s">
        <v>37</v>
      </c>
      <c r="R554">
        <v>3</v>
      </c>
      <c r="S554" t="s">
        <v>414</v>
      </c>
      <c r="T554" t="s">
        <v>58</v>
      </c>
      <c r="U554" t="s">
        <v>53</v>
      </c>
      <c r="V554" t="s">
        <v>77</v>
      </c>
    </row>
    <row r="555" spans="1:22" hidden="1" x14ac:dyDescent="0.2">
      <c r="A555" t="s">
        <v>404</v>
      </c>
      <c r="B555" t="s">
        <v>23</v>
      </c>
      <c r="C555" t="s">
        <v>78</v>
      </c>
      <c r="D555" t="s">
        <v>405</v>
      </c>
      <c r="E555" t="s">
        <v>406</v>
      </c>
      <c r="F555" t="s">
        <v>407</v>
      </c>
      <c r="G555" t="s">
        <v>408</v>
      </c>
      <c r="H555" t="s">
        <v>409</v>
      </c>
      <c r="I555" t="s">
        <v>410</v>
      </c>
      <c r="J555" t="s">
        <v>411</v>
      </c>
      <c r="K555" t="s">
        <v>25</v>
      </c>
      <c r="L555" t="s">
        <v>412</v>
      </c>
      <c r="P555" t="s">
        <v>413</v>
      </c>
      <c r="Q555" t="s">
        <v>37</v>
      </c>
      <c r="R555">
        <v>3</v>
      </c>
      <c r="S555" t="s">
        <v>414</v>
      </c>
      <c r="T555" t="s">
        <v>58</v>
      </c>
      <c r="U555" t="s">
        <v>53</v>
      </c>
      <c r="V555" t="s">
        <v>64</v>
      </c>
    </row>
    <row r="556" spans="1:22" hidden="1" x14ac:dyDescent="0.2">
      <c r="A556" t="s">
        <v>404</v>
      </c>
      <c r="B556" t="s">
        <v>23</v>
      </c>
      <c r="C556" t="s">
        <v>78</v>
      </c>
      <c r="D556" t="s">
        <v>405</v>
      </c>
      <c r="E556" t="s">
        <v>406</v>
      </c>
      <c r="F556" t="s">
        <v>407</v>
      </c>
      <c r="G556" t="s">
        <v>408</v>
      </c>
      <c r="H556" t="s">
        <v>409</v>
      </c>
      <c r="I556" t="s">
        <v>410</v>
      </c>
      <c r="J556" t="s">
        <v>411</v>
      </c>
      <c r="K556" t="s">
        <v>25</v>
      </c>
      <c r="L556" t="s">
        <v>412</v>
      </c>
      <c r="P556" t="s">
        <v>413</v>
      </c>
      <c r="Q556" t="s">
        <v>37</v>
      </c>
      <c r="R556">
        <v>3</v>
      </c>
      <c r="S556" t="s">
        <v>414</v>
      </c>
      <c r="T556" t="s">
        <v>59</v>
      </c>
      <c r="U556" t="s">
        <v>53</v>
      </c>
      <c r="V556" t="s">
        <v>54</v>
      </c>
    </row>
    <row r="557" spans="1:22" hidden="1" x14ac:dyDescent="0.2">
      <c r="A557" t="s">
        <v>404</v>
      </c>
      <c r="B557" t="s">
        <v>23</v>
      </c>
      <c r="C557" t="s">
        <v>78</v>
      </c>
      <c r="D557" t="s">
        <v>405</v>
      </c>
      <c r="E557" t="s">
        <v>406</v>
      </c>
      <c r="F557" t="s">
        <v>407</v>
      </c>
      <c r="G557" t="s">
        <v>408</v>
      </c>
      <c r="H557" t="s">
        <v>409</v>
      </c>
      <c r="I557" t="s">
        <v>410</v>
      </c>
      <c r="J557" t="s">
        <v>411</v>
      </c>
      <c r="K557" t="s">
        <v>25</v>
      </c>
      <c r="L557" t="s">
        <v>412</v>
      </c>
      <c r="P557" t="s">
        <v>413</v>
      </c>
      <c r="Q557" t="s">
        <v>37</v>
      </c>
      <c r="R557">
        <v>3</v>
      </c>
      <c r="S557" t="s">
        <v>414</v>
      </c>
      <c r="T557" t="s">
        <v>59</v>
      </c>
      <c r="U557" t="s">
        <v>53</v>
      </c>
      <c r="V557" t="s">
        <v>77</v>
      </c>
    </row>
    <row r="558" spans="1:22" hidden="1" x14ac:dyDescent="0.2">
      <c r="A558" t="s">
        <v>404</v>
      </c>
      <c r="B558" t="s">
        <v>23</v>
      </c>
      <c r="C558" t="s">
        <v>78</v>
      </c>
      <c r="D558" t="s">
        <v>405</v>
      </c>
      <c r="E558" t="s">
        <v>406</v>
      </c>
      <c r="F558" t="s">
        <v>407</v>
      </c>
      <c r="G558" t="s">
        <v>408</v>
      </c>
      <c r="H558" t="s">
        <v>409</v>
      </c>
      <c r="I558" t="s">
        <v>410</v>
      </c>
      <c r="J558" t="s">
        <v>411</v>
      </c>
      <c r="K558" t="s">
        <v>25</v>
      </c>
      <c r="L558" t="s">
        <v>412</v>
      </c>
      <c r="P558" t="s">
        <v>413</v>
      </c>
      <c r="Q558" t="s">
        <v>37</v>
      </c>
      <c r="R558">
        <v>3</v>
      </c>
      <c r="S558" t="s">
        <v>414</v>
      </c>
      <c r="T558" t="s">
        <v>59</v>
      </c>
      <c r="U558" t="s">
        <v>53</v>
      </c>
      <c r="V558" t="s">
        <v>64</v>
      </c>
    </row>
    <row r="559" spans="1:22" hidden="1" x14ac:dyDescent="0.2">
      <c r="A559" t="s">
        <v>404</v>
      </c>
      <c r="B559" t="s">
        <v>23</v>
      </c>
      <c r="C559" t="s">
        <v>78</v>
      </c>
      <c r="D559" t="s">
        <v>405</v>
      </c>
      <c r="E559" t="s">
        <v>406</v>
      </c>
      <c r="F559" t="s">
        <v>407</v>
      </c>
      <c r="G559" t="s">
        <v>408</v>
      </c>
      <c r="H559" t="s">
        <v>409</v>
      </c>
      <c r="I559" t="s">
        <v>410</v>
      </c>
      <c r="J559" t="s">
        <v>411</v>
      </c>
      <c r="K559" t="s">
        <v>25</v>
      </c>
      <c r="L559" t="s">
        <v>412</v>
      </c>
      <c r="P559" t="s">
        <v>413</v>
      </c>
      <c r="Q559" t="s">
        <v>37</v>
      </c>
      <c r="R559">
        <v>3</v>
      </c>
      <c r="S559" t="s">
        <v>414</v>
      </c>
      <c r="T559" t="s">
        <v>60</v>
      </c>
      <c r="U559" t="s">
        <v>53</v>
      </c>
      <c r="V559" t="s">
        <v>54</v>
      </c>
    </row>
    <row r="560" spans="1:22" hidden="1" x14ac:dyDescent="0.2">
      <c r="A560" t="s">
        <v>404</v>
      </c>
      <c r="B560" t="s">
        <v>23</v>
      </c>
      <c r="C560" t="s">
        <v>78</v>
      </c>
      <c r="D560" t="s">
        <v>405</v>
      </c>
      <c r="E560" t="s">
        <v>406</v>
      </c>
      <c r="F560" t="s">
        <v>407</v>
      </c>
      <c r="G560" t="s">
        <v>408</v>
      </c>
      <c r="H560" t="s">
        <v>409</v>
      </c>
      <c r="I560" t="s">
        <v>410</v>
      </c>
      <c r="J560" t="s">
        <v>411</v>
      </c>
      <c r="K560" t="s">
        <v>25</v>
      </c>
      <c r="L560" t="s">
        <v>412</v>
      </c>
      <c r="P560" t="s">
        <v>413</v>
      </c>
      <c r="Q560" t="s">
        <v>37</v>
      </c>
      <c r="R560">
        <v>3</v>
      </c>
      <c r="S560" t="s">
        <v>414</v>
      </c>
      <c r="T560" t="s">
        <v>60</v>
      </c>
      <c r="U560" t="s">
        <v>53</v>
      </c>
      <c r="V560" t="s">
        <v>77</v>
      </c>
    </row>
    <row r="561" spans="1:22" hidden="1" x14ac:dyDescent="0.2">
      <c r="A561" t="s">
        <v>404</v>
      </c>
      <c r="B561" t="s">
        <v>23</v>
      </c>
      <c r="C561" t="s">
        <v>78</v>
      </c>
      <c r="D561" t="s">
        <v>405</v>
      </c>
      <c r="E561" t="s">
        <v>406</v>
      </c>
      <c r="F561" t="s">
        <v>407</v>
      </c>
      <c r="G561" t="s">
        <v>408</v>
      </c>
      <c r="H561" t="s">
        <v>409</v>
      </c>
      <c r="I561" t="s">
        <v>410</v>
      </c>
      <c r="J561" t="s">
        <v>411</v>
      </c>
      <c r="K561" t="s">
        <v>25</v>
      </c>
      <c r="L561" t="s">
        <v>412</v>
      </c>
      <c r="P561" t="s">
        <v>413</v>
      </c>
      <c r="Q561" t="s">
        <v>37</v>
      </c>
      <c r="R561">
        <v>3</v>
      </c>
      <c r="S561" t="s">
        <v>414</v>
      </c>
      <c r="T561" t="s">
        <v>60</v>
      </c>
      <c r="U561" t="s">
        <v>53</v>
      </c>
      <c r="V561" t="s">
        <v>64</v>
      </c>
    </row>
    <row r="562" spans="1:22" hidden="1" x14ac:dyDescent="0.2">
      <c r="A562" t="s">
        <v>404</v>
      </c>
      <c r="B562" t="s">
        <v>23</v>
      </c>
      <c r="C562" t="s">
        <v>78</v>
      </c>
      <c r="D562" t="s">
        <v>405</v>
      </c>
      <c r="E562" t="s">
        <v>406</v>
      </c>
      <c r="F562" t="s">
        <v>407</v>
      </c>
      <c r="G562" t="s">
        <v>408</v>
      </c>
      <c r="H562" t="s">
        <v>409</v>
      </c>
      <c r="I562" t="s">
        <v>410</v>
      </c>
      <c r="J562" t="s">
        <v>411</v>
      </c>
      <c r="K562" t="s">
        <v>25</v>
      </c>
      <c r="L562" t="s">
        <v>412</v>
      </c>
      <c r="P562" t="s">
        <v>413</v>
      </c>
      <c r="Q562" t="s">
        <v>37</v>
      </c>
      <c r="R562">
        <v>3</v>
      </c>
      <c r="S562" t="s">
        <v>414</v>
      </c>
      <c r="T562" t="s">
        <v>95</v>
      </c>
      <c r="U562" t="s">
        <v>53</v>
      </c>
      <c r="V562" t="s">
        <v>54</v>
      </c>
    </row>
    <row r="563" spans="1:22" hidden="1" x14ac:dyDescent="0.2">
      <c r="A563" t="s">
        <v>404</v>
      </c>
      <c r="B563" t="s">
        <v>23</v>
      </c>
      <c r="C563" t="s">
        <v>78</v>
      </c>
      <c r="D563" t="s">
        <v>405</v>
      </c>
      <c r="E563" t="s">
        <v>406</v>
      </c>
      <c r="F563" t="s">
        <v>407</v>
      </c>
      <c r="G563" t="s">
        <v>408</v>
      </c>
      <c r="H563" t="s">
        <v>409</v>
      </c>
      <c r="I563" t="s">
        <v>410</v>
      </c>
      <c r="J563" t="s">
        <v>411</v>
      </c>
      <c r="K563" t="s">
        <v>25</v>
      </c>
      <c r="L563" t="s">
        <v>412</v>
      </c>
      <c r="P563" t="s">
        <v>413</v>
      </c>
      <c r="Q563" t="s">
        <v>37</v>
      </c>
      <c r="R563">
        <v>3</v>
      </c>
      <c r="S563" t="s">
        <v>414</v>
      </c>
      <c r="T563" t="s">
        <v>95</v>
      </c>
      <c r="U563" t="s">
        <v>53</v>
      </c>
      <c r="V563" t="s">
        <v>77</v>
      </c>
    </row>
    <row r="564" spans="1:22" hidden="1" x14ac:dyDescent="0.2">
      <c r="A564" t="s">
        <v>404</v>
      </c>
      <c r="B564" t="s">
        <v>23</v>
      </c>
      <c r="C564" t="s">
        <v>78</v>
      </c>
      <c r="D564" t="s">
        <v>405</v>
      </c>
      <c r="E564" t="s">
        <v>406</v>
      </c>
      <c r="F564" t="s">
        <v>407</v>
      </c>
      <c r="G564" t="s">
        <v>408</v>
      </c>
      <c r="H564" t="s">
        <v>409</v>
      </c>
      <c r="I564" t="s">
        <v>410</v>
      </c>
      <c r="J564" t="s">
        <v>411</v>
      </c>
      <c r="K564" t="s">
        <v>25</v>
      </c>
      <c r="L564" t="s">
        <v>412</v>
      </c>
      <c r="P564" t="s">
        <v>413</v>
      </c>
      <c r="Q564" t="s">
        <v>37</v>
      </c>
      <c r="R564">
        <v>3</v>
      </c>
      <c r="S564" t="s">
        <v>414</v>
      </c>
      <c r="T564" t="s">
        <v>95</v>
      </c>
      <c r="U564" t="s">
        <v>53</v>
      </c>
      <c r="V564" t="s">
        <v>64</v>
      </c>
    </row>
    <row r="565" spans="1:22" hidden="1" x14ac:dyDescent="0.2">
      <c r="A565" t="s">
        <v>404</v>
      </c>
      <c r="B565" t="s">
        <v>23</v>
      </c>
      <c r="C565" t="s">
        <v>78</v>
      </c>
      <c r="D565" t="s">
        <v>405</v>
      </c>
      <c r="E565" t="s">
        <v>406</v>
      </c>
      <c r="F565" t="s">
        <v>407</v>
      </c>
      <c r="G565" t="s">
        <v>408</v>
      </c>
      <c r="H565" t="s">
        <v>409</v>
      </c>
      <c r="I565" t="s">
        <v>410</v>
      </c>
      <c r="J565" t="s">
        <v>411</v>
      </c>
      <c r="K565" t="s">
        <v>25</v>
      </c>
      <c r="L565" t="s">
        <v>412</v>
      </c>
      <c r="P565" t="s">
        <v>413</v>
      </c>
      <c r="Q565" t="s">
        <v>37</v>
      </c>
      <c r="R565">
        <v>3</v>
      </c>
      <c r="S565" t="s">
        <v>414</v>
      </c>
      <c r="T565" t="s">
        <v>79</v>
      </c>
      <c r="U565" t="s">
        <v>53</v>
      </c>
      <c r="V565" t="s">
        <v>54</v>
      </c>
    </row>
    <row r="566" spans="1:22" hidden="1" x14ac:dyDescent="0.2">
      <c r="A566" t="s">
        <v>404</v>
      </c>
      <c r="B566" t="s">
        <v>23</v>
      </c>
      <c r="C566" t="s">
        <v>78</v>
      </c>
      <c r="D566" t="s">
        <v>405</v>
      </c>
      <c r="E566" t="s">
        <v>406</v>
      </c>
      <c r="F566" t="s">
        <v>407</v>
      </c>
      <c r="G566" t="s">
        <v>408</v>
      </c>
      <c r="H566" t="s">
        <v>409</v>
      </c>
      <c r="I566" t="s">
        <v>410</v>
      </c>
      <c r="J566" t="s">
        <v>411</v>
      </c>
      <c r="K566" t="s">
        <v>25</v>
      </c>
      <c r="L566" t="s">
        <v>412</v>
      </c>
      <c r="P566" t="s">
        <v>413</v>
      </c>
      <c r="Q566" t="s">
        <v>37</v>
      </c>
      <c r="R566">
        <v>3</v>
      </c>
      <c r="S566" t="s">
        <v>414</v>
      </c>
      <c r="T566" t="s">
        <v>79</v>
      </c>
      <c r="U566" t="s">
        <v>53</v>
      </c>
      <c r="V566" t="s">
        <v>77</v>
      </c>
    </row>
    <row r="567" spans="1:22" hidden="1" x14ac:dyDescent="0.2">
      <c r="A567" t="s">
        <v>404</v>
      </c>
      <c r="B567" t="s">
        <v>23</v>
      </c>
      <c r="C567" t="s">
        <v>78</v>
      </c>
      <c r="D567" t="s">
        <v>405</v>
      </c>
      <c r="E567" t="s">
        <v>406</v>
      </c>
      <c r="F567" t="s">
        <v>407</v>
      </c>
      <c r="G567" t="s">
        <v>408</v>
      </c>
      <c r="H567" t="s">
        <v>409</v>
      </c>
      <c r="I567" t="s">
        <v>410</v>
      </c>
      <c r="J567" t="s">
        <v>411</v>
      </c>
      <c r="K567" t="s">
        <v>25</v>
      </c>
      <c r="L567" t="s">
        <v>412</v>
      </c>
      <c r="P567" t="s">
        <v>413</v>
      </c>
      <c r="Q567" t="s">
        <v>37</v>
      </c>
      <c r="R567">
        <v>3</v>
      </c>
      <c r="S567" t="s">
        <v>414</v>
      </c>
      <c r="T567" t="s">
        <v>79</v>
      </c>
      <c r="U567" t="s">
        <v>53</v>
      </c>
      <c r="V567" t="s">
        <v>64</v>
      </c>
    </row>
    <row r="568" spans="1:22" hidden="1" x14ac:dyDescent="0.2">
      <c r="A568" t="s">
        <v>404</v>
      </c>
      <c r="B568" t="s">
        <v>23</v>
      </c>
      <c r="C568" t="s">
        <v>78</v>
      </c>
      <c r="D568" t="s">
        <v>405</v>
      </c>
      <c r="E568" t="s">
        <v>406</v>
      </c>
      <c r="F568" t="s">
        <v>407</v>
      </c>
      <c r="G568" t="s">
        <v>408</v>
      </c>
      <c r="H568" t="s">
        <v>409</v>
      </c>
      <c r="I568" t="s">
        <v>410</v>
      </c>
      <c r="J568" t="s">
        <v>411</v>
      </c>
      <c r="K568" t="s">
        <v>25</v>
      </c>
      <c r="L568" t="s">
        <v>412</v>
      </c>
      <c r="P568" t="s">
        <v>413</v>
      </c>
      <c r="Q568" t="s">
        <v>37</v>
      </c>
      <c r="R568">
        <v>3</v>
      </c>
      <c r="S568" t="s">
        <v>414</v>
      </c>
      <c r="T568" t="s">
        <v>61</v>
      </c>
      <c r="U568" t="s">
        <v>53</v>
      </c>
      <c r="V568" t="s">
        <v>54</v>
      </c>
    </row>
    <row r="569" spans="1:22" hidden="1" x14ac:dyDescent="0.2">
      <c r="A569" t="s">
        <v>404</v>
      </c>
      <c r="B569" t="s">
        <v>23</v>
      </c>
      <c r="C569" t="s">
        <v>78</v>
      </c>
      <c r="D569" t="s">
        <v>405</v>
      </c>
      <c r="E569" t="s">
        <v>406</v>
      </c>
      <c r="F569" t="s">
        <v>407</v>
      </c>
      <c r="G569" t="s">
        <v>408</v>
      </c>
      <c r="H569" t="s">
        <v>409</v>
      </c>
      <c r="I569" t="s">
        <v>410</v>
      </c>
      <c r="J569" t="s">
        <v>411</v>
      </c>
      <c r="K569" t="s">
        <v>25</v>
      </c>
      <c r="L569" t="s">
        <v>412</v>
      </c>
      <c r="P569" t="s">
        <v>413</v>
      </c>
      <c r="Q569" t="s">
        <v>37</v>
      </c>
      <c r="R569">
        <v>3</v>
      </c>
      <c r="S569" t="s">
        <v>414</v>
      </c>
      <c r="T569" t="s">
        <v>61</v>
      </c>
      <c r="U569" t="s">
        <v>53</v>
      </c>
      <c r="V569" t="s">
        <v>77</v>
      </c>
    </row>
    <row r="570" spans="1:22" hidden="1" x14ac:dyDescent="0.2">
      <c r="A570" t="s">
        <v>404</v>
      </c>
      <c r="B570" t="s">
        <v>23</v>
      </c>
      <c r="C570" t="s">
        <v>78</v>
      </c>
      <c r="D570" t="s">
        <v>405</v>
      </c>
      <c r="E570" t="s">
        <v>406</v>
      </c>
      <c r="F570" t="s">
        <v>407</v>
      </c>
      <c r="G570" t="s">
        <v>408</v>
      </c>
      <c r="H570" t="s">
        <v>409</v>
      </c>
      <c r="I570" t="s">
        <v>410</v>
      </c>
      <c r="J570" t="s">
        <v>411</v>
      </c>
      <c r="K570" t="s">
        <v>25</v>
      </c>
      <c r="L570" t="s">
        <v>412</v>
      </c>
      <c r="P570" t="s">
        <v>413</v>
      </c>
      <c r="Q570" t="s">
        <v>37</v>
      </c>
      <c r="R570">
        <v>3</v>
      </c>
      <c r="S570" t="s">
        <v>414</v>
      </c>
      <c r="T570" t="s">
        <v>61</v>
      </c>
      <c r="U570" t="s">
        <v>53</v>
      </c>
      <c r="V570" t="s">
        <v>64</v>
      </c>
    </row>
    <row r="571" spans="1:22" hidden="1" x14ac:dyDescent="0.2">
      <c r="A571" t="s">
        <v>404</v>
      </c>
      <c r="B571" t="s">
        <v>23</v>
      </c>
      <c r="C571" t="s">
        <v>78</v>
      </c>
      <c r="D571" t="s">
        <v>405</v>
      </c>
      <c r="E571" t="s">
        <v>406</v>
      </c>
      <c r="F571" t="s">
        <v>407</v>
      </c>
      <c r="G571" t="s">
        <v>408</v>
      </c>
      <c r="H571" t="s">
        <v>409</v>
      </c>
      <c r="I571" t="s">
        <v>410</v>
      </c>
      <c r="J571" t="s">
        <v>411</v>
      </c>
      <c r="K571" t="s">
        <v>25</v>
      </c>
      <c r="L571" t="s">
        <v>412</v>
      </c>
      <c r="P571" t="s">
        <v>413</v>
      </c>
      <c r="Q571" t="s">
        <v>37</v>
      </c>
      <c r="R571">
        <v>3</v>
      </c>
      <c r="S571" t="s">
        <v>414</v>
      </c>
      <c r="T571" t="s">
        <v>62</v>
      </c>
      <c r="U571" t="s">
        <v>53</v>
      </c>
      <c r="V571" t="s">
        <v>54</v>
      </c>
    </row>
    <row r="572" spans="1:22" hidden="1" x14ac:dyDescent="0.2">
      <c r="A572" t="s">
        <v>404</v>
      </c>
      <c r="B572" t="s">
        <v>23</v>
      </c>
      <c r="C572" t="s">
        <v>78</v>
      </c>
      <c r="D572" t="s">
        <v>405</v>
      </c>
      <c r="E572" t="s">
        <v>406</v>
      </c>
      <c r="F572" t="s">
        <v>407</v>
      </c>
      <c r="G572" t="s">
        <v>408</v>
      </c>
      <c r="H572" t="s">
        <v>409</v>
      </c>
      <c r="I572" t="s">
        <v>410</v>
      </c>
      <c r="J572" t="s">
        <v>411</v>
      </c>
      <c r="K572" t="s">
        <v>25</v>
      </c>
      <c r="L572" t="s">
        <v>412</v>
      </c>
      <c r="P572" t="s">
        <v>413</v>
      </c>
      <c r="Q572" t="s">
        <v>37</v>
      </c>
      <c r="R572">
        <v>3</v>
      </c>
      <c r="S572" t="s">
        <v>414</v>
      </c>
      <c r="T572" t="s">
        <v>62</v>
      </c>
      <c r="U572" t="s">
        <v>53</v>
      </c>
      <c r="V572" t="s">
        <v>77</v>
      </c>
    </row>
    <row r="573" spans="1:22" hidden="1" x14ac:dyDescent="0.2">
      <c r="A573" t="s">
        <v>404</v>
      </c>
      <c r="B573" t="s">
        <v>23</v>
      </c>
      <c r="C573" t="s">
        <v>78</v>
      </c>
      <c r="D573" t="s">
        <v>405</v>
      </c>
      <c r="E573" t="s">
        <v>406</v>
      </c>
      <c r="F573" t="s">
        <v>407</v>
      </c>
      <c r="G573" t="s">
        <v>408</v>
      </c>
      <c r="H573" t="s">
        <v>409</v>
      </c>
      <c r="I573" t="s">
        <v>410</v>
      </c>
      <c r="J573" t="s">
        <v>411</v>
      </c>
      <c r="K573" t="s">
        <v>25</v>
      </c>
      <c r="L573" t="s">
        <v>412</v>
      </c>
      <c r="P573" t="s">
        <v>413</v>
      </c>
      <c r="Q573" t="s">
        <v>37</v>
      </c>
      <c r="R573">
        <v>3</v>
      </c>
      <c r="S573" t="s">
        <v>414</v>
      </c>
      <c r="T573" t="s">
        <v>62</v>
      </c>
      <c r="U573" t="s">
        <v>53</v>
      </c>
      <c r="V573" t="s">
        <v>64</v>
      </c>
    </row>
    <row r="574" spans="1:22" hidden="1" x14ac:dyDescent="0.2">
      <c r="A574" t="s">
        <v>404</v>
      </c>
      <c r="B574" t="s">
        <v>23</v>
      </c>
      <c r="C574" t="s">
        <v>78</v>
      </c>
      <c r="D574" t="s">
        <v>405</v>
      </c>
      <c r="E574" t="s">
        <v>406</v>
      </c>
      <c r="F574" t="s">
        <v>407</v>
      </c>
      <c r="G574" t="s">
        <v>408</v>
      </c>
      <c r="H574" t="s">
        <v>409</v>
      </c>
      <c r="I574" t="s">
        <v>410</v>
      </c>
      <c r="J574" t="s">
        <v>411</v>
      </c>
      <c r="K574" t="s">
        <v>25</v>
      </c>
      <c r="L574" t="s">
        <v>412</v>
      </c>
      <c r="P574" t="s">
        <v>413</v>
      </c>
      <c r="Q574" t="s">
        <v>37</v>
      </c>
      <c r="R574">
        <v>3</v>
      </c>
      <c r="S574" t="s">
        <v>414</v>
      </c>
      <c r="T574" t="s">
        <v>80</v>
      </c>
      <c r="U574" t="s">
        <v>53</v>
      </c>
      <c r="V574" t="s">
        <v>54</v>
      </c>
    </row>
    <row r="575" spans="1:22" hidden="1" x14ac:dyDescent="0.2">
      <c r="A575" t="s">
        <v>404</v>
      </c>
      <c r="B575" t="s">
        <v>23</v>
      </c>
      <c r="C575" t="s">
        <v>78</v>
      </c>
      <c r="D575" t="s">
        <v>405</v>
      </c>
      <c r="E575" t="s">
        <v>406</v>
      </c>
      <c r="F575" t="s">
        <v>407</v>
      </c>
      <c r="G575" t="s">
        <v>408</v>
      </c>
      <c r="H575" t="s">
        <v>409</v>
      </c>
      <c r="I575" t="s">
        <v>410</v>
      </c>
      <c r="J575" t="s">
        <v>411</v>
      </c>
      <c r="K575" t="s">
        <v>25</v>
      </c>
      <c r="L575" t="s">
        <v>412</v>
      </c>
      <c r="P575" t="s">
        <v>413</v>
      </c>
      <c r="Q575" t="s">
        <v>37</v>
      </c>
      <c r="R575">
        <v>3</v>
      </c>
      <c r="S575" t="s">
        <v>414</v>
      </c>
      <c r="T575" t="s">
        <v>80</v>
      </c>
      <c r="U575" t="s">
        <v>53</v>
      </c>
      <c r="V575" t="s">
        <v>77</v>
      </c>
    </row>
    <row r="576" spans="1:22" hidden="1" x14ac:dyDescent="0.2">
      <c r="A576" t="s">
        <v>404</v>
      </c>
      <c r="B576" t="s">
        <v>23</v>
      </c>
      <c r="C576" t="s">
        <v>78</v>
      </c>
      <c r="D576" t="s">
        <v>405</v>
      </c>
      <c r="E576" t="s">
        <v>406</v>
      </c>
      <c r="F576" t="s">
        <v>407</v>
      </c>
      <c r="G576" t="s">
        <v>408</v>
      </c>
      <c r="H576" t="s">
        <v>409</v>
      </c>
      <c r="I576" t="s">
        <v>410</v>
      </c>
      <c r="J576" t="s">
        <v>411</v>
      </c>
      <c r="K576" t="s">
        <v>25</v>
      </c>
      <c r="L576" t="s">
        <v>412</v>
      </c>
      <c r="P576" t="s">
        <v>413</v>
      </c>
      <c r="Q576" t="s">
        <v>37</v>
      </c>
      <c r="R576">
        <v>3</v>
      </c>
      <c r="S576" t="s">
        <v>414</v>
      </c>
      <c r="T576" t="s">
        <v>80</v>
      </c>
      <c r="U576" t="s">
        <v>53</v>
      </c>
      <c r="V576" t="s">
        <v>64</v>
      </c>
    </row>
    <row r="577" spans="1:22" hidden="1" x14ac:dyDescent="0.2">
      <c r="A577" t="s">
        <v>404</v>
      </c>
      <c r="B577" t="s">
        <v>23</v>
      </c>
      <c r="C577" t="s">
        <v>78</v>
      </c>
      <c r="D577" t="s">
        <v>415</v>
      </c>
      <c r="E577" t="s">
        <v>406</v>
      </c>
      <c r="F577" t="s">
        <v>407</v>
      </c>
      <c r="G577" t="s">
        <v>408</v>
      </c>
      <c r="H577" t="s">
        <v>409</v>
      </c>
      <c r="I577" t="s">
        <v>410</v>
      </c>
      <c r="J577" t="s">
        <v>411</v>
      </c>
      <c r="K577" t="s">
        <v>25</v>
      </c>
      <c r="L577" t="s">
        <v>412</v>
      </c>
      <c r="P577" t="s">
        <v>413</v>
      </c>
      <c r="Q577" t="s">
        <v>37</v>
      </c>
      <c r="R577">
        <v>3</v>
      </c>
      <c r="S577" t="s">
        <v>414</v>
      </c>
      <c r="T577" t="s">
        <v>57</v>
      </c>
      <c r="U577" t="s">
        <v>53</v>
      </c>
      <c r="V577" t="s">
        <v>54</v>
      </c>
    </row>
    <row r="578" spans="1:22" hidden="1" x14ac:dyDescent="0.2">
      <c r="A578" t="s">
        <v>404</v>
      </c>
      <c r="B578" t="s">
        <v>23</v>
      </c>
      <c r="C578" t="s">
        <v>78</v>
      </c>
      <c r="D578" t="s">
        <v>415</v>
      </c>
      <c r="E578" t="s">
        <v>406</v>
      </c>
      <c r="F578" t="s">
        <v>407</v>
      </c>
      <c r="G578" t="s">
        <v>408</v>
      </c>
      <c r="H578" t="s">
        <v>409</v>
      </c>
      <c r="I578" t="s">
        <v>410</v>
      </c>
      <c r="J578" t="s">
        <v>411</v>
      </c>
      <c r="K578" t="s">
        <v>25</v>
      </c>
      <c r="L578" t="s">
        <v>412</v>
      </c>
      <c r="P578" t="s">
        <v>413</v>
      </c>
      <c r="Q578" t="s">
        <v>37</v>
      </c>
      <c r="R578">
        <v>3</v>
      </c>
      <c r="S578" t="s">
        <v>414</v>
      </c>
      <c r="T578" t="s">
        <v>57</v>
      </c>
      <c r="U578" t="s">
        <v>53</v>
      </c>
      <c r="V578" t="s">
        <v>77</v>
      </c>
    </row>
    <row r="579" spans="1:22" hidden="1" x14ac:dyDescent="0.2">
      <c r="A579" t="s">
        <v>404</v>
      </c>
      <c r="B579" t="s">
        <v>23</v>
      </c>
      <c r="C579" t="s">
        <v>78</v>
      </c>
      <c r="D579" t="s">
        <v>415</v>
      </c>
      <c r="E579" t="s">
        <v>406</v>
      </c>
      <c r="F579" t="s">
        <v>407</v>
      </c>
      <c r="G579" t="s">
        <v>408</v>
      </c>
      <c r="H579" t="s">
        <v>409</v>
      </c>
      <c r="I579" t="s">
        <v>410</v>
      </c>
      <c r="J579" t="s">
        <v>411</v>
      </c>
      <c r="K579" t="s">
        <v>25</v>
      </c>
      <c r="L579" t="s">
        <v>412</v>
      </c>
      <c r="P579" t="s">
        <v>413</v>
      </c>
      <c r="Q579" t="s">
        <v>37</v>
      </c>
      <c r="R579">
        <v>3</v>
      </c>
      <c r="S579" t="s">
        <v>414</v>
      </c>
      <c r="T579" t="s">
        <v>57</v>
      </c>
      <c r="U579" t="s">
        <v>53</v>
      </c>
      <c r="V579" t="s">
        <v>64</v>
      </c>
    </row>
    <row r="580" spans="1:22" hidden="1" x14ac:dyDescent="0.2">
      <c r="A580" t="s">
        <v>404</v>
      </c>
      <c r="B580" t="s">
        <v>23</v>
      </c>
      <c r="C580" t="s">
        <v>78</v>
      </c>
      <c r="D580" t="s">
        <v>415</v>
      </c>
      <c r="E580" t="s">
        <v>406</v>
      </c>
      <c r="F580" t="s">
        <v>407</v>
      </c>
      <c r="G580" t="s">
        <v>408</v>
      </c>
      <c r="H580" t="s">
        <v>409</v>
      </c>
      <c r="I580" t="s">
        <v>410</v>
      </c>
      <c r="J580" t="s">
        <v>411</v>
      </c>
      <c r="K580" t="s">
        <v>25</v>
      </c>
      <c r="L580" t="s">
        <v>412</v>
      </c>
      <c r="P580" t="s">
        <v>413</v>
      </c>
      <c r="Q580" t="s">
        <v>37</v>
      </c>
      <c r="R580">
        <v>3</v>
      </c>
      <c r="S580" t="s">
        <v>414</v>
      </c>
      <c r="T580" t="s">
        <v>39</v>
      </c>
      <c r="U580" t="s">
        <v>53</v>
      </c>
      <c r="V580" t="s">
        <v>54</v>
      </c>
    </row>
    <row r="581" spans="1:22" hidden="1" x14ac:dyDescent="0.2">
      <c r="A581" t="s">
        <v>404</v>
      </c>
      <c r="B581" t="s">
        <v>23</v>
      </c>
      <c r="C581" t="s">
        <v>78</v>
      </c>
      <c r="D581" t="s">
        <v>415</v>
      </c>
      <c r="E581" t="s">
        <v>406</v>
      </c>
      <c r="F581" t="s">
        <v>407</v>
      </c>
      <c r="G581" t="s">
        <v>408</v>
      </c>
      <c r="H581" t="s">
        <v>409</v>
      </c>
      <c r="I581" t="s">
        <v>410</v>
      </c>
      <c r="J581" t="s">
        <v>411</v>
      </c>
      <c r="K581" t="s">
        <v>25</v>
      </c>
      <c r="L581" t="s">
        <v>412</v>
      </c>
      <c r="P581" t="s">
        <v>413</v>
      </c>
      <c r="Q581" t="s">
        <v>37</v>
      </c>
      <c r="R581">
        <v>3</v>
      </c>
      <c r="S581" t="s">
        <v>414</v>
      </c>
      <c r="T581" t="s">
        <v>39</v>
      </c>
      <c r="U581" t="s">
        <v>53</v>
      </c>
      <c r="V581" t="s">
        <v>77</v>
      </c>
    </row>
    <row r="582" spans="1:22" hidden="1" x14ac:dyDescent="0.2">
      <c r="A582" t="s">
        <v>404</v>
      </c>
      <c r="B582" t="s">
        <v>23</v>
      </c>
      <c r="C582" t="s">
        <v>78</v>
      </c>
      <c r="D582" t="s">
        <v>415</v>
      </c>
      <c r="E582" t="s">
        <v>406</v>
      </c>
      <c r="F582" t="s">
        <v>407</v>
      </c>
      <c r="G582" t="s">
        <v>408</v>
      </c>
      <c r="H582" t="s">
        <v>409</v>
      </c>
      <c r="I582" t="s">
        <v>410</v>
      </c>
      <c r="J582" t="s">
        <v>411</v>
      </c>
      <c r="K582" t="s">
        <v>25</v>
      </c>
      <c r="L582" t="s">
        <v>412</v>
      </c>
      <c r="P582" t="s">
        <v>413</v>
      </c>
      <c r="Q582" t="s">
        <v>37</v>
      </c>
      <c r="R582">
        <v>3</v>
      </c>
      <c r="S582" t="s">
        <v>414</v>
      </c>
      <c r="T582" t="s">
        <v>39</v>
      </c>
      <c r="U582" t="s">
        <v>53</v>
      </c>
      <c r="V582" t="s">
        <v>64</v>
      </c>
    </row>
    <row r="583" spans="1:22" hidden="1" x14ac:dyDescent="0.2">
      <c r="A583" t="s">
        <v>404</v>
      </c>
      <c r="B583" t="s">
        <v>23</v>
      </c>
      <c r="C583" t="s">
        <v>78</v>
      </c>
      <c r="D583" t="s">
        <v>415</v>
      </c>
      <c r="E583" t="s">
        <v>406</v>
      </c>
      <c r="F583" t="s">
        <v>407</v>
      </c>
      <c r="G583" t="s">
        <v>408</v>
      </c>
      <c r="H583" t="s">
        <v>409</v>
      </c>
      <c r="I583" t="s">
        <v>410</v>
      </c>
      <c r="J583" t="s">
        <v>411</v>
      </c>
      <c r="K583" t="s">
        <v>25</v>
      </c>
      <c r="L583" t="s">
        <v>412</v>
      </c>
      <c r="P583" t="s">
        <v>413</v>
      </c>
      <c r="Q583" t="s">
        <v>37</v>
      </c>
      <c r="R583">
        <v>3</v>
      </c>
      <c r="S583" t="s">
        <v>414</v>
      </c>
      <c r="T583" t="s">
        <v>58</v>
      </c>
      <c r="U583" t="s">
        <v>53</v>
      </c>
      <c r="V583" t="s">
        <v>54</v>
      </c>
    </row>
    <row r="584" spans="1:22" hidden="1" x14ac:dyDescent="0.2">
      <c r="A584" t="s">
        <v>404</v>
      </c>
      <c r="B584" t="s">
        <v>23</v>
      </c>
      <c r="C584" t="s">
        <v>78</v>
      </c>
      <c r="D584" t="s">
        <v>415</v>
      </c>
      <c r="E584" t="s">
        <v>406</v>
      </c>
      <c r="F584" t="s">
        <v>407</v>
      </c>
      <c r="G584" t="s">
        <v>408</v>
      </c>
      <c r="H584" t="s">
        <v>409</v>
      </c>
      <c r="I584" t="s">
        <v>410</v>
      </c>
      <c r="J584" t="s">
        <v>411</v>
      </c>
      <c r="K584" t="s">
        <v>25</v>
      </c>
      <c r="L584" t="s">
        <v>412</v>
      </c>
      <c r="P584" t="s">
        <v>413</v>
      </c>
      <c r="Q584" t="s">
        <v>37</v>
      </c>
      <c r="R584">
        <v>3</v>
      </c>
      <c r="S584" t="s">
        <v>414</v>
      </c>
      <c r="T584" t="s">
        <v>58</v>
      </c>
      <c r="U584" t="s">
        <v>53</v>
      </c>
      <c r="V584" t="s">
        <v>77</v>
      </c>
    </row>
    <row r="585" spans="1:22" hidden="1" x14ac:dyDescent="0.2">
      <c r="A585" t="s">
        <v>404</v>
      </c>
      <c r="B585" t="s">
        <v>23</v>
      </c>
      <c r="C585" t="s">
        <v>78</v>
      </c>
      <c r="D585" t="s">
        <v>415</v>
      </c>
      <c r="E585" t="s">
        <v>406</v>
      </c>
      <c r="F585" t="s">
        <v>407</v>
      </c>
      <c r="G585" t="s">
        <v>408</v>
      </c>
      <c r="H585" t="s">
        <v>409</v>
      </c>
      <c r="I585" t="s">
        <v>410</v>
      </c>
      <c r="J585" t="s">
        <v>411</v>
      </c>
      <c r="K585" t="s">
        <v>25</v>
      </c>
      <c r="L585" t="s">
        <v>412</v>
      </c>
      <c r="P585" t="s">
        <v>413</v>
      </c>
      <c r="Q585" t="s">
        <v>37</v>
      </c>
      <c r="R585">
        <v>3</v>
      </c>
      <c r="S585" t="s">
        <v>414</v>
      </c>
      <c r="T585" t="s">
        <v>58</v>
      </c>
      <c r="U585" t="s">
        <v>53</v>
      </c>
      <c r="V585" t="s">
        <v>64</v>
      </c>
    </row>
    <row r="586" spans="1:22" hidden="1" x14ac:dyDescent="0.2">
      <c r="A586" t="s">
        <v>404</v>
      </c>
      <c r="B586" t="s">
        <v>23</v>
      </c>
      <c r="C586" t="s">
        <v>78</v>
      </c>
      <c r="D586" t="s">
        <v>415</v>
      </c>
      <c r="E586" t="s">
        <v>406</v>
      </c>
      <c r="F586" t="s">
        <v>407</v>
      </c>
      <c r="G586" t="s">
        <v>408</v>
      </c>
      <c r="H586" t="s">
        <v>409</v>
      </c>
      <c r="I586" t="s">
        <v>410</v>
      </c>
      <c r="J586" t="s">
        <v>411</v>
      </c>
      <c r="K586" t="s">
        <v>25</v>
      </c>
      <c r="L586" t="s">
        <v>412</v>
      </c>
      <c r="P586" t="s">
        <v>413</v>
      </c>
      <c r="Q586" t="s">
        <v>37</v>
      </c>
      <c r="R586">
        <v>3</v>
      </c>
      <c r="S586" t="s">
        <v>414</v>
      </c>
      <c r="T586" t="s">
        <v>59</v>
      </c>
      <c r="U586" t="s">
        <v>53</v>
      </c>
      <c r="V586" t="s">
        <v>54</v>
      </c>
    </row>
    <row r="587" spans="1:22" hidden="1" x14ac:dyDescent="0.2">
      <c r="A587" t="s">
        <v>404</v>
      </c>
      <c r="B587" t="s">
        <v>23</v>
      </c>
      <c r="C587" t="s">
        <v>78</v>
      </c>
      <c r="D587" t="s">
        <v>415</v>
      </c>
      <c r="E587" t="s">
        <v>406</v>
      </c>
      <c r="F587" t="s">
        <v>407</v>
      </c>
      <c r="G587" t="s">
        <v>408</v>
      </c>
      <c r="H587" t="s">
        <v>409</v>
      </c>
      <c r="I587" t="s">
        <v>410</v>
      </c>
      <c r="J587" t="s">
        <v>411</v>
      </c>
      <c r="K587" t="s">
        <v>25</v>
      </c>
      <c r="L587" t="s">
        <v>412</v>
      </c>
      <c r="P587" t="s">
        <v>413</v>
      </c>
      <c r="Q587" t="s">
        <v>37</v>
      </c>
      <c r="R587">
        <v>3</v>
      </c>
      <c r="S587" t="s">
        <v>414</v>
      </c>
      <c r="T587" t="s">
        <v>59</v>
      </c>
      <c r="U587" t="s">
        <v>53</v>
      </c>
      <c r="V587" t="s">
        <v>77</v>
      </c>
    </row>
    <row r="588" spans="1:22" hidden="1" x14ac:dyDescent="0.2">
      <c r="A588" t="s">
        <v>404</v>
      </c>
      <c r="B588" t="s">
        <v>23</v>
      </c>
      <c r="C588" t="s">
        <v>78</v>
      </c>
      <c r="D588" t="s">
        <v>415</v>
      </c>
      <c r="E588" t="s">
        <v>406</v>
      </c>
      <c r="F588" t="s">
        <v>407</v>
      </c>
      <c r="G588" t="s">
        <v>408</v>
      </c>
      <c r="H588" t="s">
        <v>409</v>
      </c>
      <c r="I588" t="s">
        <v>410</v>
      </c>
      <c r="J588" t="s">
        <v>411</v>
      </c>
      <c r="K588" t="s">
        <v>25</v>
      </c>
      <c r="L588" t="s">
        <v>412</v>
      </c>
      <c r="P588" t="s">
        <v>413</v>
      </c>
      <c r="Q588" t="s">
        <v>37</v>
      </c>
      <c r="R588">
        <v>3</v>
      </c>
      <c r="S588" t="s">
        <v>414</v>
      </c>
      <c r="T588" t="s">
        <v>59</v>
      </c>
      <c r="U588" t="s">
        <v>53</v>
      </c>
      <c r="V588" t="s">
        <v>64</v>
      </c>
    </row>
    <row r="589" spans="1:22" hidden="1" x14ac:dyDescent="0.2">
      <c r="A589" t="s">
        <v>404</v>
      </c>
      <c r="B589" t="s">
        <v>23</v>
      </c>
      <c r="C589" t="s">
        <v>78</v>
      </c>
      <c r="D589" t="s">
        <v>415</v>
      </c>
      <c r="E589" t="s">
        <v>406</v>
      </c>
      <c r="F589" t="s">
        <v>407</v>
      </c>
      <c r="G589" t="s">
        <v>408</v>
      </c>
      <c r="H589" t="s">
        <v>409</v>
      </c>
      <c r="I589" t="s">
        <v>410</v>
      </c>
      <c r="J589" t="s">
        <v>411</v>
      </c>
      <c r="K589" t="s">
        <v>25</v>
      </c>
      <c r="L589" t="s">
        <v>412</v>
      </c>
      <c r="P589" t="s">
        <v>413</v>
      </c>
      <c r="Q589" t="s">
        <v>37</v>
      </c>
      <c r="R589">
        <v>3</v>
      </c>
      <c r="S589" t="s">
        <v>414</v>
      </c>
      <c r="T589" t="s">
        <v>60</v>
      </c>
      <c r="U589" t="s">
        <v>53</v>
      </c>
      <c r="V589" t="s">
        <v>54</v>
      </c>
    </row>
    <row r="590" spans="1:22" hidden="1" x14ac:dyDescent="0.2">
      <c r="A590" t="s">
        <v>404</v>
      </c>
      <c r="B590" t="s">
        <v>23</v>
      </c>
      <c r="C590" t="s">
        <v>78</v>
      </c>
      <c r="D590" t="s">
        <v>415</v>
      </c>
      <c r="E590" t="s">
        <v>406</v>
      </c>
      <c r="F590" t="s">
        <v>407</v>
      </c>
      <c r="G590" t="s">
        <v>408</v>
      </c>
      <c r="H590" t="s">
        <v>409</v>
      </c>
      <c r="I590" t="s">
        <v>410</v>
      </c>
      <c r="J590" t="s">
        <v>411</v>
      </c>
      <c r="K590" t="s">
        <v>25</v>
      </c>
      <c r="L590" t="s">
        <v>412</v>
      </c>
      <c r="P590" t="s">
        <v>413</v>
      </c>
      <c r="Q590" t="s">
        <v>37</v>
      </c>
      <c r="R590">
        <v>3</v>
      </c>
      <c r="S590" t="s">
        <v>414</v>
      </c>
      <c r="T590" t="s">
        <v>60</v>
      </c>
      <c r="U590" t="s">
        <v>53</v>
      </c>
      <c r="V590" t="s">
        <v>77</v>
      </c>
    </row>
    <row r="591" spans="1:22" hidden="1" x14ac:dyDescent="0.2">
      <c r="A591" t="s">
        <v>404</v>
      </c>
      <c r="B591" t="s">
        <v>23</v>
      </c>
      <c r="C591" t="s">
        <v>78</v>
      </c>
      <c r="D591" t="s">
        <v>415</v>
      </c>
      <c r="E591" t="s">
        <v>406</v>
      </c>
      <c r="F591" t="s">
        <v>407</v>
      </c>
      <c r="G591" t="s">
        <v>408</v>
      </c>
      <c r="H591" t="s">
        <v>409</v>
      </c>
      <c r="I591" t="s">
        <v>410</v>
      </c>
      <c r="J591" t="s">
        <v>411</v>
      </c>
      <c r="K591" t="s">
        <v>25</v>
      </c>
      <c r="L591" t="s">
        <v>412</v>
      </c>
      <c r="P591" t="s">
        <v>413</v>
      </c>
      <c r="Q591" t="s">
        <v>37</v>
      </c>
      <c r="R591">
        <v>3</v>
      </c>
      <c r="S591" t="s">
        <v>414</v>
      </c>
      <c r="T591" t="s">
        <v>60</v>
      </c>
      <c r="U591" t="s">
        <v>53</v>
      </c>
      <c r="V591" t="s">
        <v>64</v>
      </c>
    </row>
    <row r="592" spans="1:22" hidden="1" x14ac:dyDescent="0.2">
      <c r="A592" t="s">
        <v>404</v>
      </c>
      <c r="B592" t="s">
        <v>23</v>
      </c>
      <c r="C592" t="s">
        <v>78</v>
      </c>
      <c r="D592" t="s">
        <v>415</v>
      </c>
      <c r="E592" t="s">
        <v>406</v>
      </c>
      <c r="F592" t="s">
        <v>407</v>
      </c>
      <c r="G592" t="s">
        <v>408</v>
      </c>
      <c r="H592" t="s">
        <v>409</v>
      </c>
      <c r="I592" t="s">
        <v>410</v>
      </c>
      <c r="J592" t="s">
        <v>411</v>
      </c>
      <c r="K592" t="s">
        <v>25</v>
      </c>
      <c r="L592" t="s">
        <v>412</v>
      </c>
      <c r="P592" t="s">
        <v>413</v>
      </c>
      <c r="Q592" t="s">
        <v>37</v>
      </c>
      <c r="R592">
        <v>3</v>
      </c>
      <c r="S592" t="s">
        <v>414</v>
      </c>
      <c r="T592" t="s">
        <v>95</v>
      </c>
      <c r="U592" t="s">
        <v>53</v>
      </c>
      <c r="V592" t="s">
        <v>54</v>
      </c>
    </row>
    <row r="593" spans="1:22" hidden="1" x14ac:dyDescent="0.2">
      <c r="A593" t="s">
        <v>404</v>
      </c>
      <c r="B593" t="s">
        <v>23</v>
      </c>
      <c r="C593" t="s">
        <v>78</v>
      </c>
      <c r="D593" t="s">
        <v>415</v>
      </c>
      <c r="E593" t="s">
        <v>406</v>
      </c>
      <c r="F593" t="s">
        <v>407</v>
      </c>
      <c r="G593" t="s">
        <v>408</v>
      </c>
      <c r="H593" t="s">
        <v>409</v>
      </c>
      <c r="I593" t="s">
        <v>410</v>
      </c>
      <c r="J593" t="s">
        <v>411</v>
      </c>
      <c r="K593" t="s">
        <v>25</v>
      </c>
      <c r="L593" t="s">
        <v>412</v>
      </c>
      <c r="P593" t="s">
        <v>413</v>
      </c>
      <c r="Q593" t="s">
        <v>37</v>
      </c>
      <c r="R593">
        <v>3</v>
      </c>
      <c r="S593" t="s">
        <v>414</v>
      </c>
      <c r="T593" t="s">
        <v>95</v>
      </c>
      <c r="U593" t="s">
        <v>53</v>
      </c>
      <c r="V593" t="s">
        <v>77</v>
      </c>
    </row>
    <row r="594" spans="1:22" hidden="1" x14ac:dyDescent="0.2">
      <c r="A594" t="s">
        <v>404</v>
      </c>
      <c r="B594" t="s">
        <v>23</v>
      </c>
      <c r="C594" t="s">
        <v>78</v>
      </c>
      <c r="D594" t="s">
        <v>415</v>
      </c>
      <c r="E594" t="s">
        <v>406</v>
      </c>
      <c r="F594" t="s">
        <v>407</v>
      </c>
      <c r="G594" t="s">
        <v>408</v>
      </c>
      <c r="H594" t="s">
        <v>409</v>
      </c>
      <c r="I594" t="s">
        <v>410</v>
      </c>
      <c r="J594" t="s">
        <v>411</v>
      </c>
      <c r="K594" t="s">
        <v>25</v>
      </c>
      <c r="L594" t="s">
        <v>412</v>
      </c>
      <c r="P594" t="s">
        <v>413</v>
      </c>
      <c r="Q594" t="s">
        <v>37</v>
      </c>
      <c r="R594">
        <v>3</v>
      </c>
      <c r="S594" t="s">
        <v>414</v>
      </c>
      <c r="T594" t="s">
        <v>95</v>
      </c>
      <c r="U594" t="s">
        <v>53</v>
      </c>
      <c r="V594" t="s">
        <v>64</v>
      </c>
    </row>
    <row r="595" spans="1:22" hidden="1" x14ac:dyDescent="0.2">
      <c r="A595" t="s">
        <v>404</v>
      </c>
      <c r="B595" t="s">
        <v>23</v>
      </c>
      <c r="C595" t="s">
        <v>78</v>
      </c>
      <c r="D595" t="s">
        <v>415</v>
      </c>
      <c r="E595" t="s">
        <v>406</v>
      </c>
      <c r="F595" t="s">
        <v>407</v>
      </c>
      <c r="G595" t="s">
        <v>408</v>
      </c>
      <c r="H595" t="s">
        <v>409</v>
      </c>
      <c r="I595" t="s">
        <v>410</v>
      </c>
      <c r="J595" t="s">
        <v>411</v>
      </c>
      <c r="K595" t="s">
        <v>25</v>
      </c>
      <c r="L595" t="s">
        <v>412</v>
      </c>
      <c r="P595" t="s">
        <v>413</v>
      </c>
      <c r="Q595" t="s">
        <v>37</v>
      </c>
      <c r="R595">
        <v>3</v>
      </c>
      <c r="S595" t="s">
        <v>414</v>
      </c>
      <c r="T595" t="s">
        <v>79</v>
      </c>
      <c r="U595" t="s">
        <v>53</v>
      </c>
      <c r="V595" t="s">
        <v>54</v>
      </c>
    </row>
    <row r="596" spans="1:22" hidden="1" x14ac:dyDescent="0.2">
      <c r="A596" t="s">
        <v>404</v>
      </c>
      <c r="B596" t="s">
        <v>23</v>
      </c>
      <c r="C596" t="s">
        <v>78</v>
      </c>
      <c r="D596" t="s">
        <v>415</v>
      </c>
      <c r="E596" t="s">
        <v>406</v>
      </c>
      <c r="F596" t="s">
        <v>407</v>
      </c>
      <c r="G596" t="s">
        <v>408</v>
      </c>
      <c r="H596" t="s">
        <v>409</v>
      </c>
      <c r="I596" t="s">
        <v>410</v>
      </c>
      <c r="J596" t="s">
        <v>411</v>
      </c>
      <c r="K596" t="s">
        <v>25</v>
      </c>
      <c r="L596" t="s">
        <v>412</v>
      </c>
      <c r="P596" t="s">
        <v>413</v>
      </c>
      <c r="Q596" t="s">
        <v>37</v>
      </c>
      <c r="R596">
        <v>3</v>
      </c>
      <c r="S596" t="s">
        <v>414</v>
      </c>
      <c r="T596" t="s">
        <v>79</v>
      </c>
      <c r="U596" t="s">
        <v>53</v>
      </c>
      <c r="V596" t="s">
        <v>77</v>
      </c>
    </row>
    <row r="597" spans="1:22" hidden="1" x14ac:dyDescent="0.2">
      <c r="A597" t="s">
        <v>404</v>
      </c>
      <c r="B597" t="s">
        <v>23</v>
      </c>
      <c r="C597" t="s">
        <v>78</v>
      </c>
      <c r="D597" t="s">
        <v>415</v>
      </c>
      <c r="E597" t="s">
        <v>406</v>
      </c>
      <c r="F597" t="s">
        <v>407</v>
      </c>
      <c r="G597" t="s">
        <v>408</v>
      </c>
      <c r="H597" t="s">
        <v>409</v>
      </c>
      <c r="I597" t="s">
        <v>410</v>
      </c>
      <c r="J597" t="s">
        <v>411</v>
      </c>
      <c r="K597" t="s">
        <v>25</v>
      </c>
      <c r="L597" t="s">
        <v>412</v>
      </c>
      <c r="P597" t="s">
        <v>413</v>
      </c>
      <c r="Q597" t="s">
        <v>37</v>
      </c>
      <c r="R597">
        <v>3</v>
      </c>
      <c r="S597" t="s">
        <v>414</v>
      </c>
      <c r="T597" t="s">
        <v>79</v>
      </c>
      <c r="U597" t="s">
        <v>53</v>
      </c>
      <c r="V597" t="s">
        <v>64</v>
      </c>
    </row>
    <row r="598" spans="1:22" hidden="1" x14ac:dyDescent="0.2">
      <c r="A598" t="s">
        <v>404</v>
      </c>
      <c r="B598" t="s">
        <v>23</v>
      </c>
      <c r="C598" t="s">
        <v>78</v>
      </c>
      <c r="D598" t="s">
        <v>415</v>
      </c>
      <c r="E598" t="s">
        <v>406</v>
      </c>
      <c r="F598" t="s">
        <v>407</v>
      </c>
      <c r="G598" t="s">
        <v>408</v>
      </c>
      <c r="H598" t="s">
        <v>409</v>
      </c>
      <c r="I598" t="s">
        <v>410</v>
      </c>
      <c r="J598" t="s">
        <v>411</v>
      </c>
      <c r="K598" t="s">
        <v>25</v>
      </c>
      <c r="L598" t="s">
        <v>412</v>
      </c>
      <c r="P598" t="s">
        <v>413</v>
      </c>
      <c r="Q598" t="s">
        <v>37</v>
      </c>
      <c r="R598">
        <v>3</v>
      </c>
      <c r="S598" t="s">
        <v>414</v>
      </c>
      <c r="T598" t="s">
        <v>61</v>
      </c>
      <c r="U598" t="s">
        <v>53</v>
      </c>
      <c r="V598" t="s">
        <v>54</v>
      </c>
    </row>
    <row r="599" spans="1:22" hidden="1" x14ac:dyDescent="0.2">
      <c r="A599" t="s">
        <v>404</v>
      </c>
      <c r="B599" t="s">
        <v>23</v>
      </c>
      <c r="C599" t="s">
        <v>78</v>
      </c>
      <c r="D599" t="s">
        <v>415</v>
      </c>
      <c r="E599" t="s">
        <v>406</v>
      </c>
      <c r="F599" t="s">
        <v>407</v>
      </c>
      <c r="G599" t="s">
        <v>408</v>
      </c>
      <c r="H599" t="s">
        <v>409</v>
      </c>
      <c r="I599" t="s">
        <v>410</v>
      </c>
      <c r="J599" t="s">
        <v>411</v>
      </c>
      <c r="K599" t="s">
        <v>25</v>
      </c>
      <c r="L599" t="s">
        <v>412</v>
      </c>
      <c r="P599" t="s">
        <v>413</v>
      </c>
      <c r="Q599" t="s">
        <v>37</v>
      </c>
      <c r="R599">
        <v>3</v>
      </c>
      <c r="S599" t="s">
        <v>414</v>
      </c>
      <c r="T599" t="s">
        <v>61</v>
      </c>
      <c r="U599" t="s">
        <v>53</v>
      </c>
      <c r="V599" t="s">
        <v>77</v>
      </c>
    </row>
    <row r="600" spans="1:22" hidden="1" x14ac:dyDescent="0.2">
      <c r="A600" t="s">
        <v>404</v>
      </c>
      <c r="B600" t="s">
        <v>23</v>
      </c>
      <c r="C600" t="s">
        <v>78</v>
      </c>
      <c r="D600" t="s">
        <v>415</v>
      </c>
      <c r="E600" t="s">
        <v>406</v>
      </c>
      <c r="F600" t="s">
        <v>407</v>
      </c>
      <c r="G600" t="s">
        <v>408</v>
      </c>
      <c r="H600" t="s">
        <v>409</v>
      </c>
      <c r="I600" t="s">
        <v>410</v>
      </c>
      <c r="J600" t="s">
        <v>411</v>
      </c>
      <c r="K600" t="s">
        <v>25</v>
      </c>
      <c r="L600" t="s">
        <v>412</v>
      </c>
      <c r="P600" t="s">
        <v>413</v>
      </c>
      <c r="Q600" t="s">
        <v>37</v>
      </c>
      <c r="R600">
        <v>3</v>
      </c>
      <c r="S600" t="s">
        <v>414</v>
      </c>
      <c r="T600" t="s">
        <v>61</v>
      </c>
      <c r="U600" t="s">
        <v>53</v>
      </c>
      <c r="V600" t="s">
        <v>64</v>
      </c>
    </row>
    <row r="601" spans="1:22" hidden="1" x14ac:dyDescent="0.2">
      <c r="A601" t="s">
        <v>404</v>
      </c>
      <c r="B601" t="s">
        <v>23</v>
      </c>
      <c r="C601" t="s">
        <v>78</v>
      </c>
      <c r="D601" t="s">
        <v>415</v>
      </c>
      <c r="E601" t="s">
        <v>406</v>
      </c>
      <c r="F601" t="s">
        <v>407</v>
      </c>
      <c r="G601" t="s">
        <v>408</v>
      </c>
      <c r="H601" t="s">
        <v>409</v>
      </c>
      <c r="I601" t="s">
        <v>410</v>
      </c>
      <c r="J601" t="s">
        <v>411</v>
      </c>
      <c r="K601" t="s">
        <v>25</v>
      </c>
      <c r="L601" t="s">
        <v>412</v>
      </c>
      <c r="P601" t="s">
        <v>413</v>
      </c>
      <c r="Q601" t="s">
        <v>37</v>
      </c>
      <c r="R601">
        <v>3</v>
      </c>
      <c r="S601" t="s">
        <v>414</v>
      </c>
      <c r="T601" t="s">
        <v>62</v>
      </c>
      <c r="U601" t="s">
        <v>53</v>
      </c>
      <c r="V601" t="s">
        <v>54</v>
      </c>
    </row>
    <row r="602" spans="1:22" hidden="1" x14ac:dyDescent="0.2">
      <c r="A602" t="s">
        <v>404</v>
      </c>
      <c r="B602" t="s">
        <v>23</v>
      </c>
      <c r="C602" t="s">
        <v>78</v>
      </c>
      <c r="D602" t="s">
        <v>415</v>
      </c>
      <c r="E602" t="s">
        <v>406</v>
      </c>
      <c r="F602" t="s">
        <v>407</v>
      </c>
      <c r="G602" t="s">
        <v>408</v>
      </c>
      <c r="H602" t="s">
        <v>409</v>
      </c>
      <c r="I602" t="s">
        <v>410</v>
      </c>
      <c r="J602" t="s">
        <v>411</v>
      </c>
      <c r="K602" t="s">
        <v>25</v>
      </c>
      <c r="L602" t="s">
        <v>412</v>
      </c>
      <c r="P602" t="s">
        <v>413</v>
      </c>
      <c r="Q602" t="s">
        <v>37</v>
      </c>
      <c r="R602">
        <v>3</v>
      </c>
      <c r="S602" t="s">
        <v>414</v>
      </c>
      <c r="T602" t="s">
        <v>62</v>
      </c>
      <c r="U602" t="s">
        <v>53</v>
      </c>
      <c r="V602" t="s">
        <v>77</v>
      </c>
    </row>
    <row r="603" spans="1:22" hidden="1" x14ac:dyDescent="0.2">
      <c r="A603" t="s">
        <v>404</v>
      </c>
      <c r="B603" t="s">
        <v>23</v>
      </c>
      <c r="C603" t="s">
        <v>78</v>
      </c>
      <c r="D603" t="s">
        <v>415</v>
      </c>
      <c r="E603" t="s">
        <v>406</v>
      </c>
      <c r="F603" t="s">
        <v>407</v>
      </c>
      <c r="G603" t="s">
        <v>408</v>
      </c>
      <c r="H603" t="s">
        <v>409</v>
      </c>
      <c r="I603" t="s">
        <v>410</v>
      </c>
      <c r="J603" t="s">
        <v>411</v>
      </c>
      <c r="K603" t="s">
        <v>25</v>
      </c>
      <c r="L603" t="s">
        <v>412</v>
      </c>
      <c r="P603" t="s">
        <v>413</v>
      </c>
      <c r="Q603" t="s">
        <v>37</v>
      </c>
      <c r="R603">
        <v>3</v>
      </c>
      <c r="S603" t="s">
        <v>414</v>
      </c>
      <c r="T603" t="s">
        <v>62</v>
      </c>
      <c r="U603" t="s">
        <v>53</v>
      </c>
      <c r="V603" t="s">
        <v>64</v>
      </c>
    </row>
    <row r="604" spans="1:22" hidden="1" x14ac:dyDescent="0.2">
      <c r="A604" t="s">
        <v>404</v>
      </c>
      <c r="B604" t="s">
        <v>23</v>
      </c>
      <c r="C604" t="s">
        <v>78</v>
      </c>
      <c r="D604" t="s">
        <v>415</v>
      </c>
      <c r="E604" t="s">
        <v>406</v>
      </c>
      <c r="F604" t="s">
        <v>407</v>
      </c>
      <c r="G604" t="s">
        <v>408</v>
      </c>
      <c r="H604" t="s">
        <v>409</v>
      </c>
      <c r="I604" t="s">
        <v>410</v>
      </c>
      <c r="J604" t="s">
        <v>411</v>
      </c>
      <c r="K604" t="s">
        <v>25</v>
      </c>
      <c r="L604" t="s">
        <v>412</v>
      </c>
      <c r="P604" t="s">
        <v>413</v>
      </c>
      <c r="Q604" t="s">
        <v>37</v>
      </c>
      <c r="R604">
        <v>3</v>
      </c>
      <c r="S604" t="s">
        <v>414</v>
      </c>
      <c r="T604" t="s">
        <v>80</v>
      </c>
      <c r="U604" t="s">
        <v>53</v>
      </c>
      <c r="V604" t="s">
        <v>54</v>
      </c>
    </row>
    <row r="605" spans="1:22" hidden="1" x14ac:dyDescent="0.2">
      <c r="A605" t="s">
        <v>404</v>
      </c>
      <c r="B605" t="s">
        <v>23</v>
      </c>
      <c r="C605" t="s">
        <v>78</v>
      </c>
      <c r="D605" t="s">
        <v>415</v>
      </c>
      <c r="E605" t="s">
        <v>406</v>
      </c>
      <c r="F605" t="s">
        <v>407</v>
      </c>
      <c r="G605" t="s">
        <v>408</v>
      </c>
      <c r="H605" t="s">
        <v>409</v>
      </c>
      <c r="I605" t="s">
        <v>410</v>
      </c>
      <c r="J605" t="s">
        <v>411</v>
      </c>
      <c r="K605" t="s">
        <v>25</v>
      </c>
      <c r="L605" t="s">
        <v>412</v>
      </c>
      <c r="P605" t="s">
        <v>413</v>
      </c>
      <c r="Q605" t="s">
        <v>37</v>
      </c>
      <c r="R605">
        <v>3</v>
      </c>
      <c r="S605" t="s">
        <v>414</v>
      </c>
      <c r="T605" t="s">
        <v>80</v>
      </c>
      <c r="U605" t="s">
        <v>53</v>
      </c>
      <c r="V605" t="s">
        <v>77</v>
      </c>
    </row>
    <row r="606" spans="1:22" hidden="1" x14ac:dyDescent="0.2">
      <c r="A606" t="s">
        <v>404</v>
      </c>
      <c r="B606" t="s">
        <v>23</v>
      </c>
      <c r="C606" t="s">
        <v>78</v>
      </c>
      <c r="D606" t="s">
        <v>415</v>
      </c>
      <c r="E606" t="s">
        <v>406</v>
      </c>
      <c r="F606" t="s">
        <v>407</v>
      </c>
      <c r="G606" t="s">
        <v>408</v>
      </c>
      <c r="H606" t="s">
        <v>409</v>
      </c>
      <c r="I606" t="s">
        <v>410</v>
      </c>
      <c r="J606" t="s">
        <v>411</v>
      </c>
      <c r="K606" t="s">
        <v>25</v>
      </c>
      <c r="L606" t="s">
        <v>412</v>
      </c>
      <c r="P606" t="s">
        <v>413</v>
      </c>
      <c r="Q606" t="s">
        <v>37</v>
      </c>
      <c r="R606">
        <v>3</v>
      </c>
      <c r="S606" t="s">
        <v>414</v>
      </c>
      <c r="T606" t="s">
        <v>80</v>
      </c>
      <c r="U606" t="s">
        <v>53</v>
      </c>
      <c r="V606" t="s">
        <v>64</v>
      </c>
    </row>
    <row r="607" spans="1:22" hidden="1" x14ac:dyDescent="0.2">
      <c r="A607" t="s">
        <v>416</v>
      </c>
      <c r="B607" t="s">
        <v>23</v>
      </c>
      <c r="C607" t="s">
        <v>417</v>
      </c>
      <c r="D607" t="s">
        <v>25</v>
      </c>
      <c r="E607" t="s">
        <v>418</v>
      </c>
      <c r="F607" t="s">
        <v>419</v>
      </c>
      <c r="G607" t="s">
        <v>420</v>
      </c>
      <c r="H607" t="s">
        <v>421</v>
      </c>
      <c r="I607" t="s">
        <v>30</v>
      </c>
      <c r="J607" t="s">
        <v>31</v>
      </c>
      <c r="K607" t="s">
        <v>422</v>
      </c>
      <c r="L607" t="s">
        <v>423</v>
      </c>
      <c r="M607" t="s">
        <v>424</v>
      </c>
      <c r="O607" t="s">
        <v>425</v>
      </c>
      <c r="P607" t="s">
        <v>36</v>
      </c>
      <c r="Q607" t="s">
        <v>37</v>
      </c>
      <c r="R607">
        <v>2</v>
      </c>
      <c r="S607" t="s">
        <v>38</v>
      </c>
      <c r="T607" t="s">
        <v>103</v>
      </c>
      <c r="U607" t="s">
        <v>25</v>
      </c>
      <c r="V607" t="s">
        <v>25</v>
      </c>
    </row>
    <row r="608" spans="1:22" hidden="1" x14ac:dyDescent="0.2">
      <c r="A608" t="s">
        <v>416</v>
      </c>
      <c r="B608" t="s">
        <v>23</v>
      </c>
      <c r="C608" t="s">
        <v>417</v>
      </c>
      <c r="D608" t="s">
        <v>25</v>
      </c>
      <c r="E608" t="s">
        <v>418</v>
      </c>
      <c r="F608" t="s">
        <v>419</v>
      </c>
      <c r="G608" t="s">
        <v>420</v>
      </c>
      <c r="H608" t="s">
        <v>421</v>
      </c>
      <c r="I608" t="s">
        <v>30</v>
      </c>
      <c r="J608" t="s">
        <v>31</v>
      </c>
      <c r="K608" t="s">
        <v>422</v>
      </c>
      <c r="L608" t="s">
        <v>423</v>
      </c>
      <c r="M608" t="s">
        <v>424</v>
      </c>
      <c r="O608" t="s">
        <v>425</v>
      </c>
      <c r="P608" t="s">
        <v>36</v>
      </c>
      <c r="Q608" t="s">
        <v>37</v>
      </c>
      <c r="R608">
        <v>2</v>
      </c>
      <c r="S608" t="s">
        <v>38</v>
      </c>
      <c r="T608" t="s">
        <v>103</v>
      </c>
      <c r="U608" t="s">
        <v>25</v>
      </c>
      <c r="V608" t="s">
        <v>25</v>
      </c>
    </row>
    <row r="609" spans="1:22" hidden="1" x14ac:dyDescent="0.2">
      <c r="A609" t="s">
        <v>416</v>
      </c>
      <c r="B609" t="s">
        <v>23</v>
      </c>
      <c r="C609" t="s">
        <v>417</v>
      </c>
      <c r="D609" t="s">
        <v>25</v>
      </c>
      <c r="E609" t="s">
        <v>418</v>
      </c>
      <c r="F609" t="s">
        <v>419</v>
      </c>
      <c r="G609" t="s">
        <v>420</v>
      </c>
      <c r="H609" t="s">
        <v>421</v>
      </c>
      <c r="I609" t="s">
        <v>30</v>
      </c>
      <c r="J609" t="s">
        <v>31</v>
      </c>
      <c r="K609" t="s">
        <v>422</v>
      </c>
      <c r="L609" t="s">
        <v>423</v>
      </c>
      <c r="M609" t="s">
        <v>424</v>
      </c>
      <c r="O609" t="s">
        <v>425</v>
      </c>
      <c r="P609" t="s">
        <v>36</v>
      </c>
      <c r="Q609" t="s">
        <v>37</v>
      </c>
      <c r="R609">
        <v>2</v>
      </c>
      <c r="S609" t="s">
        <v>38</v>
      </c>
      <c r="T609" t="s">
        <v>403</v>
      </c>
      <c r="U609" t="s">
        <v>25</v>
      </c>
      <c r="V609" t="s">
        <v>25</v>
      </c>
    </row>
    <row r="610" spans="1:22" hidden="1" x14ac:dyDescent="0.2">
      <c r="A610" t="s">
        <v>416</v>
      </c>
      <c r="B610" t="s">
        <v>23</v>
      </c>
      <c r="C610" t="s">
        <v>417</v>
      </c>
      <c r="D610" t="s">
        <v>25</v>
      </c>
      <c r="E610" t="s">
        <v>418</v>
      </c>
      <c r="F610" t="s">
        <v>419</v>
      </c>
      <c r="G610" t="s">
        <v>420</v>
      </c>
      <c r="H610" t="s">
        <v>421</v>
      </c>
      <c r="I610" t="s">
        <v>30</v>
      </c>
      <c r="J610" t="s">
        <v>31</v>
      </c>
      <c r="K610" t="s">
        <v>422</v>
      </c>
      <c r="L610" t="s">
        <v>423</v>
      </c>
      <c r="M610" t="s">
        <v>424</v>
      </c>
      <c r="O610" t="s">
        <v>425</v>
      </c>
      <c r="P610" t="s">
        <v>36</v>
      </c>
      <c r="Q610" t="s">
        <v>37</v>
      </c>
      <c r="R610">
        <v>2</v>
      </c>
      <c r="S610" t="s">
        <v>38</v>
      </c>
      <c r="T610" t="s">
        <v>403</v>
      </c>
      <c r="U610" t="s">
        <v>25</v>
      </c>
      <c r="V610" t="s">
        <v>25</v>
      </c>
    </row>
    <row r="611" spans="1:22" hidden="1" x14ac:dyDescent="0.2">
      <c r="A611" t="s">
        <v>416</v>
      </c>
      <c r="B611" t="s">
        <v>23</v>
      </c>
      <c r="C611" t="s">
        <v>417</v>
      </c>
      <c r="D611" t="s">
        <v>25</v>
      </c>
      <c r="E611" t="s">
        <v>418</v>
      </c>
      <c r="F611" t="s">
        <v>419</v>
      </c>
      <c r="G611" t="s">
        <v>420</v>
      </c>
      <c r="H611" t="s">
        <v>421</v>
      </c>
      <c r="I611" t="s">
        <v>30</v>
      </c>
      <c r="J611" t="s">
        <v>31</v>
      </c>
      <c r="K611" t="s">
        <v>422</v>
      </c>
      <c r="L611" t="s">
        <v>423</v>
      </c>
      <c r="M611" t="s">
        <v>424</v>
      </c>
      <c r="O611" t="s">
        <v>425</v>
      </c>
      <c r="P611" t="s">
        <v>40</v>
      </c>
      <c r="Q611" t="s">
        <v>37</v>
      </c>
      <c r="R611">
        <v>5</v>
      </c>
      <c r="S611" t="s">
        <v>41</v>
      </c>
      <c r="T611" t="s">
        <v>103</v>
      </c>
      <c r="U611" t="s">
        <v>25</v>
      </c>
      <c r="V611" t="s">
        <v>25</v>
      </c>
    </row>
    <row r="612" spans="1:22" hidden="1" x14ac:dyDescent="0.2">
      <c r="A612" t="s">
        <v>416</v>
      </c>
      <c r="B612" t="s">
        <v>23</v>
      </c>
      <c r="C612" t="s">
        <v>417</v>
      </c>
      <c r="D612" t="s">
        <v>25</v>
      </c>
      <c r="E612" t="s">
        <v>418</v>
      </c>
      <c r="F612" t="s">
        <v>419</v>
      </c>
      <c r="G612" t="s">
        <v>420</v>
      </c>
      <c r="H612" t="s">
        <v>421</v>
      </c>
      <c r="I612" t="s">
        <v>30</v>
      </c>
      <c r="J612" t="s">
        <v>31</v>
      </c>
      <c r="K612" t="s">
        <v>422</v>
      </c>
      <c r="L612" t="s">
        <v>423</v>
      </c>
      <c r="M612" t="s">
        <v>424</v>
      </c>
      <c r="O612" t="s">
        <v>425</v>
      </c>
      <c r="P612" t="s">
        <v>40</v>
      </c>
      <c r="Q612" t="s">
        <v>37</v>
      </c>
      <c r="R612">
        <v>5</v>
      </c>
      <c r="S612" t="s">
        <v>41</v>
      </c>
      <c r="T612" t="s">
        <v>103</v>
      </c>
      <c r="U612" t="s">
        <v>25</v>
      </c>
      <c r="V612" t="s">
        <v>25</v>
      </c>
    </row>
    <row r="613" spans="1:22" hidden="1" x14ac:dyDescent="0.2">
      <c r="A613" t="s">
        <v>416</v>
      </c>
      <c r="B613" t="s">
        <v>23</v>
      </c>
      <c r="C613" t="s">
        <v>417</v>
      </c>
      <c r="D613" t="s">
        <v>25</v>
      </c>
      <c r="E613" t="s">
        <v>418</v>
      </c>
      <c r="F613" t="s">
        <v>419</v>
      </c>
      <c r="G613" t="s">
        <v>420</v>
      </c>
      <c r="H613" t="s">
        <v>421</v>
      </c>
      <c r="I613" t="s">
        <v>30</v>
      </c>
      <c r="J613" t="s">
        <v>31</v>
      </c>
      <c r="K613" t="s">
        <v>422</v>
      </c>
      <c r="L613" t="s">
        <v>423</v>
      </c>
      <c r="M613" t="s">
        <v>424</v>
      </c>
      <c r="O613" t="s">
        <v>425</v>
      </c>
      <c r="P613" t="s">
        <v>40</v>
      </c>
      <c r="Q613" t="s">
        <v>37</v>
      </c>
      <c r="R613">
        <v>5</v>
      </c>
      <c r="S613" t="s">
        <v>41</v>
      </c>
      <c r="T613" t="s">
        <v>403</v>
      </c>
      <c r="U613" t="s">
        <v>25</v>
      </c>
      <c r="V613" t="s">
        <v>25</v>
      </c>
    </row>
    <row r="614" spans="1:22" hidden="1" x14ac:dyDescent="0.2">
      <c r="A614" t="s">
        <v>416</v>
      </c>
      <c r="B614" t="s">
        <v>23</v>
      </c>
      <c r="C614" t="s">
        <v>417</v>
      </c>
      <c r="D614" t="s">
        <v>25</v>
      </c>
      <c r="E614" t="s">
        <v>418</v>
      </c>
      <c r="F614" t="s">
        <v>419</v>
      </c>
      <c r="G614" t="s">
        <v>420</v>
      </c>
      <c r="H614" t="s">
        <v>421</v>
      </c>
      <c r="I614" t="s">
        <v>30</v>
      </c>
      <c r="J614" t="s">
        <v>31</v>
      </c>
      <c r="K614" t="s">
        <v>422</v>
      </c>
      <c r="L614" t="s">
        <v>423</v>
      </c>
      <c r="M614" t="s">
        <v>424</v>
      </c>
      <c r="O614" t="s">
        <v>425</v>
      </c>
      <c r="P614" t="s">
        <v>40</v>
      </c>
      <c r="Q614" t="s">
        <v>37</v>
      </c>
      <c r="R614">
        <v>5</v>
      </c>
      <c r="S614" t="s">
        <v>41</v>
      </c>
      <c r="T614" t="s">
        <v>403</v>
      </c>
      <c r="U614" t="s">
        <v>25</v>
      </c>
      <c r="V614" t="s">
        <v>25</v>
      </c>
    </row>
    <row r="615" spans="1:22" hidden="1" x14ac:dyDescent="0.2">
      <c r="A615" t="s">
        <v>426</v>
      </c>
      <c r="B615" t="s">
        <v>23</v>
      </c>
      <c r="C615" t="s">
        <v>427</v>
      </c>
      <c r="D615" t="s">
        <v>25</v>
      </c>
      <c r="E615" t="s">
        <v>428</v>
      </c>
      <c r="F615" t="s">
        <v>429</v>
      </c>
      <c r="G615" t="s">
        <v>430</v>
      </c>
      <c r="H615" t="s">
        <v>431</v>
      </c>
      <c r="I615" t="s">
        <v>25</v>
      </c>
      <c r="J615" t="s">
        <v>432</v>
      </c>
      <c r="K615" t="s">
        <v>433</v>
      </c>
      <c r="L615" t="s">
        <v>434</v>
      </c>
      <c r="M615" t="s">
        <v>435</v>
      </c>
      <c r="O615" t="s">
        <v>436</v>
      </c>
      <c r="P615" t="s">
        <v>36</v>
      </c>
      <c r="Q615" t="s">
        <v>37</v>
      </c>
      <c r="R615">
        <v>2</v>
      </c>
      <c r="S615" t="s">
        <v>38</v>
      </c>
      <c r="T615" t="s">
        <v>103</v>
      </c>
      <c r="U615" t="s">
        <v>53</v>
      </c>
      <c r="V615" t="s">
        <v>54</v>
      </c>
    </row>
    <row r="616" spans="1:22" hidden="1" x14ac:dyDescent="0.2">
      <c r="A616" t="s">
        <v>426</v>
      </c>
      <c r="B616" t="s">
        <v>23</v>
      </c>
      <c r="C616" t="s">
        <v>427</v>
      </c>
      <c r="D616" t="s">
        <v>25</v>
      </c>
      <c r="E616" t="s">
        <v>428</v>
      </c>
      <c r="F616" t="s">
        <v>429</v>
      </c>
      <c r="G616" t="s">
        <v>430</v>
      </c>
      <c r="H616" t="s">
        <v>431</v>
      </c>
      <c r="I616" t="s">
        <v>25</v>
      </c>
      <c r="J616" t="s">
        <v>432</v>
      </c>
      <c r="K616" t="s">
        <v>433</v>
      </c>
      <c r="L616" t="s">
        <v>434</v>
      </c>
      <c r="M616" t="s">
        <v>435</v>
      </c>
      <c r="O616" t="s">
        <v>436</v>
      </c>
      <c r="P616" t="s">
        <v>36</v>
      </c>
      <c r="Q616" t="s">
        <v>37</v>
      </c>
      <c r="R616">
        <v>2</v>
      </c>
      <c r="S616" t="s">
        <v>38</v>
      </c>
      <c r="T616" t="s">
        <v>103</v>
      </c>
      <c r="U616" t="s">
        <v>55</v>
      </c>
      <c r="V616" t="s">
        <v>56</v>
      </c>
    </row>
    <row r="617" spans="1:22" hidden="1" x14ac:dyDescent="0.2">
      <c r="A617" t="s">
        <v>426</v>
      </c>
      <c r="B617" t="s">
        <v>23</v>
      </c>
      <c r="C617" t="s">
        <v>427</v>
      </c>
      <c r="D617" t="s">
        <v>25</v>
      </c>
      <c r="E617" t="s">
        <v>428</v>
      </c>
      <c r="F617" t="s">
        <v>429</v>
      </c>
      <c r="G617" t="s">
        <v>430</v>
      </c>
      <c r="H617" t="s">
        <v>431</v>
      </c>
      <c r="I617" t="s">
        <v>25</v>
      </c>
      <c r="J617" t="s">
        <v>432</v>
      </c>
      <c r="K617" t="s">
        <v>433</v>
      </c>
      <c r="L617" t="s">
        <v>434</v>
      </c>
      <c r="M617" t="s">
        <v>435</v>
      </c>
      <c r="O617" t="s">
        <v>436</v>
      </c>
      <c r="P617" t="s">
        <v>36</v>
      </c>
      <c r="Q617" t="s">
        <v>37</v>
      </c>
      <c r="R617">
        <v>2</v>
      </c>
      <c r="S617" t="s">
        <v>38</v>
      </c>
      <c r="T617" t="s">
        <v>208</v>
      </c>
      <c r="U617" t="s">
        <v>53</v>
      </c>
      <c r="V617" t="s">
        <v>54</v>
      </c>
    </row>
    <row r="618" spans="1:22" hidden="1" x14ac:dyDescent="0.2">
      <c r="A618" t="s">
        <v>426</v>
      </c>
      <c r="B618" t="s">
        <v>23</v>
      </c>
      <c r="C618" t="s">
        <v>427</v>
      </c>
      <c r="D618" t="s">
        <v>25</v>
      </c>
      <c r="E618" t="s">
        <v>428</v>
      </c>
      <c r="F618" t="s">
        <v>429</v>
      </c>
      <c r="G618" t="s">
        <v>430</v>
      </c>
      <c r="H618" t="s">
        <v>431</v>
      </c>
      <c r="I618" t="s">
        <v>25</v>
      </c>
      <c r="J618" t="s">
        <v>432</v>
      </c>
      <c r="K618" t="s">
        <v>433</v>
      </c>
      <c r="L618" t="s">
        <v>434</v>
      </c>
      <c r="M618" t="s">
        <v>435</v>
      </c>
      <c r="O618" t="s">
        <v>436</v>
      </c>
      <c r="P618" t="s">
        <v>36</v>
      </c>
      <c r="Q618" t="s">
        <v>37</v>
      </c>
      <c r="R618">
        <v>2</v>
      </c>
      <c r="S618" t="s">
        <v>38</v>
      </c>
      <c r="T618" t="s">
        <v>208</v>
      </c>
      <c r="U618" t="s">
        <v>55</v>
      </c>
      <c r="V618" t="s">
        <v>56</v>
      </c>
    </row>
    <row r="619" spans="1:22" hidden="1" x14ac:dyDescent="0.2">
      <c r="A619" t="s">
        <v>426</v>
      </c>
      <c r="B619" t="s">
        <v>23</v>
      </c>
      <c r="C619" t="s">
        <v>427</v>
      </c>
      <c r="D619" t="s">
        <v>25</v>
      </c>
      <c r="E619" t="s">
        <v>428</v>
      </c>
      <c r="F619" t="s">
        <v>429</v>
      </c>
      <c r="G619" t="s">
        <v>430</v>
      </c>
      <c r="H619" t="s">
        <v>431</v>
      </c>
      <c r="I619" t="s">
        <v>25</v>
      </c>
      <c r="J619" t="s">
        <v>432</v>
      </c>
      <c r="K619" t="s">
        <v>433</v>
      </c>
      <c r="L619" t="s">
        <v>434</v>
      </c>
      <c r="M619" t="s">
        <v>435</v>
      </c>
      <c r="O619" t="s">
        <v>436</v>
      </c>
      <c r="P619" t="s">
        <v>40</v>
      </c>
      <c r="Q619" t="s">
        <v>37</v>
      </c>
      <c r="R619">
        <v>5</v>
      </c>
      <c r="S619" t="s">
        <v>41</v>
      </c>
      <c r="T619" t="s">
        <v>103</v>
      </c>
      <c r="U619" t="s">
        <v>53</v>
      </c>
      <c r="V619" t="s">
        <v>54</v>
      </c>
    </row>
    <row r="620" spans="1:22" hidden="1" x14ac:dyDescent="0.2">
      <c r="A620" t="s">
        <v>426</v>
      </c>
      <c r="B620" t="s">
        <v>23</v>
      </c>
      <c r="C620" t="s">
        <v>427</v>
      </c>
      <c r="D620" t="s">
        <v>25</v>
      </c>
      <c r="E620" t="s">
        <v>428</v>
      </c>
      <c r="F620" t="s">
        <v>429</v>
      </c>
      <c r="G620" t="s">
        <v>430</v>
      </c>
      <c r="H620" t="s">
        <v>431</v>
      </c>
      <c r="I620" t="s">
        <v>25</v>
      </c>
      <c r="J620" t="s">
        <v>432</v>
      </c>
      <c r="K620" t="s">
        <v>433</v>
      </c>
      <c r="L620" t="s">
        <v>434</v>
      </c>
      <c r="M620" t="s">
        <v>435</v>
      </c>
      <c r="O620" t="s">
        <v>436</v>
      </c>
      <c r="P620" t="s">
        <v>40</v>
      </c>
      <c r="Q620" t="s">
        <v>37</v>
      </c>
      <c r="R620">
        <v>5</v>
      </c>
      <c r="S620" t="s">
        <v>41</v>
      </c>
      <c r="T620" t="s">
        <v>103</v>
      </c>
      <c r="U620" t="s">
        <v>55</v>
      </c>
      <c r="V620" t="s">
        <v>56</v>
      </c>
    </row>
    <row r="621" spans="1:22" hidden="1" x14ac:dyDescent="0.2">
      <c r="A621" t="s">
        <v>426</v>
      </c>
      <c r="B621" t="s">
        <v>23</v>
      </c>
      <c r="C621" t="s">
        <v>427</v>
      </c>
      <c r="D621" t="s">
        <v>25</v>
      </c>
      <c r="E621" t="s">
        <v>428</v>
      </c>
      <c r="F621" t="s">
        <v>429</v>
      </c>
      <c r="G621" t="s">
        <v>430</v>
      </c>
      <c r="H621" t="s">
        <v>431</v>
      </c>
      <c r="I621" t="s">
        <v>25</v>
      </c>
      <c r="J621" t="s">
        <v>432</v>
      </c>
      <c r="K621" t="s">
        <v>433</v>
      </c>
      <c r="L621" t="s">
        <v>434</v>
      </c>
      <c r="M621" t="s">
        <v>435</v>
      </c>
      <c r="O621" t="s">
        <v>436</v>
      </c>
      <c r="P621" t="s">
        <v>40</v>
      </c>
      <c r="Q621" t="s">
        <v>37</v>
      </c>
      <c r="R621">
        <v>5</v>
      </c>
      <c r="S621" t="s">
        <v>41</v>
      </c>
      <c r="T621" t="s">
        <v>208</v>
      </c>
      <c r="U621" t="s">
        <v>53</v>
      </c>
      <c r="V621" t="s">
        <v>54</v>
      </c>
    </row>
    <row r="622" spans="1:22" hidden="1" x14ac:dyDescent="0.2">
      <c r="A622" t="s">
        <v>426</v>
      </c>
      <c r="B622" t="s">
        <v>23</v>
      </c>
      <c r="C622" t="s">
        <v>427</v>
      </c>
      <c r="D622" t="s">
        <v>25</v>
      </c>
      <c r="E622" t="s">
        <v>428</v>
      </c>
      <c r="F622" t="s">
        <v>429</v>
      </c>
      <c r="G622" t="s">
        <v>430</v>
      </c>
      <c r="H622" t="s">
        <v>431</v>
      </c>
      <c r="I622" t="s">
        <v>25</v>
      </c>
      <c r="J622" t="s">
        <v>432</v>
      </c>
      <c r="K622" t="s">
        <v>433</v>
      </c>
      <c r="L622" t="s">
        <v>434</v>
      </c>
      <c r="M622" t="s">
        <v>435</v>
      </c>
      <c r="O622" t="s">
        <v>436</v>
      </c>
      <c r="P622" t="s">
        <v>40</v>
      </c>
      <c r="Q622" t="s">
        <v>37</v>
      </c>
      <c r="R622">
        <v>5</v>
      </c>
      <c r="S622" t="s">
        <v>41</v>
      </c>
      <c r="T622" t="s">
        <v>208</v>
      </c>
      <c r="U622" t="s">
        <v>55</v>
      </c>
      <c r="V622" t="s">
        <v>56</v>
      </c>
    </row>
    <row r="623" spans="1:22" hidden="1" x14ac:dyDescent="0.2">
      <c r="A623" t="s">
        <v>437</v>
      </c>
      <c r="B623" t="s">
        <v>23</v>
      </c>
      <c r="C623" t="s">
        <v>325</v>
      </c>
      <c r="D623" t="s">
        <v>438</v>
      </c>
      <c r="E623" t="s">
        <v>439</v>
      </c>
      <c r="F623" t="s">
        <v>440</v>
      </c>
      <c r="G623" t="s">
        <v>441</v>
      </c>
      <c r="H623" t="s">
        <v>25</v>
      </c>
      <c r="I623" t="s">
        <v>442</v>
      </c>
      <c r="J623" t="s">
        <v>443</v>
      </c>
      <c r="K623" t="s">
        <v>444</v>
      </c>
      <c r="L623" t="s">
        <v>445</v>
      </c>
      <c r="M623" t="s">
        <v>446</v>
      </c>
      <c r="O623" t="s">
        <v>447</v>
      </c>
      <c r="T623" t="s">
        <v>58</v>
      </c>
      <c r="U623" t="s">
        <v>53</v>
      </c>
      <c r="V623" t="s">
        <v>314</v>
      </c>
    </row>
    <row r="624" spans="1:22" hidden="1" x14ac:dyDescent="0.2">
      <c r="A624" t="s">
        <v>437</v>
      </c>
      <c r="B624" t="s">
        <v>23</v>
      </c>
      <c r="C624" t="s">
        <v>325</v>
      </c>
      <c r="D624" t="s">
        <v>438</v>
      </c>
      <c r="E624" t="s">
        <v>439</v>
      </c>
      <c r="F624" t="s">
        <v>440</v>
      </c>
      <c r="G624" t="s">
        <v>441</v>
      </c>
      <c r="H624" t="s">
        <v>25</v>
      </c>
      <c r="I624" t="s">
        <v>442</v>
      </c>
      <c r="J624" t="s">
        <v>443</v>
      </c>
      <c r="K624" t="s">
        <v>444</v>
      </c>
      <c r="L624" t="s">
        <v>445</v>
      </c>
      <c r="M624" t="s">
        <v>446</v>
      </c>
      <c r="O624" t="s">
        <v>447</v>
      </c>
      <c r="T624" t="s">
        <v>59</v>
      </c>
      <c r="U624" t="s">
        <v>53</v>
      </c>
      <c r="V624" t="s">
        <v>314</v>
      </c>
    </row>
    <row r="625" spans="1:22" hidden="1" x14ac:dyDescent="0.2">
      <c r="A625" t="s">
        <v>437</v>
      </c>
      <c r="B625" t="s">
        <v>23</v>
      </c>
      <c r="C625" t="s">
        <v>325</v>
      </c>
      <c r="D625" t="s">
        <v>438</v>
      </c>
      <c r="E625" t="s">
        <v>439</v>
      </c>
      <c r="F625" t="s">
        <v>440</v>
      </c>
      <c r="G625" t="s">
        <v>441</v>
      </c>
      <c r="H625" t="s">
        <v>25</v>
      </c>
      <c r="I625" t="s">
        <v>442</v>
      </c>
      <c r="J625" t="s">
        <v>443</v>
      </c>
      <c r="K625" t="s">
        <v>444</v>
      </c>
      <c r="L625" t="s">
        <v>445</v>
      </c>
      <c r="M625" t="s">
        <v>446</v>
      </c>
      <c r="O625" t="s">
        <v>447</v>
      </c>
      <c r="T625" t="s">
        <v>60</v>
      </c>
      <c r="U625" t="s">
        <v>53</v>
      </c>
      <c r="V625" t="s">
        <v>314</v>
      </c>
    </row>
    <row r="626" spans="1:22" hidden="1" x14ac:dyDescent="0.2">
      <c r="A626" t="s">
        <v>437</v>
      </c>
      <c r="B626" t="s">
        <v>23</v>
      </c>
      <c r="C626" t="s">
        <v>325</v>
      </c>
      <c r="D626" t="s">
        <v>438</v>
      </c>
      <c r="E626" t="s">
        <v>439</v>
      </c>
      <c r="F626" t="s">
        <v>440</v>
      </c>
      <c r="G626" t="s">
        <v>441</v>
      </c>
      <c r="H626" t="s">
        <v>25</v>
      </c>
      <c r="I626" t="s">
        <v>442</v>
      </c>
      <c r="J626" t="s">
        <v>443</v>
      </c>
      <c r="K626" t="s">
        <v>444</v>
      </c>
      <c r="L626" t="s">
        <v>445</v>
      </c>
      <c r="M626" t="s">
        <v>446</v>
      </c>
      <c r="O626" t="s">
        <v>447</v>
      </c>
      <c r="T626" t="s">
        <v>198</v>
      </c>
      <c r="U626" t="s">
        <v>53</v>
      </c>
      <c r="V626" t="s">
        <v>314</v>
      </c>
    </row>
    <row r="627" spans="1:22" hidden="1" x14ac:dyDescent="0.2">
      <c r="A627" t="s">
        <v>437</v>
      </c>
      <c r="B627" t="s">
        <v>23</v>
      </c>
      <c r="C627" t="s">
        <v>325</v>
      </c>
      <c r="D627" t="s">
        <v>438</v>
      </c>
      <c r="E627" t="s">
        <v>439</v>
      </c>
      <c r="F627" t="s">
        <v>440</v>
      </c>
      <c r="G627" t="s">
        <v>441</v>
      </c>
      <c r="H627" t="s">
        <v>25</v>
      </c>
      <c r="I627" t="s">
        <v>442</v>
      </c>
      <c r="J627" t="s">
        <v>443</v>
      </c>
      <c r="K627" t="s">
        <v>444</v>
      </c>
      <c r="L627" t="s">
        <v>445</v>
      </c>
      <c r="M627" t="s">
        <v>446</v>
      </c>
      <c r="O627" t="s">
        <v>447</v>
      </c>
      <c r="T627" t="s">
        <v>62</v>
      </c>
      <c r="U627" t="s">
        <v>53</v>
      </c>
      <c r="V627" t="s">
        <v>314</v>
      </c>
    </row>
    <row r="628" spans="1:22" hidden="1" x14ac:dyDescent="0.2">
      <c r="A628" t="s">
        <v>437</v>
      </c>
      <c r="B628" t="s">
        <v>23</v>
      </c>
      <c r="C628" t="s">
        <v>325</v>
      </c>
      <c r="D628" t="s">
        <v>438</v>
      </c>
      <c r="E628" t="s">
        <v>439</v>
      </c>
      <c r="F628" t="s">
        <v>440</v>
      </c>
      <c r="G628" t="s">
        <v>441</v>
      </c>
      <c r="H628" t="s">
        <v>25</v>
      </c>
      <c r="I628" t="s">
        <v>442</v>
      </c>
      <c r="J628" t="s">
        <v>443</v>
      </c>
      <c r="K628" t="s">
        <v>444</v>
      </c>
      <c r="L628" t="s">
        <v>445</v>
      </c>
      <c r="M628" t="s">
        <v>446</v>
      </c>
      <c r="O628" t="s">
        <v>447</v>
      </c>
      <c r="T628" t="s">
        <v>131</v>
      </c>
      <c r="U628" t="s">
        <v>53</v>
      </c>
      <c r="V628" t="s">
        <v>314</v>
      </c>
    </row>
    <row r="629" spans="1:22" hidden="1" x14ac:dyDescent="0.2">
      <c r="A629" t="s">
        <v>448</v>
      </c>
      <c r="B629" t="s">
        <v>23</v>
      </c>
      <c r="C629" t="s">
        <v>449</v>
      </c>
      <c r="D629" t="s">
        <v>25</v>
      </c>
      <c r="E629" t="s">
        <v>450</v>
      </c>
      <c r="F629" t="s">
        <v>451</v>
      </c>
      <c r="G629" t="s">
        <v>25</v>
      </c>
      <c r="H629" t="s">
        <v>452</v>
      </c>
      <c r="I629" t="s">
        <v>25</v>
      </c>
      <c r="J629" t="s">
        <v>453</v>
      </c>
      <c r="K629" t="s">
        <v>25</v>
      </c>
      <c r="T629" t="s">
        <v>39</v>
      </c>
      <c r="U629" t="s">
        <v>25</v>
      </c>
      <c r="V629" t="s">
        <v>25</v>
      </c>
    </row>
    <row r="630" spans="1:22" hidden="1" x14ac:dyDescent="0.2">
      <c r="A630" t="s">
        <v>448</v>
      </c>
      <c r="B630" t="s">
        <v>23</v>
      </c>
      <c r="C630" t="s">
        <v>449</v>
      </c>
      <c r="D630" t="s">
        <v>25</v>
      </c>
      <c r="E630" t="s">
        <v>450</v>
      </c>
      <c r="F630" t="s">
        <v>451</v>
      </c>
      <c r="G630" t="s">
        <v>25</v>
      </c>
      <c r="H630" t="s">
        <v>452</v>
      </c>
      <c r="I630" t="s">
        <v>25</v>
      </c>
      <c r="J630" t="s">
        <v>453</v>
      </c>
      <c r="K630" t="s">
        <v>25</v>
      </c>
      <c r="T630" t="s">
        <v>57</v>
      </c>
      <c r="U630" t="s">
        <v>25</v>
      </c>
      <c r="V630" t="s">
        <v>25</v>
      </c>
    </row>
    <row r="631" spans="1:22" hidden="1" x14ac:dyDescent="0.2">
      <c r="A631" t="s">
        <v>448</v>
      </c>
      <c r="B631" t="s">
        <v>23</v>
      </c>
      <c r="C631" t="s">
        <v>449</v>
      </c>
      <c r="D631" t="s">
        <v>25</v>
      </c>
      <c r="E631" t="s">
        <v>450</v>
      </c>
      <c r="F631" t="s">
        <v>451</v>
      </c>
      <c r="G631" t="s">
        <v>25</v>
      </c>
      <c r="H631" t="s">
        <v>452</v>
      </c>
      <c r="I631" t="s">
        <v>25</v>
      </c>
      <c r="J631" t="s">
        <v>453</v>
      </c>
      <c r="K631" t="s">
        <v>25</v>
      </c>
      <c r="T631" t="s">
        <v>58</v>
      </c>
      <c r="U631" t="s">
        <v>25</v>
      </c>
      <c r="V631" t="s">
        <v>25</v>
      </c>
    </row>
    <row r="632" spans="1:22" hidden="1" x14ac:dyDescent="0.2">
      <c r="A632" t="s">
        <v>448</v>
      </c>
      <c r="B632" t="s">
        <v>23</v>
      </c>
      <c r="C632" t="s">
        <v>449</v>
      </c>
      <c r="D632" t="s">
        <v>25</v>
      </c>
      <c r="E632" t="s">
        <v>450</v>
      </c>
      <c r="F632" t="s">
        <v>451</v>
      </c>
      <c r="G632" t="s">
        <v>25</v>
      </c>
      <c r="H632" t="s">
        <v>452</v>
      </c>
      <c r="I632" t="s">
        <v>25</v>
      </c>
      <c r="J632" t="s">
        <v>453</v>
      </c>
      <c r="K632" t="s">
        <v>25</v>
      </c>
      <c r="T632" t="s">
        <v>59</v>
      </c>
      <c r="U632" t="s">
        <v>25</v>
      </c>
      <c r="V632" t="s">
        <v>25</v>
      </c>
    </row>
    <row r="633" spans="1:22" hidden="1" x14ac:dyDescent="0.2">
      <c r="A633" t="s">
        <v>448</v>
      </c>
      <c r="B633" t="s">
        <v>23</v>
      </c>
      <c r="C633" t="s">
        <v>449</v>
      </c>
      <c r="D633" t="s">
        <v>25</v>
      </c>
      <c r="E633" t="s">
        <v>450</v>
      </c>
      <c r="F633" t="s">
        <v>451</v>
      </c>
      <c r="G633" t="s">
        <v>25</v>
      </c>
      <c r="H633" t="s">
        <v>452</v>
      </c>
      <c r="I633" t="s">
        <v>25</v>
      </c>
      <c r="J633" t="s">
        <v>453</v>
      </c>
      <c r="K633" t="s">
        <v>25</v>
      </c>
      <c r="T633" t="s">
        <v>60</v>
      </c>
      <c r="U633" t="s">
        <v>25</v>
      </c>
      <c r="V633" t="s">
        <v>25</v>
      </c>
    </row>
    <row r="634" spans="1:22" hidden="1" x14ac:dyDescent="0.2">
      <c r="A634" t="s">
        <v>448</v>
      </c>
      <c r="B634" t="s">
        <v>23</v>
      </c>
      <c r="C634" t="s">
        <v>449</v>
      </c>
      <c r="D634" t="s">
        <v>25</v>
      </c>
      <c r="E634" t="s">
        <v>450</v>
      </c>
      <c r="F634" t="s">
        <v>451</v>
      </c>
      <c r="G634" t="s">
        <v>25</v>
      </c>
      <c r="H634" t="s">
        <v>452</v>
      </c>
      <c r="I634" t="s">
        <v>25</v>
      </c>
      <c r="J634" t="s">
        <v>453</v>
      </c>
      <c r="K634" t="s">
        <v>25</v>
      </c>
      <c r="T634" t="s">
        <v>61</v>
      </c>
      <c r="U634" t="s">
        <v>25</v>
      </c>
      <c r="V634" t="s">
        <v>25</v>
      </c>
    </row>
    <row r="635" spans="1:22" hidden="1" x14ac:dyDescent="0.2">
      <c r="A635" t="s">
        <v>454</v>
      </c>
      <c r="B635" t="s">
        <v>23</v>
      </c>
      <c r="C635" t="s">
        <v>455</v>
      </c>
      <c r="D635" t="s">
        <v>456</v>
      </c>
      <c r="E635" t="s">
        <v>457</v>
      </c>
      <c r="F635" t="s">
        <v>458</v>
      </c>
      <c r="G635" t="s">
        <v>25</v>
      </c>
      <c r="H635" t="s">
        <v>459</v>
      </c>
      <c r="I635" t="s">
        <v>460</v>
      </c>
      <c r="J635" t="s">
        <v>461</v>
      </c>
      <c r="K635" t="s">
        <v>25</v>
      </c>
      <c r="M635" t="s">
        <v>462</v>
      </c>
      <c r="T635" t="s">
        <v>57</v>
      </c>
    </row>
    <row r="636" spans="1:22" hidden="1" x14ac:dyDescent="0.2">
      <c r="A636" t="s">
        <v>454</v>
      </c>
      <c r="B636" t="s">
        <v>23</v>
      </c>
      <c r="C636" t="s">
        <v>455</v>
      </c>
      <c r="D636" t="s">
        <v>456</v>
      </c>
      <c r="E636" t="s">
        <v>457</v>
      </c>
      <c r="F636" t="s">
        <v>458</v>
      </c>
      <c r="G636" t="s">
        <v>25</v>
      </c>
      <c r="H636" t="s">
        <v>459</v>
      </c>
      <c r="I636" t="s">
        <v>460</v>
      </c>
      <c r="J636" t="s">
        <v>461</v>
      </c>
      <c r="K636" t="s">
        <v>25</v>
      </c>
      <c r="M636" t="s">
        <v>462</v>
      </c>
      <c r="T636" t="s">
        <v>39</v>
      </c>
    </row>
    <row r="637" spans="1:22" hidden="1" x14ac:dyDescent="0.2">
      <c r="A637" t="s">
        <v>454</v>
      </c>
      <c r="B637" t="s">
        <v>23</v>
      </c>
      <c r="C637" t="s">
        <v>455</v>
      </c>
      <c r="D637" t="s">
        <v>456</v>
      </c>
      <c r="E637" t="s">
        <v>457</v>
      </c>
      <c r="F637" t="s">
        <v>458</v>
      </c>
      <c r="G637" t="s">
        <v>25</v>
      </c>
      <c r="H637" t="s">
        <v>459</v>
      </c>
      <c r="I637" t="s">
        <v>460</v>
      </c>
      <c r="J637" t="s">
        <v>461</v>
      </c>
      <c r="K637" t="s">
        <v>25</v>
      </c>
      <c r="M637" t="s">
        <v>462</v>
      </c>
      <c r="T637" t="s">
        <v>58</v>
      </c>
    </row>
    <row r="638" spans="1:22" hidden="1" x14ac:dyDescent="0.2">
      <c r="A638" t="s">
        <v>454</v>
      </c>
      <c r="B638" t="s">
        <v>23</v>
      </c>
      <c r="C638" t="s">
        <v>455</v>
      </c>
      <c r="D638" t="s">
        <v>456</v>
      </c>
      <c r="E638" t="s">
        <v>457</v>
      </c>
      <c r="F638" t="s">
        <v>458</v>
      </c>
      <c r="G638" t="s">
        <v>25</v>
      </c>
      <c r="H638" t="s">
        <v>459</v>
      </c>
      <c r="I638" t="s">
        <v>460</v>
      </c>
      <c r="J638" t="s">
        <v>461</v>
      </c>
      <c r="K638" t="s">
        <v>25</v>
      </c>
      <c r="M638" t="s">
        <v>462</v>
      </c>
      <c r="T638" t="s">
        <v>236</v>
      </c>
    </row>
    <row r="639" spans="1:22" hidden="1" x14ac:dyDescent="0.2">
      <c r="A639" t="s">
        <v>454</v>
      </c>
      <c r="B639" t="s">
        <v>23</v>
      </c>
      <c r="C639" t="s">
        <v>455</v>
      </c>
      <c r="D639" t="s">
        <v>456</v>
      </c>
      <c r="E639" t="s">
        <v>457</v>
      </c>
      <c r="F639" t="s">
        <v>458</v>
      </c>
      <c r="G639" t="s">
        <v>25</v>
      </c>
      <c r="H639" t="s">
        <v>459</v>
      </c>
      <c r="I639" t="s">
        <v>460</v>
      </c>
      <c r="J639" t="s">
        <v>461</v>
      </c>
      <c r="K639" t="s">
        <v>25</v>
      </c>
      <c r="M639" t="s">
        <v>462</v>
      </c>
      <c r="T639" t="s">
        <v>61</v>
      </c>
    </row>
    <row r="640" spans="1:22" hidden="1" x14ac:dyDescent="0.2">
      <c r="A640" t="s">
        <v>463</v>
      </c>
      <c r="B640" t="s">
        <v>23</v>
      </c>
      <c r="C640" t="s">
        <v>311</v>
      </c>
      <c r="D640" t="s">
        <v>25</v>
      </c>
      <c r="E640" t="s">
        <v>464</v>
      </c>
      <c r="F640" t="s">
        <v>465</v>
      </c>
      <c r="G640" t="s">
        <v>466</v>
      </c>
      <c r="H640" t="s">
        <v>467</v>
      </c>
      <c r="I640" t="s">
        <v>468</v>
      </c>
      <c r="J640" t="s">
        <v>469</v>
      </c>
      <c r="K640" t="s">
        <v>470</v>
      </c>
      <c r="T640" t="s">
        <v>58</v>
      </c>
      <c r="U640" t="s">
        <v>53</v>
      </c>
      <c r="V640" t="s">
        <v>303</v>
      </c>
    </row>
    <row r="641" spans="1:22" hidden="1" x14ac:dyDescent="0.2">
      <c r="A641" t="s">
        <v>463</v>
      </c>
      <c r="B641" t="s">
        <v>23</v>
      </c>
      <c r="C641" t="s">
        <v>311</v>
      </c>
      <c r="D641" t="s">
        <v>25</v>
      </c>
      <c r="E641" t="s">
        <v>464</v>
      </c>
      <c r="F641" t="s">
        <v>465</v>
      </c>
      <c r="G641" t="s">
        <v>466</v>
      </c>
      <c r="H641" t="s">
        <v>467</v>
      </c>
      <c r="I641" t="s">
        <v>468</v>
      </c>
      <c r="J641" t="s">
        <v>469</v>
      </c>
      <c r="K641" t="s">
        <v>470</v>
      </c>
      <c r="T641" t="s">
        <v>59</v>
      </c>
      <c r="U641" t="s">
        <v>53</v>
      </c>
      <c r="V641" t="s">
        <v>303</v>
      </c>
    </row>
    <row r="642" spans="1:22" hidden="1" x14ac:dyDescent="0.2">
      <c r="A642" t="s">
        <v>463</v>
      </c>
      <c r="B642" t="s">
        <v>23</v>
      </c>
      <c r="C642" t="s">
        <v>311</v>
      </c>
      <c r="D642" t="s">
        <v>25</v>
      </c>
      <c r="E642" t="s">
        <v>464</v>
      </c>
      <c r="F642" t="s">
        <v>465</v>
      </c>
      <c r="G642" t="s">
        <v>466</v>
      </c>
      <c r="H642" t="s">
        <v>467</v>
      </c>
      <c r="I642" t="s">
        <v>468</v>
      </c>
      <c r="J642" t="s">
        <v>469</v>
      </c>
      <c r="K642" t="s">
        <v>470</v>
      </c>
      <c r="T642" t="s">
        <v>60</v>
      </c>
      <c r="U642" t="s">
        <v>53</v>
      </c>
      <c r="V642" t="s">
        <v>303</v>
      </c>
    </row>
    <row r="643" spans="1:22" hidden="1" x14ac:dyDescent="0.2">
      <c r="A643" t="s">
        <v>463</v>
      </c>
      <c r="B643" t="s">
        <v>23</v>
      </c>
      <c r="C643" t="s">
        <v>311</v>
      </c>
      <c r="D643" t="s">
        <v>25</v>
      </c>
      <c r="E643" t="s">
        <v>464</v>
      </c>
      <c r="F643" t="s">
        <v>465</v>
      </c>
      <c r="G643" t="s">
        <v>466</v>
      </c>
      <c r="H643" t="s">
        <v>467</v>
      </c>
      <c r="I643" t="s">
        <v>468</v>
      </c>
      <c r="J643" t="s">
        <v>469</v>
      </c>
      <c r="K643" t="s">
        <v>470</v>
      </c>
      <c r="T643" t="s">
        <v>326</v>
      </c>
      <c r="U643" t="s">
        <v>53</v>
      </c>
      <c r="V643" t="s">
        <v>303</v>
      </c>
    </row>
    <row r="644" spans="1:22" hidden="1" x14ac:dyDescent="0.2">
      <c r="A644" t="s">
        <v>463</v>
      </c>
      <c r="B644" t="s">
        <v>23</v>
      </c>
      <c r="C644" t="s">
        <v>311</v>
      </c>
      <c r="D644" t="s">
        <v>25</v>
      </c>
      <c r="E644" t="s">
        <v>464</v>
      </c>
      <c r="F644" t="s">
        <v>465</v>
      </c>
      <c r="G644" t="s">
        <v>466</v>
      </c>
      <c r="H644" t="s">
        <v>467</v>
      </c>
      <c r="I644" t="s">
        <v>468</v>
      </c>
      <c r="J644" t="s">
        <v>469</v>
      </c>
      <c r="K644" t="s">
        <v>470</v>
      </c>
      <c r="T644" t="s">
        <v>39</v>
      </c>
      <c r="U644" t="s">
        <v>53</v>
      </c>
      <c r="V644" t="s">
        <v>303</v>
      </c>
    </row>
    <row r="645" spans="1:22" hidden="1" x14ac:dyDescent="0.2">
      <c r="A645" t="s">
        <v>463</v>
      </c>
      <c r="B645" t="s">
        <v>23</v>
      </c>
      <c r="C645" t="s">
        <v>311</v>
      </c>
      <c r="D645" t="s">
        <v>25</v>
      </c>
      <c r="E645" t="s">
        <v>464</v>
      </c>
      <c r="F645" t="s">
        <v>465</v>
      </c>
      <c r="G645" t="s">
        <v>466</v>
      </c>
      <c r="H645" t="s">
        <v>467</v>
      </c>
      <c r="I645" t="s">
        <v>468</v>
      </c>
      <c r="J645" t="s">
        <v>469</v>
      </c>
      <c r="K645" t="s">
        <v>470</v>
      </c>
      <c r="T645" t="s">
        <v>57</v>
      </c>
      <c r="U645" t="s">
        <v>53</v>
      </c>
      <c r="V645" t="s">
        <v>303</v>
      </c>
    </row>
    <row r="646" spans="1:22" hidden="1" x14ac:dyDescent="0.2">
      <c r="A646" t="s">
        <v>463</v>
      </c>
      <c r="B646" t="s">
        <v>23</v>
      </c>
      <c r="C646" t="s">
        <v>311</v>
      </c>
      <c r="D646" t="s">
        <v>25</v>
      </c>
      <c r="E646" t="s">
        <v>464</v>
      </c>
      <c r="F646" t="s">
        <v>465</v>
      </c>
      <c r="G646" t="s">
        <v>466</v>
      </c>
      <c r="H646" t="s">
        <v>467</v>
      </c>
      <c r="I646" t="s">
        <v>468</v>
      </c>
      <c r="J646" t="s">
        <v>469</v>
      </c>
      <c r="K646" t="s">
        <v>470</v>
      </c>
      <c r="T646" t="s">
        <v>80</v>
      </c>
      <c r="U646" t="s">
        <v>53</v>
      </c>
      <c r="V646" t="s">
        <v>303</v>
      </c>
    </row>
    <row r="647" spans="1:22" hidden="1" x14ac:dyDescent="0.2">
      <c r="A647" t="s">
        <v>471</v>
      </c>
      <c r="B647" t="s">
        <v>23</v>
      </c>
      <c r="C647" t="s">
        <v>472</v>
      </c>
      <c r="D647" t="s">
        <v>25</v>
      </c>
      <c r="E647" t="s">
        <v>473</v>
      </c>
      <c r="F647" t="s">
        <v>25</v>
      </c>
      <c r="G647" t="s">
        <v>25</v>
      </c>
      <c r="H647" t="s">
        <v>474</v>
      </c>
      <c r="I647" t="s">
        <v>25</v>
      </c>
      <c r="J647" t="s">
        <v>25</v>
      </c>
      <c r="K647" t="s">
        <v>25</v>
      </c>
      <c r="N647" t="s">
        <v>25</v>
      </c>
      <c r="T647" t="s">
        <v>475</v>
      </c>
      <c r="U647" t="s">
        <v>25</v>
      </c>
      <c r="V647" t="s">
        <v>25</v>
      </c>
    </row>
    <row r="648" spans="1:22" hidden="1" x14ac:dyDescent="0.2">
      <c r="A648" t="s">
        <v>471</v>
      </c>
      <c r="B648" t="s">
        <v>23</v>
      </c>
      <c r="C648" t="s">
        <v>472</v>
      </c>
      <c r="D648" t="s">
        <v>25</v>
      </c>
      <c r="E648" t="s">
        <v>473</v>
      </c>
      <c r="F648" t="s">
        <v>25</v>
      </c>
      <c r="G648" t="s">
        <v>25</v>
      </c>
      <c r="H648" t="s">
        <v>474</v>
      </c>
      <c r="I648" t="s">
        <v>25</v>
      </c>
      <c r="J648" t="s">
        <v>25</v>
      </c>
      <c r="K648" t="s">
        <v>25</v>
      </c>
      <c r="N648" t="s">
        <v>25</v>
      </c>
      <c r="T648" t="s">
        <v>103</v>
      </c>
      <c r="U648" t="s">
        <v>25</v>
      </c>
      <c r="V648" t="s">
        <v>25</v>
      </c>
    </row>
    <row r="649" spans="1:22" hidden="1" x14ac:dyDescent="0.2">
      <c r="A649" t="s">
        <v>476</v>
      </c>
      <c r="B649" t="s">
        <v>23</v>
      </c>
      <c r="C649" t="s">
        <v>197</v>
      </c>
      <c r="D649" t="s">
        <v>25</v>
      </c>
      <c r="E649" t="s">
        <v>477</v>
      </c>
      <c r="F649" t="s">
        <v>478</v>
      </c>
      <c r="G649" t="s">
        <v>479</v>
      </c>
      <c r="H649" t="s">
        <v>25</v>
      </c>
      <c r="I649" t="s">
        <v>480</v>
      </c>
      <c r="J649" t="s">
        <v>481</v>
      </c>
      <c r="K649" t="s">
        <v>25</v>
      </c>
      <c r="L649" t="s">
        <v>482</v>
      </c>
      <c r="M649" t="s">
        <v>483</v>
      </c>
      <c r="O649" t="s">
        <v>484</v>
      </c>
      <c r="T649" t="s">
        <v>39</v>
      </c>
      <c r="U649" t="s">
        <v>53</v>
      </c>
      <c r="V649" t="s">
        <v>396</v>
      </c>
    </row>
    <row r="650" spans="1:22" hidden="1" x14ac:dyDescent="0.2">
      <c r="A650" t="s">
        <v>476</v>
      </c>
      <c r="B650" t="s">
        <v>23</v>
      </c>
      <c r="C650" t="s">
        <v>197</v>
      </c>
      <c r="D650" t="s">
        <v>25</v>
      </c>
      <c r="E650" t="s">
        <v>477</v>
      </c>
      <c r="F650" t="s">
        <v>478</v>
      </c>
      <c r="G650" t="s">
        <v>479</v>
      </c>
      <c r="H650" t="s">
        <v>25</v>
      </c>
      <c r="I650" t="s">
        <v>480</v>
      </c>
      <c r="J650" t="s">
        <v>481</v>
      </c>
      <c r="K650" t="s">
        <v>25</v>
      </c>
      <c r="L650" t="s">
        <v>482</v>
      </c>
      <c r="M650" t="s">
        <v>483</v>
      </c>
      <c r="O650" t="s">
        <v>484</v>
      </c>
      <c r="T650" t="s">
        <v>39</v>
      </c>
      <c r="U650" t="s">
        <v>53</v>
      </c>
      <c r="V650" t="s">
        <v>183</v>
      </c>
    </row>
    <row r="651" spans="1:22" hidden="1" x14ac:dyDescent="0.2">
      <c r="A651" t="s">
        <v>476</v>
      </c>
      <c r="B651" t="s">
        <v>23</v>
      </c>
      <c r="C651" t="s">
        <v>197</v>
      </c>
      <c r="D651" t="s">
        <v>25</v>
      </c>
      <c r="E651" t="s">
        <v>477</v>
      </c>
      <c r="F651" t="s">
        <v>478</v>
      </c>
      <c r="G651" t="s">
        <v>479</v>
      </c>
      <c r="H651" t="s">
        <v>25</v>
      </c>
      <c r="I651" t="s">
        <v>480</v>
      </c>
      <c r="J651" t="s">
        <v>481</v>
      </c>
      <c r="K651" t="s">
        <v>25</v>
      </c>
      <c r="L651" t="s">
        <v>482</v>
      </c>
      <c r="M651" t="s">
        <v>483</v>
      </c>
      <c r="O651" t="s">
        <v>484</v>
      </c>
      <c r="T651" t="s">
        <v>39</v>
      </c>
      <c r="U651" t="s">
        <v>53</v>
      </c>
      <c r="V651" t="s">
        <v>235</v>
      </c>
    </row>
    <row r="652" spans="1:22" hidden="1" x14ac:dyDescent="0.2">
      <c r="A652" t="s">
        <v>476</v>
      </c>
      <c r="B652" t="s">
        <v>23</v>
      </c>
      <c r="C652" t="s">
        <v>197</v>
      </c>
      <c r="D652" t="s">
        <v>25</v>
      </c>
      <c r="E652" t="s">
        <v>477</v>
      </c>
      <c r="F652" t="s">
        <v>478</v>
      </c>
      <c r="G652" t="s">
        <v>479</v>
      </c>
      <c r="H652" t="s">
        <v>25</v>
      </c>
      <c r="I652" t="s">
        <v>480</v>
      </c>
      <c r="J652" t="s">
        <v>481</v>
      </c>
      <c r="K652" t="s">
        <v>25</v>
      </c>
      <c r="L652" t="s">
        <v>482</v>
      </c>
      <c r="M652" t="s">
        <v>483</v>
      </c>
      <c r="O652" t="s">
        <v>484</v>
      </c>
      <c r="T652" t="s">
        <v>39</v>
      </c>
      <c r="U652" t="s">
        <v>55</v>
      </c>
      <c r="V652" t="s">
        <v>195</v>
      </c>
    </row>
    <row r="653" spans="1:22" hidden="1" x14ac:dyDescent="0.2">
      <c r="A653" t="s">
        <v>476</v>
      </c>
      <c r="B653" t="s">
        <v>23</v>
      </c>
      <c r="C653" t="s">
        <v>197</v>
      </c>
      <c r="D653" t="s">
        <v>25</v>
      </c>
      <c r="E653" t="s">
        <v>477</v>
      </c>
      <c r="F653" t="s">
        <v>478</v>
      </c>
      <c r="G653" t="s">
        <v>479</v>
      </c>
      <c r="H653" t="s">
        <v>25</v>
      </c>
      <c r="I653" t="s">
        <v>480</v>
      </c>
      <c r="J653" t="s">
        <v>481</v>
      </c>
      <c r="K653" t="s">
        <v>25</v>
      </c>
      <c r="L653" t="s">
        <v>482</v>
      </c>
      <c r="M653" t="s">
        <v>483</v>
      </c>
      <c r="O653" t="s">
        <v>484</v>
      </c>
      <c r="T653" t="s">
        <v>57</v>
      </c>
      <c r="U653" t="s">
        <v>53</v>
      </c>
      <c r="V653" t="s">
        <v>396</v>
      </c>
    </row>
    <row r="654" spans="1:22" hidden="1" x14ac:dyDescent="0.2">
      <c r="A654" t="s">
        <v>476</v>
      </c>
      <c r="B654" t="s">
        <v>23</v>
      </c>
      <c r="C654" t="s">
        <v>197</v>
      </c>
      <c r="D654" t="s">
        <v>25</v>
      </c>
      <c r="E654" t="s">
        <v>477</v>
      </c>
      <c r="F654" t="s">
        <v>478</v>
      </c>
      <c r="G654" t="s">
        <v>479</v>
      </c>
      <c r="H654" t="s">
        <v>25</v>
      </c>
      <c r="I654" t="s">
        <v>480</v>
      </c>
      <c r="J654" t="s">
        <v>481</v>
      </c>
      <c r="K654" t="s">
        <v>25</v>
      </c>
      <c r="L654" t="s">
        <v>482</v>
      </c>
      <c r="M654" t="s">
        <v>483</v>
      </c>
      <c r="O654" t="s">
        <v>484</v>
      </c>
      <c r="T654" t="s">
        <v>57</v>
      </c>
      <c r="U654" t="s">
        <v>53</v>
      </c>
      <c r="V654" t="s">
        <v>183</v>
      </c>
    </row>
    <row r="655" spans="1:22" hidden="1" x14ac:dyDescent="0.2">
      <c r="A655" t="s">
        <v>476</v>
      </c>
      <c r="B655" t="s">
        <v>23</v>
      </c>
      <c r="C655" t="s">
        <v>197</v>
      </c>
      <c r="D655" t="s">
        <v>25</v>
      </c>
      <c r="E655" t="s">
        <v>477</v>
      </c>
      <c r="F655" t="s">
        <v>478</v>
      </c>
      <c r="G655" t="s">
        <v>479</v>
      </c>
      <c r="H655" t="s">
        <v>25</v>
      </c>
      <c r="I655" t="s">
        <v>480</v>
      </c>
      <c r="J655" t="s">
        <v>481</v>
      </c>
      <c r="K655" t="s">
        <v>25</v>
      </c>
      <c r="L655" t="s">
        <v>482</v>
      </c>
      <c r="M655" t="s">
        <v>483</v>
      </c>
      <c r="O655" t="s">
        <v>484</v>
      </c>
      <c r="T655" t="s">
        <v>57</v>
      </c>
      <c r="U655" t="s">
        <v>53</v>
      </c>
      <c r="V655" t="s">
        <v>235</v>
      </c>
    </row>
    <row r="656" spans="1:22" hidden="1" x14ac:dyDescent="0.2">
      <c r="A656" t="s">
        <v>476</v>
      </c>
      <c r="B656" t="s">
        <v>23</v>
      </c>
      <c r="C656" t="s">
        <v>197</v>
      </c>
      <c r="D656" t="s">
        <v>25</v>
      </c>
      <c r="E656" t="s">
        <v>477</v>
      </c>
      <c r="F656" t="s">
        <v>478</v>
      </c>
      <c r="G656" t="s">
        <v>479</v>
      </c>
      <c r="H656" t="s">
        <v>25</v>
      </c>
      <c r="I656" t="s">
        <v>480</v>
      </c>
      <c r="J656" t="s">
        <v>481</v>
      </c>
      <c r="K656" t="s">
        <v>25</v>
      </c>
      <c r="L656" t="s">
        <v>482</v>
      </c>
      <c r="M656" t="s">
        <v>483</v>
      </c>
      <c r="O656" t="s">
        <v>484</v>
      </c>
      <c r="T656" t="s">
        <v>57</v>
      </c>
      <c r="U656" t="s">
        <v>55</v>
      </c>
      <c r="V656" t="s">
        <v>195</v>
      </c>
    </row>
    <row r="657" spans="1:22" hidden="1" x14ac:dyDescent="0.2">
      <c r="A657" t="s">
        <v>476</v>
      </c>
      <c r="B657" t="s">
        <v>23</v>
      </c>
      <c r="C657" t="s">
        <v>197</v>
      </c>
      <c r="D657" t="s">
        <v>25</v>
      </c>
      <c r="E657" t="s">
        <v>477</v>
      </c>
      <c r="F657" t="s">
        <v>478</v>
      </c>
      <c r="G657" t="s">
        <v>479</v>
      </c>
      <c r="H657" t="s">
        <v>25</v>
      </c>
      <c r="I657" t="s">
        <v>480</v>
      </c>
      <c r="J657" t="s">
        <v>481</v>
      </c>
      <c r="K657" t="s">
        <v>25</v>
      </c>
      <c r="L657" t="s">
        <v>482</v>
      </c>
      <c r="M657" t="s">
        <v>483</v>
      </c>
      <c r="O657" t="s">
        <v>484</v>
      </c>
      <c r="T657" t="s">
        <v>58</v>
      </c>
      <c r="U657" t="s">
        <v>53</v>
      </c>
      <c r="V657" t="s">
        <v>396</v>
      </c>
    </row>
    <row r="658" spans="1:22" hidden="1" x14ac:dyDescent="0.2">
      <c r="A658" t="s">
        <v>476</v>
      </c>
      <c r="B658" t="s">
        <v>23</v>
      </c>
      <c r="C658" t="s">
        <v>197</v>
      </c>
      <c r="D658" t="s">
        <v>25</v>
      </c>
      <c r="E658" t="s">
        <v>477</v>
      </c>
      <c r="F658" t="s">
        <v>478</v>
      </c>
      <c r="G658" t="s">
        <v>479</v>
      </c>
      <c r="H658" t="s">
        <v>25</v>
      </c>
      <c r="I658" t="s">
        <v>480</v>
      </c>
      <c r="J658" t="s">
        <v>481</v>
      </c>
      <c r="K658" t="s">
        <v>25</v>
      </c>
      <c r="L658" t="s">
        <v>482</v>
      </c>
      <c r="M658" t="s">
        <v>483</v>
      </c>
      <c r="O658" t="s">
        <v>484</v>
      </c>
      <c r="T658" t="s">
        <v>58</v>
      </c>
      <c r="U658" t="s">
        <v>53</v>
      </c>
      <c r="V658" t="s">
        <v>183</v>
      </c>
    </row>
    <row r="659" spans="1:22" hidden="1" x14ac:dyDescent="0.2">
      <c r="A659" t="s">
        <v>476</v>
      </c>
      <c r="B659" t="s">
        <v>23</v>
      </c>
      <c r="C659" t="s">
        <v>197</v>
      </c>
      <c r="D659" t="s">
        <v>25</v>
      </c>
      <c r="E659" t="s">
        <v>477</v>
      </c>
      <c r="F659" t="s">
        <v>478</v>
      </c>
      <c r="G659" t="s">
        <v>479</v>
      </c>
      <c r="H659" t="s">
        <v>25</v>
      </c>
      <c r="I659" t="s">
        <v>480</v>
      </c>
      <c r="J659" t="s">
        <v>481</v>
      </c>
      <c r="K659" t="s">
        <v>25</v>
      </c>
      <c r="L659" t="s">
        <v>482</v>
      </c>
      <c r="M659" t="s">
        <v>483</v>
      </c>
      <c r="O659" t="s">
        <v>484</v>
      </c>
      <c r="T659" t="s">
        <v>58</v>
      </c>
      <c r="U659" t="s">
        <v>53</v>
      </c>
      <c r="V659" t="s">
        <v>235</v>
      </c>
    </row>
    <row r="660" spans="1:22" hidden="1" x14ac:dyDescent="0.2">
      <c r="A660" t="s">
        <v>476</v>
      </c>
      <c r="B660" t="s">
        <v>23</v>
      </c>
      <c r="C660" t="s">
        <v>197</v>
      </c>
      <c r="D660" t="s">
        <v>25</v>
      </c>
      <c r="E660" t="s">
        <v>477</v>
      </c>
      <c r="F660" t="s">
        <v>478</v>
      </c>
      <c r="G660" t="s">
        <v>479</v>
      </c>
      <c r="H660" t="s">
        <v>25</v>
      </c>
      <c r="I660" t="s">
        <v>480</v>
      </c>
      <c r="J660" t="s">
        <v>481</v>
      </c>
      <c r="K660" t="s">
        <v>25</v>
      </c>
      <c r="L660" t="s">
        <v>482</v>
      </c>
      <c r="M660" t="s">
        <v>483</v>
      </c>
      <c r="O660" t="s">
        <v>484</v>
      </c>
      <c r="T660" t="s">
        <v>58</v>
      </c>
      <c r="U660" t="s">
        <v>55</v>
      </c>
      <c r="V660" t="s">
        <v>195</v>
      </c>
    </row>
    <row r="661" spans="1:22" hidden="1" x14ac:dyDescent="0.2">
      <c r="A661" t="s">
        <v>476</v>
      </c>
      <c r="B661" t="s">
        <v>23</v>
      </c>
      <c r="C661" t="s">
        <v>197</v>
      </c>
      <c r="D661" t="s">
        <v>25</v>
      </c>
      <c r="E661" t="s">
        <v>477</v>
      </c>
      <c r="F661" t="s">
        <v>478</v>
      </c>
      <c r="G661" t="s">
        <v>479</v>
      </c>
      <c r="H661" t="s">
        <v>25</v>
      </c>
      <c r="I661" t="s">
        <v>480</v>
      </c>
      <c r="J661" t="s">
        <v>481</v>
      </c>
      <c r="K661" t="s">
        <v>25</v>
      </c>
      <c r="L661" t="s">
        <v>482</v>
      </c>
      <c r="M661" t="s">
        <v>483</v>
      </c>
      <c r="O661" t="s">
        <v>484</v>
      </c>
      <c r="T661" t="s">
        <v>59</v>
      </c>
      <c r="U661" t="s">
        <v>53</v>
      </c>
      <c r="V661" t="s">
        <v>396</v>
      </c>
    </row>
    <row r="662" spans="1:22" hidden="1" x14ac:dyDescent="0.2">
      <c r="A662" t="s">
        <v>476</v>
      </c>
      <c r="B662" t="s">
        <v>23</v>
      </c>
      <c r="C662" t="s">
        <v>197</v>
      </c>
      <c r="D662" t="s">
        <v>25</v>
      </c>
      <c r="E662" t="s">
        <v>477</v>
      </c>
      <c r="F662" t="s">
        <v>478</v>
      </c>
      <c r="G662" t="s">
        <v>479</v>
      </c>
      <c r="H662" t="s">
        <v>25</v>
      </c>
      <c r="I662" t="s">
        <v>480</v>
      </c>
      <c r="J662" t="s">
        <v>481</v>
      </c>
      <c r="K662" t="s">
        <v>25</v>
      </c>
      <c r="L662" t="s">
        <v>482</v>
      </c>
      <c r="M662" t="s">
        <v>483</v>
      </c>
      <c r="O662" t="s">
        <v>484</v>
      </c>
      <c r="T662" t="s">
        <v>59</v>
      </c>
      <c r="U662" t="s">
        <v>53</v>
      </c>
      <c r="V662" t="s">
        <v>183</v>
      </c>
    </row>
    <row r="663" spans="1:22" hidden="1" x14ac:dyDescent="0.2">
      <c r="A663" t="s">
        <v>476</v>
      </c>
      <c r="B663" t="s">
        <v>23</v>
      </c>
      <c r="C663" t="s">
        <v>197</v>
      </c>
      <c r="D663" t="s">
        <v>25</v>
      </c>
      <c r="E663" t="s">
        <v>477</v>
      </c>
      <c r="F663" t="s">
        <v>478</v>
      </c>
      <c r="G663" t="s">
        <v>479</v>
      </c>
      <c r="H663" t="s">
        <v>25</v>
      </c>
      <c r="I663" t="s">
        <v>480</v>
      </c>
      <c r="J663" t="s">
        <v>481</v>
      </c>
      <c r="K663" t="s">
        <v>25</v>
      </c>
      <c r="L663" t="s">
        <v>482</v>
      </c>
      <c r="M663" t="s">
        <v>483</v>
      </c>
      <c r="O663" t="s">
        <v>484</v>
      </c>
      <c r="T663" t="s">
        <v>59</v>
      </c>
      <c r="U663" t="s">
        <v>53</v>
      </c>
      <c r="V663" t="s">
        <v>235</v>
      </c>
    </row>
    <row r="664" spans="1:22" hidden="1" x14ac:dyDescent="0.2">
      <c r="A664" t="s">
        <v>476</v>
      </c>
      <c r="B664" t="s">
        <v>23</v>
      </c>
      <c r="C664" t="s">
        <v>197</v>
      </c>
      <c r="D664" t="s">
        <v>25</v>
      </c>
      <c r="E664" t="s">
        <v>477</v>
      </c>
      <c r="F664" t="s">
        <v>478</v>
      </c>
      <c r="G664" t="s">
        <v>479</v>
      </c>
      <c r="H664" t="s">
        <v>25</v>
      </c>
      <c r="I664" t="s">
        <v>480</v>
      </c>
      <c r="J664" t="s">
        <v>481</v>
      </c>
      <c r="K664" t="s">
        <v>25</v>
      </c>
      <c r="L664" t="s">
        <v>482</v>
      </c>
      <c r="M664" t="s">
        <v>483</v>
      </c>
      <c r="O664" t="s">
        <v>484</v>
      </c>
      <c r="T664" t="s">
        <v>59</v>
      </c>
      <c r="U664" t="s">
        <v>55</v>
      </c>
      <c r="V664" t="s">
        <v>195</v>
      </c>
    </row>
    <row r="665" spans="1:22" hidden="1" x14ac:dyDescent="0.2">
      <c r="A665" t="s">
        <v>476</v>
      </c>
      <c r="B665" t="s">
        <v>23</v>
      </c>
      <c r="C665" t="s">
        <v>197</v>
      </c>
      <c r="D665" t="s">
        <v>25</v>
      </c>
      <c r="E665" t="s">
        <v>477</v>
      </c>
      <c r="F665" t="s">
        <v>478</v>
      </c>
      <c r="G665" t="s">
        <v>479</v>
      </c>
      <c r="H665" t="s">
        <v>25</v>
      </c>
      <c r="I665" t="s">
        <v>480</v>
      </c>
      <c r="J665" t="s">
        <v>481</v>
      </c>
      <c r="K665" t="s">
        <v>25</v>
      </c>
      <c r="L665" t="s">
        <v>482</v>
      </c>
      <c r="M665" t="s">
        <v>483</v>
      </c>
      <c r="O665" t="s">
        <v>484</v>
      </c>
      <c r="T665" t="s">
        <v>60</v>
      </c>
      <c r="U665" t="s">
        <v>53</v>
      </c>
      <c r="V665" t="s">
        <v>396</v>
      </c>
    </row>
    <row r="666" spans="1:22" hidden="1" x14ac:dyDescent="0.2">
      <c r="A666" t="s">
        <v>476</v>
      </c>
      <c r="B666" t="s">
        <v>23</v>
      </c>
      <c r="C666" t="s">
        <v>197</v>
      </c>
      <c r="D666" t="s">
        <v>25</v>
      </c>
      <c r="E666" t="s">
        <v>477</v>
      </c>
      <c r="F666" t="s">
        <v>478</v>
      </c>
      <c r="G666" t="s">
        <v>479</v>
      </c>
      <c r="H666" t="s">
        <v>25</v>
      </c>
      <c r="I666" t="s">
        <v>480</v>
      </c>
      <c r="J666" t="s">
        <v>481</v>
      </c>
      <c r="K666" t="s">
        <v>25</v>
      </c>
      <c r="L666" t="s">
        <v>482</v>
      </c>
      <c r="M666" t="s">
        <v>483</v>
      </c>
      <c r="O666" t="s">
        <v>484</v>
      </c>
      <c r="T666" t="s">
        <v>60</v>
      </c>
      <c r="U666" t="s">
        <v>53</v>
      </c>
      <c r="V666" t="s">
        <v>183</v>
      </c>
    </row>
    <row r="667" spans="1:22" hidden="1" x14ac:dyDescent="0.2">
      <c r="A667" t="s">
        <v>476</v>
      </c>
      <c r="B667" t="s">
        <v>23</v>
      </c>
      <c r="C667" t="s">
        <v>197</v>
      </c>
      <c r="D667" t="s">
        <v>25</v>
      </c>
      <c r="E667" t="s">
        <v>477</v>
      </c>
      <c r="F667" t="s">
        <v>478</v>
      </c>
      <c r="G667" t="s">
        <v>479</v>
      </c>
      <c r="H667" t="s">
        <v>25</v>
      </c>
      <c r="I667" t="s">
        <v>480</v>
      </c>
      <c r="J667" t="s">
        <v>481</v>
      </c>
      <c r="K667" t="s">
        <v>25</v>
      </c>
      <c r="L667" t="s">
        <v>482</v>
      </c>
      <c r="M667" t="s">
        <v>483</v>
      </c>
      <c r="O667" t="s">
        <v>484</v>
      </c>
      <c r="T667" t="s">
        <v>60</v>
      </c>
      <c r="U667" t="s">
        <v>53</v>
      </c>
      <c r="V667" t="s">
        <v>235</v>
      </c>
    </row>
    <row r="668" spans="1:22" hidden="1" x14ac:dyDescent="0.2">
      <c r="A668" t="s">
        <v>476</v>
      </c>
      <c r="B668" t="s">
        <v>23</v>
      </c>
      <c r="C668" t="s">
        <v>197</v>
      </c>
      <c r="D668" t="s">
        <v>25</v>
      </c>
      <c r="E668" t="s">
        <v>477</v>
      </c>
      <c r="F668" t="s">
        <v>478</v>
      </c>
      <c r="G668" t="s">
        <v>479</v>
      </c>
      <c r="H668" t="s">
        <v>25</v>
      </c>
      <c r="I668" t="s">
        <v>480</v>
      </c>
      <c r="J668" t="s">
        <v>481</v>
      </c>
      <c r="K668" t="s">
        <v>25</v>
      </c>
      <c r="L668" t="s">
        <v>482</v>
      </c>
      <c r="M668" t="s">
        <v>483</v>
      </c>
      <c r="O668" t="s">
        <v>484</v>
      </c>
      <c r="T668" t="s">
        <v>60</v>
      </c>
      <c r="U668" t="s">
        <v>55</v>
      </c>
      <c r="V668" t="s">
        <v>195</v>
      </c>
    </row>
    <row r="669" spans="1:22" hidden="1" x14ac:dyDescent="0.2">
      <c r="A669" t="s">
        <v>476</v>
      </c>
      <c r="B669" t="s">
        <v>23</v>
      </c>
      <c r="C669" t="s">
        <v>197</v>
      </c>
      <c r="D669" t="s">
        <v>25</v>
      </c>
      <c r="E669" t="s">
        <v>477</v>
      </c>
      <c r="F669" t="s">
        <v>478</v>
      </c>
      <c r="G669" t="s">
        <v>479</v>
      </c>
      <c r="H669" t="s">
        <v>25</v>
      </c>
      <c r="I669" t="s">
        <v>480</v>
      </c>
      <c r="J669" t="s">
        <v>481</v>
      </c>
      <c r="K669" t="s">
        <v>25</v>
      </c>
      <c r="L669" t="s">
        <v>482</v>
      </c>
      <c r="M669" t="s">
        <v>483</v>
      </c>
      <c r="O669" t="s">
        <v>484</v>
      </c>
      <c r="T669" t="s">
        <v>79</v>
      </c>
      <c r="U669" t="s">
        <v>53</v>
      </c>
      <c r="V669" t="s">
        <v>396</v>
      </c>
    </row>
    <row r="670" spans="1:22" hidden="1" x14ac:dyDescent="0.2">
      <c r="A670" t="s">
        <v>476</v>
      </c>
      <c r="B670" t="s">
        <v>23</v>
      </c>
      <c r="C670" t="s">
        <v>197</v>
      </c>
      <c r="D670" t="s">
        <v>25</v>
      </c>
      <c r="E670" t="s">
        <v>477</v>
      </c>
      <c r="F670" t="s">
        <v>478</v>
      </c>
      <c r="G670" t="s">
        <v>479</v>
      </c>
      <c r="H670" t="s">
        <v>25</v>
      </c>
      <c r="I670" t="s">
        <v>480</v>
      </c>
      <c r="J670" t="s">
        <v>481</v>
      </c>
      <c r="K670" t="s">
        <v>25</v>
      </c>
      <c r="L670" t="s">
        <v>482</v>
      </c>
      <c r="M670" t="s">
        <v>483</v>
      </c>
      <c r="O670" t="s">
        <v>484</v>
      </c>
      <c r="T670" t="s">
        <v>79</v>
      </c>
      <c r="U670" t="s">
        <v>53</v>
      </c>
      <c r="V670" t="s">
        <v>183</v>
      </c>
    </row>
    <row r="671" spans="1:22" hidden="1" x14ac:dyDescent="0.2">
      <c r="A671" t="s">
        <v>476</v>
      </c>
      <c r="B671" t="s">
        <v>23</v>
      </c>
      <c r="C671" t="s">
        <v>197</v>
      </c>
      <c r="D671" t="s">
        <v>25</v>
      </c>
      <c r="E671" t="s">
        <v>477</v>
      </c>
      <c r="F671" t="s">
        <v>478</v>
      </c>
      <c r="G671" t="s">
        <v>479</v>
      </c>
      <c r="H671" t="s">
        <v>25</v>
      </c>
      <c r="I671" t="s">
        <v>480</v>
      </c>
      <c r="J671" t="s">
        <v>481</v>
      </c>
      <c r="K671" t="s">
        <v>25</v>
      </c>
      <c r="L671" t="s">
        <v>482</v>
      </c>
      <c r="M671" t="s">
        <v>483</v>
      </c>
      <c r="O671" t="s">
        <v>484</v>
      </c>
      <c r="T671" t="s">
        <v>79</v>
      </c>
      <c r="U671" t="s">
        <v>53</v>
      </c>
      <c r="V671" t="s">
        <v>235</v>
      </c>
    </row>
    <row r="672" spans="1:22" hidden="1" x14ac:dyDescent="0.2">
      <c r="A672" t="s">
        <v>476</v>
      </c>
      <c r="B672" t="s">
        <v>23</v>
      </c>
      <c r="C672" t="s">
        <v>197</v>
      </c>
      <c r="D672" t="s">
        <v>25</v>
      </c>
      <c r="E672" t="s">
        <v>477</v>
      </c>
      <c r="F672" t="s">
        <v>478</v>
      </c>
      <c r="G672" t="s">
        <v>479</v>
      </c>
      <c r="H672" t="s">
        <v>25</v>
      </c>
      <c r="I672" t="s">
        <v>480</v>
      </c>
      <c r="J672" t="s">
        <v>481</v>
      </c>
      <c r="K672" t="s">
        <v>25</v>
      </c>
      <c r="L672" t="s">
        <v>482</v>
      </c>
      <c r="M672" t="s">
        <v>483</v>
      </c>
      <c r="O672" t="s">
        <v>484</v>
      </c>
      <c r="T672" t="s">
        <v>79</v>
      </c>
      <c r="U672" t="s">
        <v>55</v>
      </c>
      <c r="V672" t="s">
        <v>195</v>
      </c>
    </row>
    <row r="673" spans="1:22" hidden="1" x14ac:dyDescent="0.2">
      <c r="A673" t="s">
        <v>476</v>
      </c>
      <c r="B673" t="s">
        <v>23</v>
      </c>
      <c r="C673" t="s">
        <v>197</v>
      </c>
      <c r="D673" t="s">
        <v>25</v>
      </c>
      <c r="E673" t="s">
        <v>477</v>
      </c>
      <c r="F673" t="s">
        <v>478</v>
      </c>
      <c r="G673" t="s">
        <v>479</v>
      </c>
      <c r="H673" t="s">
        <v>25</v>
      </c>
      <c r="I673" t="s">
        <v>480</v>
      </c>
      <c r="J673" t="s">
        <v>481</v>
      </c>
      <c r="K673" t="s">
        <v>25</v>
      </c>
      <c r="L673" t="s">
        <v>482</v>
      </c>
      <c r="M673" t="s">
        <v>483</v>
      </c>
      <c r="O673" t="s">
        <v>484</v>
      </c>
      <c r="T673" t="s">
        <v>62</v>
      </c>
      <c r="U673" t="s">
        <v>53</v>
      </c>
      <c r="V673" t="s">
        <v>396</v>
      </c>
    </row>
    <row r="674" spans="1:22" hidden="1" x14ac:dyDescent="0.2">
      <c r="A674" t="s">
        <v>476</v>
      </c>
      <c r="B674" t="s">
        <v>23</v>
      </c>
      <c r="C674" t="s">
        <v>197</v>
      </c>
      <c r="D674" t="s">
        <v>25</v>
      </c>
      <c r="E674" t="s">
        <v>477</v>
      </c>
      <c r="F674" t="s">
        <v>478</v>
      </c>
      <c r="G674" t="s">
        <v>479</v>
      </c>
      <c r="H674" t="s">
        <v>25</v>
      </c>
      <c r="I674" t="s">
        <v>480</v>
      </c>
      <c r="J674" t="s">
        <v>481</v>
      </c>
      <c r="K674" t="s">
        <v>25</v>
      </c>
      <c r="L674" t="s">
        <v>482</v>
      </c>
      <c r="M674" t="s">
        <v>483</v>
      </c>
      <c r="O674" t="s">
        <v>484</v>
      </c>
      <c r="T674" t="s">
        <v>62</v>
      </c>
      <c r="U674" t="s">
        <v>53</v>
      </c>
      <c r="V674" t="s">
        <v>183</v>
      </c>
    </row>
    <row r="675" spans="1:22" hidden="1" x14ac:dyDescent="0.2">
      <c r="A675" t="s">
        <v>476</v>
      </c>
      <c r="B675" t="s">
        <v>23</v>
      </c>
      <c r="C675" t="s">
        <v>197</v>
      </c>
      <c r="D675" t="s">
        <v>25</v>
      </c>
      <c r="E675" t="s">
        <v>477</v>
      </c>
      <c r="F675" t="s">
        <v>478</v>
      </c>
      <c r="G675" t="s">
        <v>479</v>
      </c>
      <c r="H675" t="s">
        <v>25</v>
      </c>
      <c r="I675" t="s">
        <v>480</v>
      </c>
      <c r="J675" t="s">
        <v>481</v>
      </c>
      <c r="K675" t="s">
        <v>25</v>
      </c>
      <c r="L675" t="s">
        <v>482</v>
      </c>
      <c r="M675" t="s">
        <v>483</v>
      </c>
      <c r="O675" t="s">
        <v>484</v>
      </c>
      <c r="T675" t="s">
        <v>62</v>
      </c>
      <c r="U675" t="s">
        <v>53</v>
      </c>
      <c r="V675" t="s">
        <v>235</v>
      </c>
    </row>
    <row r="676" spans="1:22" hidden="1" x14ac:dyDescent="0.2">
      <c r="A676" t="s">
        <v>476</v>
      </c>
      <c r="B676" t="s">
        <v>23</v>
      </c>
      <c r="C676" t="s">
        <v>197</v>
      </c>
      <c r="D676" t="s">
        <v>25</v>
      </c>
      <c r="E676" t="s">
        <v>477</v>
      </c>
      <c r="F676" t="s">
        <v>478</v>
      </c>
      <c r="G676" t="s">
        <v>479</v>
      </c>
      <c r="H676" t="s">
        <v>25</v>
      </c>
      <c r="I676" t="s">
        <v>480</v>
      </c>
      <c r="J676" t="s">
        <v>481</v>
      </c>
      <c r="K676" t="s">
        <v>25</v>
      </c>
      <c r="L676" t="s">
        <v>482</v>
      </c>
      <c r="M676" t="s">
        <v>483</v>
      </c>
      <c r="O676" t="s">
        <v>484</v>
      </c>
      <c r="T676" t="s">
        <v>62</v>
      </c>
      <c r="U676" t="s">
        <v>55</v>
      </c>
      <c r="V676" t="s">
        <v>195</v>
      </c>
    </row>
    <row r="677" spans="1:22" hidden="1" x14ac:dyDescent="0.2">
      <c r="A677" t="s">
        <v>485</v>
      </c>
      <c r="B677" t="s">
        <v>23</v>
      </c>
      <c r="C677" t="s">
        <v>310</v>
      </c>
      <c r="D677" t="s">
        <v>486</v>
      </c>
      <c r="E677" t="s">
        <v>487</v>
      </c>
      <c r="F677" t="s">
        <v>488</v>
      </c>
      <c r="G677" t="s">
        <v>489</v>
      </c>
      <c r="H677" t="s">
        <v>490</v>
      </c>
      <c r="I677" t="s">
        <v>491</v>
      </c>
      <c r="J677" t="s">
        <v>492</v>
      </c>
      <c r="K677" t="s">
        <v>493</v>
      </c>
      <c r="L677" t="s">
        <v>494</v>
      </c>
      <c r="M677" t="s">
        <v>495</v>
      </c>
      <c r="O677" t="s">
        <v>496</v>
      </c>
      <c r="P677" t="s">
        <v>322</v>
      </c>
      <c r="Q677" t="s">
        <v>323</v>
      </c>
      <c r="R677">
        <v>0.4</v>
      </c>
      <c r="S677" t="s">
        <v>497</v>
      </c>
      <c r="T677" t="s">
        <v>39</v>
      </c>
      <c r="U677" t="s">
        <v>53</v>
      </c>
      <c r="V677" t="s">
        <v>118</v>
      </c>
    </row>
    <row r="678" spans="1:22" hidden="1" x14ac:dyDescent="0.2">
      <c r="A678" t="s">
        <v>485</v>
      </c>
      <c r="B678" t="s">
        <v>23</v>
      </c>
      <c r="C678" t="s">
        <v>310</v>
      </c>
      <c r="D678" t="s">
        <v>486</v>
      </c>
      <c r="E678" t="s">
        <v>487</v>
      </c>
      <c r="F678" t="s">
        <v>488</v>
      </c>
      <c r="G678" t="s">
        <v>489</v>
      </c>
      <c r="H678" t="s">
        <v>490</v>
      </c>
      <c r="I678" t="s">
        <v>491</v>
      </c>
      <c r="J678" t="s">
        <v>492</v>
      </c>
      <c r="K678" t="s">
        <v>493</v>
      </c>
      <c r="L678" t="s">
        <v>494</v>
      </c>
      <c r="M678" t="s">
        <v>495</v>
      </c>
      <c r="O678" t="s">
        <v>496</v>
      </c>
      <c r="P678" t="s">
        <v>322</v>
      </c>
      <c r="Q678" t="s">
        <v>323</v>
      </c>
      <c r="R678">
        <v>0.4</v>
      </c>
      <c r="S678" t="s">
        <v>497</v>
      </c>
      <c r="T678" t="s">
        <v>39</v>
      </c>
      <c r="U678" t="s">
        <v>53</v>
      </c>
      <c r="V678" t="s">
        <v>303</v>
      </c>
    </row>
    <row r="679" spans="1:22" hidden="1" x14ac:dyDescent="0.2">
      <c r="A679" t="s">
        <v>485</v>
      </c>
      <c r="B679" t="s">
        <v>23</v>
      </c>
      <c r="C679" t="s">
        <v>310</v>
      </c>
      <c r="D679" t="s">
        <v>486</v>
      </c>
      <c r="E679" t="s">
        <v>487</v>
      </c>
      <c r="F679" t="s">
        <v>488</v>
      </c>
      <c r="G679" t="s">
        <v>489</v>
      </c>
      <c r="H679" t="s">
        <v>490</v>
      </c>
      <c r="I679" t="s">
        <v>491</v>
      </c>
      <c r="J679" t="s">
        <v>492</v>
      </c>
      <c r="K679" t="s">
        <v>493</v>
      </c>
      <c r="L679" t="s">
        <v>494</v>
      </c>
      <c r="M679" t="s">
        <v>495</v>
      </c>
      <c r="O679" t="s">
        <v>496</v>
      </c>
      <c r="P679" t="s">
        <v>322</v>
      </c>
      <c r="Q679" t="s">
        <v>323</v>
      </c>
      <c r="R679">
        <v>0.4</v>
      </c>
      <c r="S679" t="s">
        <v>497</v>
      </c>
      <c r="T679" t="s">
        <v>39</v>
      </c>
      <c r="U679" t="s">
        <v>53</v>
      </c>
      <c r="V679" t="s">
        <v>314</v>
      </c>
    </row>
    <row r="680" spans="1:22" hidden="1" x14ac:dyDescent="0.2">
      <c r="A680" t="s">
        <v>485</v>
      </c>
      <c r="B680" t="s">
        <v>23</v>
      </c>
      <c r="C680" t="s">
        <v>310</v>
      </c>
      <c r="D680" t="s">
        <v>486</v>
      </c>
      <c r="E680" t="s">
        <v>487</v>
      </c>
      <c r="F680" t="s">
        <v>488</v>
      </c>
      <c r="G680" t="s">
        <v>489</v>
      </c>
      <c r="H680" t="s">
        <v>490</v>
      </c>
      <c r="I680" t="s">
        <v>491</v>
      </c>
      <c r="J680" t="s">
        <v>492</v>
      </c>
      <c r="K680" t="s">
        <v>493</v>
      </c>
      <c r="L680" t="s">
        <v>494</v>
      </c>
      <c r="M680" t="s">
        <v>495</v>
      </c>
      <c r="O680" t="s">
        <v>496</v>
      </c>
      <c r="P680" t="s">
        <v>322</v>
      </c>
      <c r="Q680" t="s">
        <v>323</v>
      </c>
      <c r="R680">
        <v>0.4</v>
      </c>
      <c r="S680" t="s">
        <v>497</v>
      </c>
      <c r="T680" t="s">
        <v>58</v>
      </c>
      <c r="U680" t="s">
        <v>53</v>
      </c>
      <c r="V680" t="s">
        <v>118</v>
      </c>
    </row>
    <row r="681" spans="1:22" hidden="1" x14ac:dyDescent="0.2">
      <c r="A681" t="s">
        <v>485</v>
      </c>
      <c r="B681" t="s">
        <v>23</v>
      </c>
      <c r="C681" t="s">
        <v>310</v>
      </c>
      <c r="D681" t="s">
        <v>486</v>
      </c>
      <c r="E681" t="s">
        <v>487</v>
      </c>
      <c r="F681" t="s">
        <v>488</v>
      </c>
      <c r="G681" t="s">
        <v>489</v>
      </c>
      <c r="H681" t="s">
        <v>490</v>
      </c>
      <c r="I681" t="s">
        <v>491</v>
      </c>
      <c r="J681" t="s">
        <v>492</v>
      </c>
      <c r="K681" t="s">
        <v>493</v>
      </c>
      <c r="L681" t="s">
        <v>494</v>
      </c>
      <c r="M681" t="s">
        <v>495</v>
      </c>
      <c r="O681" t="s">
        <v>496</v>
      </c>
      <c r="P681" t="s">
        <v>322</v>
      </c>
      <c r="Q681" t="s">
        <v>323</v>
      </c>
      <c r="R681">
        <v>0.4</v>
      </c>
      <c r="S681" t="s">
        <v>497</v>
      </c>
      <c r="T681" t="s">
        <v>58</v>
      </c>
      <c r="U681" t="s">
        <v>53</v>
      </c>
      <c r="V681" t="s">
        <v>303</v>
      </c>
    </row>
    <row r="682" spans="1:22" hidden="1" x14ac:dyDescent="0.2">
      <c r="A682" t="s">
        <v>485</v>
      </c>
      <c r="B682" t="s">
        <v>23</v>
      </c>
      <c r="C682" t="s">
        <v>310</v>
      </c>
      <c r="D682" t="s">
        <v>486</v>
      </c>
      <c r="E682" t="s">
        <v>487</v>
      </c>
      <c r="F682" t="s">
        <v>488</v>
      </c>
      <c r="G682" t="s">
        <v>489</v>
      </c>
      <c r="H682" t="s">
        <v>490</v>
      </c>
      <c r="I682" t="s">
        <v>491</v>
      </c>
      <c r="J682" t="s">
        <v>492</v>
      </c>
      <c r="K682" t="s">
        <v>493</v>
      </c>
      <c r="L682" t="s">
        <v>494</v>
      </c>
      <c r="M682" t="s">
        <v>495</v>
      </c>
      <c r="O682" t="s">
        <v>496</v>
      </c>
      <c r="P682" t="s">
        <v>322</v>
      </c>
      <c r="Q682" t="s">
        <v>323</v>
      </c>
      <c r="R682">
        <v>0.4</v>
      </c>
      <c r="S682" t="s">
        <v>497</v>
      </c>
      <c r="T682" t="s">
        <v>58</v>
      </c>
      <c r="U682" t="s">
        <v>53</v>
      </c>
      <c r="V682" t="s">
        <v>314</v>
      </c>
    </row>
    <row r="683" spans="1:22" hidden="1" x14ac:dyDescent="0.2">
      <c r="A683" t="s">
        <v>485</v>
      </c>
      <c r="B683" t="s">
        <v>23</v>
      </c>
      <c r="C683" t="s">
        <v>310</v>
      </c>
      <c r="D683" t="s">
        <v>486</v>
      </c>
      <c r="E683" t="s">
        <v>487</v>
      </c>
      <c r="F683" t="s">
        <v>488</v>
      </c>
      <c r="G683" t="s">
        <v>489</v>
      </c>
      <c r="H683" t="s">
        <v>490</v>
      </c>
      <c r="I683" t="s">
        <v>491</v>
      </c>
      <c r="J683" t="s">
        <v>492</v>
      </c>
      <c r="K683" t="s">
        <v>493</v>
      </c>
      <c r="L683" t="s">
        <v>494</v>
      </c>
      <c r="M683" t="s">
        <v>495</v>
      </c>
      <c r="O683" t="s">
        <v>496</v>
      </c>
      <c r="P683" t="s">
        <v>322</v>
      </c>
      <c r="Q683" t="s">
        <v>323</v>
      </c>
      <c r="R683">
        <v>0.4</v>
      </c>
      <c r="S683" t="s">
        <v>497</v>
      </c>
      <c r="T683" t="s">
        <v>59</v>
      </c>
      <c r="U683" t="s">
        <v>53</v>
      </c>
      <c r="V683" t="s">
        <v>118</v>
      </c>
    </row>
    <row r="684" spans="1:22" hidden="1" x14ac:dyDescent="0.2">
      <c r="A684" t="s">
        <v>485</v>
      </c>
      <c r="B684" t="s">
        <v>23</v>
      </c>
      <c r="C684" t="s">
        <v>310</v>
      </c>
      <c r="D684" t="s">
        <v>486</v>
      </c>
      <c r="E684" t="s">
        <v>487</v>
      </c>
      <c r="F684" t="s">
        <v>488</v>
      </c>
      <c r="G684" t="s">
        <v>489</v>
      </c>
      <c r="H684" t="s">
        <v>490</v>
      </c>
      <c r="I684" t="s">
        <v>491</v>
      </c>
      <c r="J684" t="s">
        <v>492</v>
      </c>
      <c r="K684" t="s">
        <v>493</v>
      </c>
      <c r="L684" t="s">
        <v>494</v>
      </c>
      <c r="M684" t="s">
        <v>495</v>
      </c>
      <c r="O684" t="s">
        <v>496</v>
      </c>
      <c r="P684" t="s">
        <v>322</v>
      </c>
      <c r="Q684" t="s">
        <v>323</v>
      </c>
      <c r="R684">
        <v>0.4</v>
      </c>
      <c r="S684" t="s">
        <v>497</v>
      </c>
      <c r="T684" t="s">
        <v>59</v>
      </c>
      <c r="U684" t="s">
        <v>53</v>
      </c>
      <c r="V684" t="s">
        <v>303</v>
      </c>
    </row>
    <row r="685" spans="1:22" hidden="1" x14ac:dyDescent="0.2">
      <c r="A685" t="s">
        <v>485</v>
      </c>
      <c r="B685" t="s">
        <v>23</v>
      </c>
      <c r="C685" t="s">
        <v>310</v>
      </c>
      <c r="D685" t="s">
        <v>486</v>
      </c>
      <c r="E685" t="s">
        <v>487</v>
      </c>
      <c r="F685" t="s">
        <v>488</v>
      </c>
      <c r="G685" t="s">
        <v>489</v>
      </c>
      <c r="H685" t="s">
        <v>490</v>
      </c>
      <c r="I685" t="s">
        <v>491</v>
      </c>
      <c r="J685" t="s">
        <v>492</v>
      </c>
      <c r="K685" t="s">
        <v>493</v>
      </c>
      <c r="L685" t="s">
        <v>494</v>
      </c>
      <c r="M685" t="s">
        <v>495</v>
      </c>
      <c r="O685" t="s">
        <v>496</v>
      </c>
      <c r="P685" t="s">
        <v>322</v>
      </c>
      <c r="Q685" t="s">
        <v>323</v>
      </c>
      <c r="R685">
        <v>0.4</v>
      </c>
      <c r="S685" t="s">
        <v>497</v>
      </c>
      <c r="T685" t="s">
        <v>59</v>
      </c>
      <c r="U685" t="s">
        <v>53</v>
      </c>
      <c r="V685" t="s">
        <v>314</v>
      </c>
    </row>
    <row r="686" spans="1:22" hidden="1" x14ac:dyDescent="0.2">
      <c r="A686" t="s">
        <v>485</v>
      </c>
      <c r="B686" t="s">
        <v>23</v>
      </c>
      <c r="C686" t="s">
        <v>310</v>
      </c>
      <c r="D686" t="s">
        <v>486</v>
      </c>
      <c r="E686" t="s">
        <v>487</v>
      </c>
      <c r="F686" t="s">
        <v>488</v>
      </c>
      <c r="G686" t="s">
        <v>489</v>
      </c>
      <c r="H686" t="s">
        <v>490</v>
      </c>
      <c r="I686" t="s">
        <v>491</v>
      </c>
      <c r="J686" t="s">
        <v>492</v>
      </c>
      <c r="K686" t="s">
        <v>493</v>
      </c>
      <c r="L686" t="s">
        <v>494</v>
      </c>
      <c r="M686" t="s">
        <v>495</v>
      </c>
      <c r="O686" t="s">
        <v>496</v>
      </c>
      <c r="P686" t="s">
        <v>322</v>
      </c>
      <c r="Q686" t="s">
        <v>323</v>
      </c>
      <c r="R686">
        <v>0.4</v>
      </c>
      <c r="S686" t="s">
        <v>497</v>
      </c>
      <c r="T686" t="s">
        <v>60</v>
      </c>
      <c r="U686" t="s">
        <v>53</v>
      </c>
      <c r="V686" t="s">
        <v>118</v>
      </c>
    </row>
    <row r="687" spans="1:22" hidden="1" x14ac:dyDescent="0.2">
      <c r="A687" t="s">
        <v>485</v>
      </c>
      <c r="B687" t="s">
        <v>23</v>
      </c>
      <c r="C687" t="s">
        <v>310</v>
      </c>
      <c r="D687" t="s">
        <v>486</v>
      </c>
      <c r="E687" t="s">
        <v>487</v>
      </c>
      <c r="F687" t="s">
        <v>488</v>
      </c>
      <c r="G687" t="s">
        <v>489</v>
      </c>
      <c r="H687" t="s">
        <v>490</v>
      </c>
      <c r="I687" t="s">
        <v>491</v>
      </c>
      <c r="J687" t="s">
        <v>492</v>
      </c>
      <c r="K687" t="s">
        <v>493</v>
      </c>
      <c r="L687" t="s">
        <v>494</v>
      </c>
      <c r="M687" t="s">
        <v>495</v>
      </c>
      <c r="O687" t="s">
        <v>496</v>
      </c>
      <c r="P687" t="s">
        <v>322</v>
      </c>
      <c r="Q687" t="s">
        <v>323</v>
      </c>
      <c r="R687">
        <v>0.4</v>
      </c>
      <c r="S687" t="s">
        <v>497</v>
      </c>
      <c r="T687" t="s">
        <v>60</v>
      </c>
      <c r="U687" t="s">
        <v>53</v>
      </c>
      <c r="V687" t="s">
        <v>303</v>
      </c>
    </row>
    <row r="688" spans="1:22" hidden="1" x14ac:dyDescent="0.2">
      <c r="A688" t="s">
        <v>485</v>
      </c>
      <c r="B688" t="s">
        <v>23</v>
      </c>
      <c r="C688" t="s">
        <v>310</v>
      </c>
      <c r="D688" t="s">
        <v>486</v>
      </c>
      <c r="E688" t="s">
        <v>487</v>
      </c>
      <c r="F688" t="s">
        <v>488</v>
      </c>
      <c r="G688" t="s">
        <v>489</v>
      </c>
      <c r="H688" t="s">
        <v>490</v>
      </c>
      <c r="I688" t="s">
        <v>491</v>
      </c>
      <c r="J688" t="s">
        <v>492</v>
      </c>
      <c r="K688" t="s">
        <v>493</v>
      </c>
      <c r="L688" t="s">
        <v>494</v>
      </c>
      <c r="M688" t="s">
        <v>495</v>
      </c>
      <c r="O688" t="s">
        <v>496</v>
      </c>
      <c r="P688" t="s">
        <v>322</v>
      </c>
      <c r="Q688" t="s">
        <v>323</v>
      </c>
      <c r="R688">
        <v>0.4</v>
      </c>
      <c r="S688" t="s">
        <v>497</v>
      </c>
      <c r="T688" t="s">
        <v>60</v>
      </c>
      <c r="U688" t="s">
        <v>53</v>
      </c>
      <c r="V688" t="s">
        <v>314</v>
      </c>
    </row>
    <row r="689" spans="1:22" hidden="1" x14ac:dyDescent="0.2">
      <c r="A689" t="s">
        <v>485</v>
      </c>
      <c r="B689" t="s">
        <v>23</v>
      </c>
      <c r="C689" t="s">
        <v>310</v>
      </c>
      <c r="D689" t="s">
        <v>486</v>
      </c>
      <c r="E689" t="s">
        <v>487</v>
      </c>
      <c r="F689" t="s">
        <v>488</v>
      </c>
      <c r="G689" t="s">
        <v>489</v>
      </c>
      <c r="H689" t="s">
        <v>490</v>
      </c>
      <c r="I689" t="s">
        <v>491</v>
      </c>
      <c r="J689" t="s">
        <v>492</v>
      </c>
      <c r="K689" t="s">
        <v>493</v>
      </c>
      <c r="L689" t="s">
        <v>494</v>
      </c>
      <c r="M689" t="s">
        <v>495</v>
      </c>
      <c r="O689" t="s">
        <v>496</v>
      </c>
      <c r="P689" t="s">
        <v>322</v>
      </c>
      <c r="Q689" t="s">
        <v>323</v>
      </c>
      <c r="R689">
        <v>0.4</v>
      </c>
      <c r="S689" t="s">
        <v>497</v>
      </c>
      <c r="T689" t="s">
        <v>326</v>
      </c>
      <c r="U689" t="s">
        <v>53</v>
      </c>
      <c r="V689" t="s">
        <v>118</v>
      </c>
    </row>
    <row r="690" spans="1:22" hidden="1" x14ac:dyDescent="0.2">
      <c r="A690" t="s">
        <v>485</v>
      </c>
      <c r="B690" t="s">
        <v>23</v>
      </c>
      <c r="C690" t="s">
        <v>310</v>
      </c>
      <c r="D690" t="s">
        <v>486</v>
      </c>
      <c r="E690" t="s">
        <v>487</v>
      </c>
      <c r="F690" t="s">
        <v>488</v>
      </c>
      <c r="G690" t="s">
        <v>489</v>
      </c>
      <c r="H690" t="s">
        <v>490</v>
      </c>
      <c r="I690" t="s">
        <v>491</v>
      </c>
      <c r="J690" t="s">
        <v>492</v>
      </c>
      <c r="K690" t="s">
        <v>493</v>
      </c>
      <c r="L690" t="s">
        <v>494</v>
      </c>
      <c r="M690" t="s">
        <v>495</v>
      </c>
      <c r="O690" t="s">
        <v>496</v>
      </c>
      <c r="P690" t="s">
        <v>322</v>
      </c>
      <c r="Q690" t="s">
        <v>323</v>
      </c>
      <c r="R690">
        <v>0.4</v>
      </c>
      <c r="S690" t="s">
        <v>497</v>
      </c>
      <c r="T690" t="s">
        <v>326</v>
      </c>
      <c r="U690" t="s">
        <v>53</v>
      </c>
      <c r="V690" t="s">
        <v>303</v>
      </c>
    </row>
    <row r="691" spans="1:22" hidden="1" x14ac:dyDescent="0.2">
      <c r="A691" t="s">
        <v>485</v>
      </c>
      <c r="B691" t="s">
        <v>23</v>
      </c>
      <c r="C691" t="s">
        <v>310</v>
      </c>
      <c r="D691" t="s">
        <v>486</v>
      </c>
      <c r="E691" t="s">
        <v>487</v>
      </c>
      <c r="F691" t="s">
        <v>488</v>
      </c>
      <c r="G691" t="s">
        <v>489</v>
      </c>
      <c r="H691" t="s">
        <v>490</v>
      </c>
      <c r="I691" t="s">
        <v>491</v>
      </c>
      <c r="J691" t="s">
        <v>492</v>
      </c>
      <c r="K691" t="s">
        <v>493</v>
      </c>
      <c r="L691" t="s">
        <v>494</v>
      </c>
      <c r="M691" t="s">
        <v>495</v>
      </c>
      <c r="O691" t="s">
        <v>496</v>
      </c>
      <c r="P691" t="s">
        <v>322</v>
      </c>
      <c r="Q691" t="s">
        <v>323</v>
      </c>
      <c r="R691">
        <v>0.4</v>
      </c>
      <c r="S691" t="s">
        <v>497</v>
      </c>
      <c r="T691" t="s">
        <v>326</v>
      </c>
      <c r="U691" t="s">
        <v>53</v>
      </c>
      <c r="V691" t="s">
        <v>314</v>
      </c>
    </row>
    <row r="692" spans="1:22" hidden="1" x14ac:dyDescent="0.2">
      <c r="A692" t="s">
        <v>485</v>
      </c>
      <c r="B692" t="s">
        <v>23</v>
      </c>
      <c r="C692" t="s">
        <v>310</v>
      </c>
      <c r="D692" t="s">
        <v>486</v>
      </c>
      <c r="E692" t="s">
        <v>487</v>
      </c>
      <c r="F692" t="s">
        <v>488</v>
      </c>
      <c r="G692" t="s">
        <v>489</v>
      </c>
      <c r="H692" t="s">
        <v>490</v>
      </c>
      <c r="I692" t="s">
        <v>491</v>
      </c>
      <c r="J692" t="s">
        <v>492</v>
      </c>
      <c r="K692" t="s">
        <v>493</v>
      </c>
      <c r="L692" t="s">
        <v>494</v>
      </c>
      <c r="M692" t="s">
        <v>495</v>
      </c>
      <c r="O692" t="s">
        <v>496</v>
      </c>
      <c r="P692" t="s">
        <v>322</v>
      </c>
      <c r="Q692" t="s">
        <v>323</v>
      </c>
      <c r="R692">
        <v>0.4</v>
      </c>
      <c r="S692" t="s">
        <v>497</v>
      </c>
      <c r="T692" t="s">
        <v>498</v>
      </c>
      <c r="U692" t="s">
        <v>53</v>
      </c>
      <c r="V692" t="s">
        <v>118</v>
      </c>
    </row>
    <row r="693" spans="1:22" hidden="1" x14ac:dyDescent="0.2">
      <c r="A693" t="s">
        <v>485</v>
      </c>
      <c r="B693" t="s">
        <v>23</v>
      </c>
      <c r="C693" t="s">
        <v>310</v>
      </c>
      <c r="D693" t="s">
        <v>486</v>
      </c>
      <c r="E693" t="s">
        <v>487</v>
      </c>
      <c r="F693" t="s">
        <v>488</v>
      </c>
      <c r="G693" t="s">
        <v>489</v>
      </c>
      <c r="H693" t="s">
        <v>490</v>
      </c>
      <c r="I693" t="s">
        <v>491</v>
      </c>
      <c r="J693" t="s">
        <v>492</v>
      </c>
      <c r="K693" t="s">
        <v>493</v>
      </c>
      <c r="L693" t="s">
        <v>494</v>
      </c>
      <c r="M693" t="s">
        <v>495</v>
      </c>
      <c r="O693" t="s">
        <v>496</v>
      </c>
      <c r="P693" t="s">
        <v>322</v>
      </c>
      <c r="Q693" t="s">
        <v>323</v>
      </c>
      <c r="R693">
        <v>0.4</v>
      </c>
      <c r="S693" t="s">
        <v>497</v>
      </c>
      <c r="T693" t="s">
        <v>498</v>
      </c>
      <c r="U693" t="s">
        <v>53</v>
      </c>
      <c r="V693" t="s">
        <v>303</v>
      </c>
    </row>
    <row r="694" spans="1:22" hidden="1" x14ac:dyDescent="0.2">
      <c r="A694" t="s">
        <v>485</v>
      </c>
      <c r="B694" t="s">
        <v>23</v>
      </c>
      <c r="C694" t="s">
        <v>310</v>
      </c>
      <c r="D694" t="s">
        <v>486</v>
      </c>
      <c r="E694" t="s">
        <v>487</v>
      </c>
      <c r="F694" t="s">
        <v>488</v>
      </c>
      <c r="G694" t="s">
        <v>489</v>
      </c>
      <c r="H694" t="s">
        <v>490</v>
      </c>
      <c r="I694" t="s">
        <v>491</v>
      </c>
      <c r="J694" t="s">
        <v>492</v>
      </c>
      <c r="K694" t="s">
        <v>493</v>
      </c>
      <c r="L694" t="s">
        <v>494</v>
      </c>
      <c r="M694" t="s">
        <v>495</v>
      </c>
      <c r="O694" t="s">
        <v>496</v>
      </c>
      <c r="P694" t="s">
        <v>322</v>
      </c>
      <c r="Q694" t="s">
        <v>323</v>
      </c>
      <c r="R694">
        <v>0.4</v>
      </c>
      <c r="S694" t="s">
        <v>497</v>
      </c>
      <c r="T694" t="s">
        <v>498</v>
      </c>
      <c r="U694" t="s">
        <v>53</v>
      </c>
      <c r="V694" t="s">
        <v>314</v>
      </c>
    </row>
    <row r="695" spans="1:22" hidden="1" x14ac:dyDescent="0.2">
      <c r="A695" t="s">
        <v>485</v>
      </c>
      <c r="B695" t="s">
        <v>23</v>
      </c>
      <c r="C695" t="s">
        <v>310</v>
      </c>
      <c r="D695" t="s">
        <v>486</v>
      </c>
      <c r="E695" t="s">
        <v>487</v>
      </c>
      <c r="F695" t="s">
        <v>488</v>
      </c>
      <c r="G695" t="s">
        <v>489</v>
      </c>
      <c r="H695" t="s">
        <v>490</v>
      </c>
      <c r="I695" t="s">
        <v>491</v>
      </c>
      <c r="J695" t="s">
        <v>492</v>
      </c>
      <c r="K695" t="s">
        <v>493</v>
      </c>
      <c r="L695" t="s">
        <v>494</v>
      </c>
      <c r="M695" t="s">
        <v>495</v>
      </c>
      <c r="O695" t="s">
        <v>496</v>
      </c>
      <c r="P695" t="s">
        <v>322</v>
      </c>
      <c r="Q695" t="s">
        <v>323</v>
      </c>
      <c r="R695">
        <v>0.4</v>
      </c>
      <c r="S695" t="s">
        <v>497</v>
      </c>
      <c r="T695" t="s">
        <v>62</v>
      </c>
      <c r="U695" t="s">
        <v>53</v>
      </c>
      <c r="V695" t="s">
        <v>118</v>
      </c>
    </row>
    <row r="696" spans="1:22" hidden="1" x14ac:dyDescent="0.2">
      <c r="A696" t="s">
        <v>485</v>
      </c>
      <c r="B696" t="s">
        <v>23</v>
      </c>
      <c r="C696" t="s">
        <v>310</v>
      </c>
      <c r="D696" t="s">
        <v>486</v>
      </c>
      <c r="E696" t="s">
        <v>487</v>
      </c>
      <c r="F696" t="s">
        <v>488</v>
      </c>
      <c r="G696" t="s">
        <v>489</v>
      </c>
      <c r="H696" t="s">
        <v>490</v>
      </c>
      <c r="I696" t="s">
        <v>491</v>
      </c>
      <c r="J696" t="s">
        <v>492</v>
      </c>
      <c r="K696" t="s">
        <v>493</v>
      </c>
      <c r="L696" t="s">
        <v>494</v>
      </c>
      <c r="M696" t="s">
        <v>495</v>
      </c>
      <c r="O696" t="s">
        <v>496</v>
      </c>
      <c r="P696" t="s">
        <v>322</v>
      </c>
      <c r="Q696" t="s">
        <v>323</v>
      </c>
      <c r="R696">
        <v>0.4</v>
      </c>
      <c r="S696" t="s">
        <v>497</v>
      </c>
      <c r="T696" t="s">
        <v>62</v>
      </c>
      <c r="U696" t="s">
        <v>53</v>
      </c>
      <c r="V696" t="s">
        <v>303</v>
      </c>
    </row>
    <row r="697" spans="1:22" hidden="1" x14ac:dyDescent="0.2">
      <c r="A697" t="s">
        <v>485</v>
      </c>
      <c r="B697" t="s">
        <v>23</v>
      </c>
      <c r="C697" t="s">
        <v>310</v>
      </c>
      <c r="D697" t="s">
        <v>486</v>
      </c>
      <c r="E697" t="s">
        <v>487</v>
      </c>
      <c r="F697" t="s">
        <v>488</v>
      </c>
      <c r="G697" t="s">
        <v>489</v>
      </c>
      <c r="H697" t="s">
        <v>490</v>
      </c>
      <c r="I697" t="s">
        <v>491</v>
      </c>
      <c r="J697" t="s">
        <v>492</v>
      </c>
      <c r="K697" t="s">
        <v>493</v>
      </c>
      <c r="L697" t="s">
        <v>494</v>
      </c>
      <c r="M697" t="s">
        <v>495</v>
      </c>
      <c r="O697" t="s">
        <v>496</v>
      </c>
      <c r="P697" t="s">
        <v>322</v>
      </c>
      <c r="Q697" t="s">
        <v>323</v>
      </c>
      <c r="R697">
        <v>0.4</v>
      </c>
      <c r="S697" t="s">
        <v>497</v>
      </c>
      <c r="T697" t="s">
        <v>62</v>
      </c>
      <c r="U697" t="s">
        <v>53</v>
      </c>
      <c r="V697" t="s">
        <v>314</v>
      </c>
    </row>
    <row r="698" spans="1:22" hidden="1" x14ac:dyDescent="0.2">
      <c r="A698" t="s">
        <v>499</v>
      </c>
      <c r="B698" t="s">
        <v>23</v>
      </c>
      <c r="C698" t="s">
        <v>500</v>
      </c>
      <c r="D698" t="s">
        <v>501</v>
      </c>
      <c r="E698" t="s">
        <v>502</v>
      </c>
      <c r="F698" t="s">
        <v>25</v>
      </c>
      <c r="G698" t="s">
        <v>25</v>
      </c>
      <c r="H698" t="s">
        <v>503</v>
      </c>
      <c r="I698" t="s">
        <v>25</v>
      </c>
      <c r="J698" t="s">
        <v>504</v>
      </c>
      <c r="K698" t="s">
        <v>505</v>
      </c>
      <c r="N698" t="s">
        <v>25</v>
      </c>
      <c r="O698" t="s">
        <v>506</v>
      </c>
      <c r="T698" t="s">
        <v>208</v>
      </c>
      <c r="U698" t="s">
        <v>25</v>
      </c>
      <c r="V698" t="s">
        <v>25</v>
      </c>
    </row>
    <row r="699" spans="1:22" hidden="1" x14ac:dyDescent="0.2">
      <c r="A699" t="s">
        <v>499</v>
      </c>
      <c r="B699" t="s">
        <v>23</v>
      </c>
      <c r="C699" t="s">
        <v>500</v>
      </c>
      <c r="D699" t="s">
        <v>501</v>
      </c>
      <c r="E699" t="s">
        <v>502</v>
      </c>
      <c r="F699" t="s">
        <v>25</v>
      </c>
      <c r="G699" t="s">
        <v>25</v>
      </c>
      <c r="H699" t="s">
        <v>503</v>
      </c>
      <c r="I699" t="s">
        <v>25</v>
      </c>
      <c r="J699" t="s">
        <v>504</v>
      </c>
      <c r="K699" t="s">
        <v>505</v>
      </c>
      <c r="N699" t="s">
        <v>25</v>
      </c>
      <c r="O699" t="s">
        <v>506</v>
      </c>
      <c r="T699" t="s">
        <v>103</v>
      </c>
      <c r="U699" t="s">
        <v>25</v>
      </c>
      <c r="V699" t="s">
        <v>25</v>
      </c>
    </row>
    <row r="700" spans="1:22" hidden="1" x14ac:dyDescent="0.2">
      <c r="A700" t="s">
        <v>507</v>
      </c>
      <c r="B700" t="s">
        <v>23</v>
      </c>
      <c r="C700" t="s">
        <v>508</v>
      </c>
      <c r="D700" t="s">
        <v>509</v>
      </c>
      <c r="E700" t="s">
        <v>510</v>
      </c>
      <c r="F700" t="s">
        <v>511</v>
      </c>
      <c r="G700" t="s">
        <v>512</v>
      </c>
      <c r="H700" t="s">
        <v>513</v>
      </c>
      <c r="I700" t="s">
        <v>514</v>
      </c>
      <c r="J700" t="s">
        <v>515</v>
      </c>
      <c r="K700" t="s">
        <v>516</v>
      </c>
      <c r="L700" t="s">
        <v>517</v>
      </c>
      <c r="O700" t="s">
        <v>518</v>
      </c>
      <c r="P700" t="s">
        <v>207</v>
      </c>
      <c r="Q700" t="s">
        <v>37</v>
      </c>
      <c r="R700">
        <v>10</v>
      </c>
      <c r="S700" t="s">
        <v>519</v>
      </c>
      <c r="T700" t="s">
        <v>39</v>
      </c>
      <c r="U700" t="s">
        <v>53</v>
      </c>
      <c r="V700" t="s">
        <v>195</v>
      </c>
    </row>
    <row r="701" spans="1:22" hidden="1" x14ac:dyDescent="0.2">
      <c r="A701" t="s">
        <v>507</v>
      </c>
      <c r="B701" t="s">
        <v>23</v>
      </c>
      <c r="C701" t="s">
        <v>508</v>
      </c>
      <c r="D701" t="s">
        <v>509</v>
      </c>
      <c r="E701" t="s">
        <v>510</v>
      </c>
      <c r="F701" t="s">
        <v>511</v>
      </c>
      <c r="G701" t="s">
        <v>512</v>
      </c>
      <c r="H701" t="s">
        <v>513</v>
      </c>
      <c r="I701" t="s">
        <v>514</v>
      </c>
      <c r="J701" t="s">
        <v>515</v>
      </c>
      <c r="K701" t="s">
        <v>516</v>
      </c>
      <c r="L701" t="s">
        <v>517</v>
      </c>
      <c r="O701" t="s">
        <v>518</v>
      </c>
      <c r="P701" t="s">
        <v>207</v>
      </c>
      <c r="Q701" t="s">
        <v>37</v>
      </c>
      <c r="R701">
        <v>10</v>
      </c>
      <c r="S701" t="s">
        <v>519</v>
      </c>
      <c r="T701" t="s">
        <v>39</v>
      </c>
      <c r="U701" t="s">
        <v>53</v>
      </c>
      <c r="V701" t="s">
        <v>56</v>
      </c>
    </row>
    <row r="702" spans="1:22" hidden="1" x14ac:dyDescent="0.2">
      <c r="A702" t="s">
        <v>507</v>
      </c>
      <c r="B702" t="s">
        <v>23</v>
      </c>
      <c r="C702" t="s">
        <v>508</v>
      </c>
      <c r="D702" t="s">
        <v>509</v>
      </c>
      <c r="E702" t="s">
        <v>510</v>
      </c>
      <c r="F702" t="s">
        <v>511</v>
      </c>
      <c r="G702" t="s">
        <v>512</v>
      </c>
      <c r="H702" t="s">
        <v>513</v>
      </c>
      <c r="I702" t="s">
        <v>514</v>
      </c>
      <c r="J702" t="s">
        <v>515</v>
      </c>
      <c r="K702" t="s">
        <v>516</v>
      </c>
      <c r="L702" t="s">
        <v>517</v>
      </c>
      <c r="O702" t="s">
        <v>518</v>
      </c>
      <c r="P702" t="s">
        <v>207</v>
      </c>
      <c r="Q702" t="s">
        <v>37</v>
      </c>
      <c r="R702">
        <v>10</v>
      </c>
      <c r="S702" t="s">
        <v>519</v>
      </c>
      <c r="T702" t="s">
        <v>39</v>
      </c>
      <c r="U702" t="s">
        <v>53</v>
      </c>
      <c r="V702" t="s">
        <v>257</v>
      </c>
    </row>
    <row r="703" spans="1:22" hidden="1" x14ac:dyDescent="0.2">
      <c r="A703" t="s">
        <v>507</v>
      </c>
      <c r="B703" t="s">
        <v>23</v>
      </c>
      <c r="C703" t="s">
        <v>508</v>
      </c>
      <c r="D703" t="s">
        <v>509</v>
      </c>
      <c r="E703" t="s">
        <v>510</v>
      </c>
      <c r="F703" t="s">
        <v>511</v>
      </c>
      <c r="G703" t="s">
        <v>512</v>
      </c>
      <c r="H703" t="s">
        <v>513</v>
      </c>
      <c r="I703" t="s">
        <v>514</v>
      </c>
      <c r="J703" t="s">
        <v>515</v>
      </c>
      <c r="K703" t="s">
        <v>516</v>
      </c>
      <c r="L703" t="s">
        <v>517</v>
      </c>
      <c r="O703" t="s">
        <v>518</v>
      </c>
      <c r="P703" t="s">
        <v>207</v>
      </c>
      <c r="Q703" t="s">
        <v>37</v>
      </c>
      <c r="R703">
        <v>10</v>
      </c>
      <c r="S703" t="s">
        <v>519</v>
      </c>
      <c r="T703" t="s">
        <v>57</v>
      </c>
      <c r="U703" t="s">
        <v>53</v>
      </c>
      <c r="V703" t="s">
        <v>195</v>
      </c>
    </row>
    <row r="704" spans="1:22" hidden="1" x14ac:dyDescent="0.2">
      <c r="A704" t="s">
        <v>507</v>
      </c>
      <c r="B704" t="s">
        <v>23</v>
      </c>
      <c r="C704" t="s">
        <v>508</v>
      </c>
      <c r="D704" t="s">
        <v>509</v>
      </c>
      <c r="E704" t="s">
        <v>510</v>
      </c>
      <c r="F704" t="s">
        <v>511</v>
      </c>
      <c r="G704" t="s">
        <v>512</v>
      </c>
      <c r="H704" t="s">
        <v>513</v>
      </c>
      <c r="I704" t="s">
        <v>514</v>
      </c>
      <c r="J704" t="s">
        <v>515</v>
      </c>
      <c r="K704" t="s">
        <v>516</v>
      </c>
      <c r="L704" t="s">
        <v>517</v>
      </c>
      <c r="O704" t="s">
        <v>518</v>
      </c>
      <c r="P704" t="s">
        <v>207</v>
      </c>
      <c r="Q704" t="s">
        <v>37</v>
      </c>
      <c r="R704">
        <v>10</v>
      </c>
      <c r="S704" t="s">
        <v>519</v>
      </c>
      <c r="T704" t="s">
        <v>57</v>
      </c>
      <c r="U704" t="s">
        <v>53</v>
      </c>
      <c r="V704" t="s">
        <v>56</v>
      </c>
    </row>
    <row r="705" spans="1:22" hidden="1" x14ac:dyDescent="0.2">
      <c r="A705" t="s">
        <v>507</v>
      </c>
      <c r="B705" t="s">
        <v>23</v>
      </c>
      <c r="C705" t="s">
        <v>508</v>
      </c>
      <c r="D705" t="s">
        <v>509</v>
      </c>
      <c r="E705" t="s">
        <v>510</v>
      </c>
      <c r="F705" t="s">
        <v>511</v>
      </c>
      <c r="G705" t="s">
        <v>512</v>
      </c>
      <c r="H705" t="s">
        <v>513</v>
      </c>
      <c r="I705" t="s">
        <v>514</v>
      </c>
      <c r="J705" t="s">
        <v>515</v>
      </c>
      <c r="K705" t="s">
        <v>516</v>
      </c>
      <c r="L705" t="s">
        <v>517</v>
      </c>
      <c r="O705" t="s">
        <v>518</v>
      </c>
      <c r="P705" t="s">
        <v>207</v>
      </c>
      <c r="Q705" t="s">
        <v>37</v>
      </c>
      <c r="R705">
        <v>10</v>
      </c>
      <c r="S705" t="s">
        <v>519</v>
      </c>
      <c r="T705" t="s">
        <v>57</v>
      </c>
      <c r="U705" t="s">
        <v>53</v>
      </c>
      <c r="V705" t="s">
        <v>257</v>
      </c>
    </row>
    <row r="706" spans="1:22" hidden="1" x14ac:dyDescent="0.2">
      <c r="A706" t="s">
        <v>507</v>
      </c>
      <c r="B706" t="s">
        <v>23</v>
      </c>
      <c r="C706" t="s">
        <v>508</v>
      </c>
      <c r="D706" t="s">
        <v>509</v>
      </c>
      <c r="E706" t="s">
        <v>510</v>
      </c>
      <c r="F706" t="s">
        <v>511</v>
      </c>
      <c r="G706" t="s">
        <v>512</v>
      </c>
      <c r="H706" t="s">
        <v>513</v>
      </c>
      <c r="I706" t="s">
        <v>514</v>
      </c>
      <c r="J706" t="s">
        <v>515</v>
      </c>
      <c r="K706" t="s">
        <v>516</v>
      </c>
      <c r="L706" t="s">
        <v>517</v>
      </c>
      <c r="O706" t="s">
        <v>518</v>
      </c>
      <c r="P706" t="s">
        <v>207</v>
      </c>
      <c r="Q706" t="s">
        <v>37</v>
      </c>
      <c r="R706">
        <v>10</v>
      </c>
      <c r="S706" t="s">
        <v>519</v>
      </c>
      <c r="T706" t="s">
        <v>58</v>
      </c>
      <c r="U706" t="s">
        <v>53</v>
      </c>
      <c r="V706" t="s">
        <v>195</v>
      </c>
    </row>
    <row r="707" spans="1:22" hidden="1" x14ac:dyDescent="0.2">
      <c r="A707" t="s">
        <v>507</v>
      </c>
      <c r="B707" t="s">
        <v>23</v>
      </c>
      <c r="C707" t="s">
        <v>508</v>
      </c>
      <c r="D707" t="s">
        <v>509</v>
      </c>
      <c r="E707" t="s">
        <v>510</v>
      </c>
      <c r="F707" t="s">
        <v>511</v>
      </c>
      <c r="G707" t="s">
        <v>512</v>
      </c>
      <c r="H707" t="s">
        <v>513</v>
      </c>
      <c r="I707" t="s">
        <v>514</v>
      </c>
      <c r="J707" t="s">
        <v>515</v>
      </c>
      <c r="K707" t="s">
        <v>516</v>
      </c>
      <c r="L707" t="s">
        <v>517</v>
      </c>
      <c r="O707" t="s">
        <v>518</v>
      </c>
      <c r="P707" t="s">
        <v>207</v>
      </c>
      <c r="Q707" t="s">
        <v>37</v>
      </c>
      <c r="R707">
        <v>10</v>
      </c>
      <c r="S707" t="s">
        <v>519</v>
      </c>
      <c r="T707" t="s">
        <v>58</v>
      </c>
      <c r="U707" t="s">
        <v>53</v>
      </c>
      <c r="V707" t="s">
        <v>56</v>
      </c>
    </row>
    <row r="708" spans="1:22" hidden="1" x14ac:dyDescent="0.2">
      <c r="A708" t="s">
        <v>507</v>
      </c>
      <c r="B708" t="s">
        <v>23</v>
      </c>
      <c r="C708" t="s">
        <v>508</v>
      </c>
      <c r="D708" t="s">
        <v>509</v>
      </c>
      <c r="E708" t="s">
        <v>510</v>
      </c>
      <c r="F708" t="s">
        <v>511</v>
      </c>
      <c r="G708" t="s">
        <v>512</v>
      </c>
      <c r="H708" t="s">
        <v>513</v>
      </c>
      <c r="I708" t="s">
        <v>514</v>
      </c>
      <c r="J708" t="s">
        <v>515</v>
      </c>
      <c r="K708" t="s">
        <v>516</v>
      </c>
      <c r="L708" t="s">
        <v>517</v>
      </c>
      <c r="O708" t="s">
        <v>518</v>
      </c>
      <c r="P708" t="s">
        <v>207</v>
      </c>
      <c r="Q708" t="s">
        <v>37</v>
      </c>
      <c r="R708">
        <v>10</v>
      </c>
      <c r="S708" t="s">
        <v>519</v>
      </c>
      <c r="T708" t="s">
        <v>58</v>
      </c>
      <c r="U708" t="s">
        <v>53</v>
      </c>
      <c r="V708" t="s">
        <v>257</v>
      </c>
    </row>
    <row r="709" spans="1:22" hidden="1" x14ac:dyDescent="0.2">
      <c r="A709" t="s">
        <v>507</v>
      </c>
      <c r="B709" t="s">
        <v>23</v>
      </c>
      <c r="C709" t="s">
        <v>508</v>
      </c>
      <c r="D709" t="s">
        <v>509</v>
      </c>
      <c r="E709" t="s">
        <v>510</v>
      </c>
      <c r="F709" t="s">
        <v>511</v>
      </c>
      <c r="G709" t="s">
        <v>512</v>
      </c>
      <c r="H709" t="s">
        <v>513</v>
      </c>
      <c r="I709" t="s">
        <v>514</v>
      </c>
      <c r="J709" t="s">
        <v>515</v>
      </c>
      <c r="K709" t="s">
        <v>516</v>
      </c>
      <c r="L709" t="s">
        <v>517</v>
      </c>
      <c r="O709" t="s">
        <v>518</v>
      </c>
      <c r="P709" t="s">
        <v>207</v>
      </c>
      <c r="Q709" t="s">
        <v>37</v>
      </c>
      <c r="R709">
        <v>10</v>
      </c>
      <c r="S709" t="s">
        <v>519</v>
      </c>
      <c r="T709" t="s">
        <v>59</v>
      </c>
      <c r="U709" t="s">
        <v>53</v>
      </c>
      <c r="V709" t="s">
        <v>195</v>
      </c>
    </row>
    <row r="710" spans="1:22" hidden="1" x14ac:dyDescent="0.2">
      <c r="A710" t="s">
        <v>507</v>
      </c>
      <c r="B710" t="s">
        <v>23</v>
      </c>
      <c r="C710" t="s">
        <v>508</v>
      </c>
      <c r="D710" t="s">
        <v>509</v>
      </c>
      <c r="E710" t="s">
        <v>510</v>
      </c>
      <c r="F710" t="s">
        <v>511</v>
      </c>
      <c r="G710" t="s">
        <v>512</v>
      </c>
      <c r="H710" t="s">
        <v>513</v>
      </c>
      <c r="I710" t="s">
        <v>514</v>
      </c>
      <c r="J710" t="s">
        <v>515</v>
      </c>
      <c r="K710" t="s">
        <v>516</v>
      </c>
      <c r="L710" t="s">
        <v>517</v>
      </c>
      <c r="O710" t="s">
        <v>518</v>
      </c>
      <c r="P710" t="s">
        <v>207</v>
      </c>
      <c r="Q710" t="s">
        <v>37</v>
      </c>
      <c r="R710">
        <v>10</v>
      </c>
      <c r="S710" t="s">
        <v>519</v>
      </c>
      <c r="T710" t="s">
        <v>59</v>
      </c>
      <c r="U710" t="s">
        <v>53</v>
      </c>
      <c r="V710" t="s">
        <v>56</v>
      </c>
    </row>
    <row r="711" spans="1:22" hidden="1" x14ac:dyDescent="0.2">
      <c r="A711" t="s">
        <v>507</v>
      </c>
      <c r="B711" t="s">
        <v>23</v>
      </c>
      <c r="C711" t="s">
        <v>508</v>
      </c>
      <c r="D711" t="s">
        <v>509</v>
      </c>
      <c r="E711" t="s">
        <v>510</v>
      </c>
      <c r="F711" t="s">
        <v>511</v>
      </c>
      <c r="G711" t="s">
        <v>512</v>
      </c>
      <c r="H711" t="s">
        <v>513</v>
      </c>
      <c r="I711" t="s">
        <v>514</v>
      </c>
      <c r="J711" t="s">
        <v>515</v>
      </c>
      <c r="K711" t="s">
        <v>516</v>
      </c>
      <c r="L711" t="s">
        <v>517</v>
      </c>
      <c r="O711" t="s">
        <v>518</v>
      </c>
      <c r="P711" t="s">
        <v>207</v>
      </c>
      <c r="Q711" t="s">
        <v>37</v>
      </c>
      <c r="R711">
        <v>10</v>
      </c>
      <c r="S711" t="s">
        <v>519</v>
      </c>
      <c r="T711" t="s">
        <v>59</v>
      </c>
      <c r="U711" t="s">
        <v>53</v>
      </c>
      <c r="V711" t="s">
        <v>257</v>
      </c>
    </row>
    <row r="712" spans="1:22" hidden="1" x14ac:dyDescent="0.2">
      <c r="A712" t="s">
        <v>507</v>
      </c>
      <c r="B712" t="s">
        <v>23</v>
      </c>
      <c r="C712" t="s">
        <v>508</v>
      </c>
      <c r="D712" t="s">
        <v>509</v>
      </c>
      <c r="E712" t="s">
        <v>510</v>
      </c>
      <c r="F712" t="s">
        <v>511</v>
      </c>
      <c r="G712" t="s">
        <v>512</v>
      </c>
      <c r="H712" t="s">
        <v>513</v>
      </c>
      <c r="I712" t="s">
        <v>514</v>
      </c>
      <c r="J712" t="s">
        <v>515</v>
      </c>
      <c r="K712" t="s">
        <v>516</v>
      </c>
      <c r="L712" t="s">
        <v>517</v>
      </c>
      <c r="O712" t="s">
        <v>518</v>
      </c>
      <c r="P712" t="s">
        <v>207</v>
      </c>
      <c r="Q712" t="s">
        <v>37</v>
      </c>
      <c r="R712">
        <v>10</v>
      </c>
      <c r="S712" t="s">
        <v>519</v>
      </c>
      <c r="T712" t="s">
        <v>60</v>
      </c>
      <c r="U712" t="s">
        <v>53</v>
      </c>
      <c r="V712" t="s">
        <v>195</v>
      </c>
    </row>
    <row r="713" spans="1:22" hidden="1" x14ac:dyDescent="0.2">
      <c r="A713" t="s">
        <v>507</v>
      </c>
      <c r="B713" t="s">
        <v>23</v>
      </c>
      <c r="C713" t="s">
        <v>508</v>
      </c>
      <c r="D713" t="s">
        <v>509</v>
      </c>
      <c r="E713" t="s">
        <v>510</v>
      </c>
      <c r="F713" t="s">
        <v>511</v>
      </c>
      <c r="G713" t="s">
        <v>512</v>
      </c>
      <c r="H713" t="s">
        <v>513</v>
      </c>
      <c r="I713" t="s">
        <v>514</v>
      </c>
      <c r="J713" t="s">
        <v>515</v>
      </c>
      <c r="K713" t="s">
        <v>516</v>
      </c>
      <c r="L713" t="s">
        <v>517</v>
      </c>
      <c r="O713" t="s">
        <v>518</v>
      </c>
      <c r="P713" t="s">
        <v>207</v>
      </c>
      <c r="Q713" t="s">
        <v>37</v>
      </c>
      <c r="R713">
        <v>10</v>
      </c>
      <c r="S713" t="s">
        <v>519</v>
      </c>
      <c r="T713" t="s">
        <v>60</v>
      </c>
      <c r="U713" t="s">
        <v>53</v>
      </c>
      <c r="V713" t="s">
        <v>56</v>
      </c>
    </row>
    <row r="714" spans="1:22" hidden="1" x14ac:dyDescent="0.2">
      <c r="A714" t="s">
        <v>507</v>
      </c>
      <c r="B714" t="s">
        <v>23</v>
      </c>
      <c r="C714" t="s">
        <v>508</v>
      </c>
      <c r="D714" t="s">
        <v>509</v>
      </c>
      <c r="E714" t="s">
        <v>510</v>
      </c>
      <c r="F714" t="s">
        <v>511</v>
      </c>
      <c r="G714" t="s">
        <v>512</v>
      </c>
      <c r="H714" t="s">
        <v>513</v>
      </c>
      <c r="I714" t="s">
        <v>514</v>
      </c>
      <c r="J714" t="s">
        <v>515</v>
      </c>
      <c r="K714" t="s">
        <v>516</v>
      </c>
      <c r="L714" t="s">
        <v>517</v>
      </c>
      <c r="O714" t="s">
        <v>518</v>
      </c>
      <c r="P714" t="s">
        <v>207</v>
      </c>
      <c r="Q714" t="s">
        <v>37</v>
      </c>
      <c r="R714">
        <v>10</v>
      </c>
      <c r="S714" t="s">
        <v>519</v>
      </c>
      <c r="T714" t="s">
        <v>60</v>
      </c>
      <c r="U714" t="s">
        <v>53</v>
      </c>
      <c r="V714" t="s">
        <v>257</v>
      </c>
    </row>
    <row r="715" spans="1:22" hidden="1" x14ac:dyDescent="0.2">
      <c r="A715" t="s">
        <v>507</v>
      </c>
      <c r="B715" t="s">
        <v>23</v>
      </c>
      <c r="C715" t="s">
        <v>508</v>
      </c>
      <c r="D715" t="s">
        <v>509</v>
      </c>
      <c r="E715" t="s">
        <v>510</v>
      </c>
      <c r="F715" t="s">
        <v>511</v>
      </c>
      <c r="G715" t="s">
        <v>512</v>
      </c>
      <c r="H715" t="s">
        <v>513</v>
      </c>
      <c r="I715" t="s">
        <v>514</v>
      </c>
      <c r="J715" t="s">
        <v>515</v>
      </c>
      <c r="K715" t="s">
        <v>516</v>
      </c>
      <c r="L715" t="s">
        <v>517</v>
      </c>
      <c r="O715" t="s">
        <v>518</v>
      </c>
      <c r="P715" t="s">
        <v>207</v>
      </c>
      <c r="Q715" t="s">
        <v>37</v>
      </c>
      <c r="R715">
        <v>10</v>
      </c>
      <c r="S715" t="s">
        <v>519</v>
      </c>
      <c r="T715" t="s">
        <v>79</v>
      </c>
      <c r="U715" t="s">
        <v>53</v>
      </c>
      <c r="V715" t="s">
        <v>195</v>
      </c>
    </row>
    <row r="716" spans="1:22" hidden="1" x14ac:dyDescent="0.2">
      <c r="A716" t="s">
        <v>507</v>
      </c>
      <c r="B716" t="s">
        <v>23</v>
      </c>
      <c r="C716" t="s">
        <v>508</v>
      </c>
      <c r="D716" t="s">
        <v>509</v>
      </c>
      <c r="E716" t="s">
        <v>510</v>
      </c>
      <c r="F716" t="s">
        <v>511</v>
      </c>
      <c r="G716" t="s">
        <v>512</v>
      </c>
      <c r="H716" t="s">
        <v>513</v>
      </c>
      <c r="I716" t="s">
        <v>514</v>
      </c>
      <c r="J716" t="s">
        <v>515</v>
      </c>
      <c r="K716" t="s">
        <v>516</v>
      </c>
      <c r="L716" t="s">
        <v>517</v>
      </c>
      <c r="O716" t="s">
        <v>518</v>
      </c>
      <c r="P716" t="s">
        <v>207</v>
      </c>
      <c r="Q716" t="s">
        <v>37</v>
      </c>
      <c r="R716">
        <v>10</v>
      </c>
      <c r="S716" t="s">
        <v>519</v>
      </c>
      <c r="T716" t="s">
        <v>79</v>
      </c>
      <c r="U716" t="s">
        <v>53</v>
      </c>
      <c r="V716" t="s">
        <v>56</v>
      </c>
    </row>
    <row r="717" spans="1:22" hidden="1" x14ac:dyDescent="0.2">
      <c r="A717" t="s">
        <v>507</v>
      </c>
      <c r="B717" t="s">
        <v>23</v>
      </c>
      <c r="C717" t="s">
        <v>508</v>
      </c>
      <c r="D717" t="s">
        <v>509</v>
      </c>
      <c r="E717" t="s">
        <v>510</v>
      </c>
      <c r="F717" t="s">
        <v>511</v>
      </c>
      <c r="G717" t="s">
        <v>512</v>
      </c>
      <c r="H717" t="s">
        <v>513</v>
      </c>
      <c r="I717" t="s">
        <v>514</v>
      </c>
      <c r="J717" t="s">
        <v>515</v>
      </c>
      <c r="K717" t="s">
        <v>516</v>
      </c>
      <c r="L717" t="s">
        <v>517</v>
      </c>
      <c r="O717" t="s">
        <v>518</v>
      </c>
      <c r="P717" t="s">
        <v>207</v>
      </c>
      <c r="Q717" t="s">
        <v>37</v>
      </c>
      <c r="R717">
        <v>10</v>
      </c>
      <c r="S717" t="s">
        <v>519</v>
      </c>
      <c r="T717" t="s">
        <v>79</v>
      </c>
      <c r="U717" t="s">
        <v>53</v>
      </c>
      <c r="V717" t="s">
        <v>257</v>
      </c>
    </row>
    <row r="718" spans="1:22" hidden="1" x14ac:dyDescent="0.2">
      <c r="A718" t="s">
        <v>507</v>
      </c>
      <c r="B718" t="s">
        <v>23</v>
      </c>
      <c r="C718" t="s">
        <v>508</v>
      </c>
      <c r="D718" t="s">
        <v>509</v>
      </c>
      <c r="E718" t="s">
        <v>510</v>
      </c>
      <c r="F718" t="s">
        <v>511</v>
      </c>
      <c r="G718" t="s">
        <v>512</v>
      </c>
      <c r="H718" t="s">
        <v>513</v>
      </c>
      <c r="I718" t="s">
        <v>514</v>
      </c>
      <c r="J718" t="s">
        <v>515</v>
      </c>
      <c r="K718" t="s">
        <v>516</v>
      </c>
      <c r="L718" t="s">
        <v>517</v>
      </c>
      <c r="O718" t="s">
        <v>518</v>
      </c>
      <c r="P718" t="s">
        <v>207</v>
      </c>
      <c r="Q718" t="s">
        <v>37</v>
      </c>
      <c r="R718">
        <v>10</v>
      </c>
      <c r="S718" t="s">
        <v>519</v>
      </c>
      <c r="T718" t="s">
        <v>62</v>
      </c>
      <c r="U718" t="s">
        <v>53</v>
      </c>
      <c r="V718" t="s">
        <v>195</v>
      </c>
    </row>
    <row r="719" spans="1:22" hidden="1" x14ac:dyDescent="0.2">
      <c r="A719" t="s">
        <v>507</v>
      </c>
      <c r="B719" t="s">
        <v>23</v>
      </c>
      <c r="C719" t="s">
        <v>508</v>
      </c>
      <c r="D719" t="s">
        <v>509</v>
      </c>
      <c r="E719" t="s">
        <v>510</v>
      </c>
      <c r="F719" t="s">
        <v>511</v>
      </c>
      <c r="G719" t="s">
        <v>512</v>
      </c>
      <c r="H719" t="s">
        <v>513</v>
      </c>
      <c r="I719" t="s">
        <v>514</v>
      </c>
      <c r="J719" t="s">
        <v>515</v>
      </c>
      <c r="K719" t="s">
        <v>516</v>
      </c>
      <c r="L719" t="s">
        <v>517</v>
      </c>
      <c r="O719" t="s">
        <v>518</v>
      </c>
      <c r="P719" t="s">
        <v>207</v>
      </c>
      <c r="Q719" t="s">
        <v>37</v>
      </c>
      <c r="R719">
        <v>10</v>
      </c>
      <c r="S719" t="s">
        <v>519</v>
      </c>
      <c r="T719" t="s">
        <v>62</v>
      </c>
      <c r="U719" t="s">
        <v>53</v>
      </c>
      <c r="V719" t="s">
        <v>56</v>
      </c>
    </row>
    <row r="720" spans="1:22" hidden="1" x14ac:dyDescent="0.2">
      <c r="A720" t="s">
        <v>507</v>
      </c>
      <c r="B720" t="s">
        <v>23</v>
      </c>
      <c r="C720" t="s">
        <v>508</v>
      </c>
      <c r="D720" t="s">
        <v>509</v>
      </c>
      <c r="E720" t="s">
        <v>510</v>
      </c>
      <c r="F720" t="s">
        <v>511</v>
      </c>
      <c r="G720" t="s">
        <v>512</v>
      </c>
      <c r="H720" t="s">
        <v>513</v>
      </c>
      <c r="I720" t="s">
        <v>514</v>
      </c>
      <c r="J720" t="s">
        <v>515</v>
      </c>
      <c r="K720" t="s">
        <v>516</v>
      </c>
      <c r="L720" t="s">
        <v>517</v>
      </c>
      <c r="O720" t="s">
        <v>518</v>
      </c>
      <c r="P720" t="s">
        <v>207</v>
      </c>
      <c r="Q720" t="s">
        <v>37</v>
      </c>
      <c r="R720">
        <v>10</v>
      </c>
      <c r="S720" t="s">
        <v>519</v>
      </c>
      <c r="T720" t="s">
        <v>62</v>
      </c>
      <c r="U720" t="s">
        <v>53</v>
      </c>
      <c r="V720" t="s">
        <v>257</v>
      </c>
    </row>
    <row r="721" spans="1:22" hidden="1" x14ac:dyDescent="0.2">
      <c r="A721" t="s">
        <v>507</v>
      </c>
      <c r="B721" t="s">
        <v>23</v>
      </c>
      <c r="C721" t="s">
        <v>508</v>
      </c>
      <c r="D721" t="s">
        <v>509</v>
      </c>
      <c r="E721" t="s">
        <v>510</v>
      </c>
      <c r="F721" t="s">
        <v>511</v>
      </c>
      <c r="G721" t="s">
        <v>512</v>
      </c>
      <c r="H721" t="s">
        <v>513</v>
      </c>
      <c r="I721" t="s">
        <v>514</v>
      </c>
      <c r="J721" t="s">
        <v>515</v>
      </c>
      <c r="K721" t="s">
        <v>516</v>
      </c>
      <c r="L721" t="s">
        <v>517</v>
      </c>
      <c r="O721" t="s">
        <v>518</v>
      </c>
      <c r="P721" t="s">
        <v>207</v>
      </c>
      <c r="Q721" t="s">
        <v>37</v>
      </c>
      <c r="R721">
        <v>10</v>
      </c>
      <c r="S721" t="s">
        <v>519</v>
      </c>
      <c r="T721" t="s">
        <v>80</v>
      </c>
      <c r="U721" t="s">
        <v>53</v>
      </c>
      <c r="V721" t="s">
        <v>195</v>
      </c>
    </row>
    <row r="722" spans="1:22" hidden="1" x14ac:dyDescent="0.2">
      <c r="A722" t="s">
        <v>507</v>
      </c>
      <c r="B722" t="s">
        <v>23</v>
      </c>
      <c r="C722" t="s">
        <v>508</v>
      </c>
      <c r="D722" t="s">
        <v>509</v>
      </c>
      <c r="E722" t="s">
        <v>510</v>
      </c>
      <c r="F722" t="s">
        <v>511</v>
      </c>
      <c r="G722" t="s">
        <v>512</v>
      </c>
      <c r="H722" t="s">
        <v>513</v>
      </c>
      <c r="I722" t="s">
        <v>514</v>
      </c>
      <c r="J722" t="s">
        <v>515</v>
      </c>
      <c r="K722" t="s">
        <v>516</v>
      </c>
      <c r="L722" t="s">
        <v>517</v>
      </c>
      <c r="O722" t="s">
        <v>518</v>
      </c>
      <c r="P722" t="s">
        <v>207</v>
      </c>
      <c r="Q722" t="s">
        <v>37</v>
      </c>
      <c r="R722">
        <v>10</v>
      </c>
      <c r="S722" t="s">
        <v>519</v>
      </c>
      <c r="T722" t="s">
        <v>80</v>
      </c>
      <c r="U722" t="s">
        <v>53</v>
      </c>
      <c r="V722" t="s">
        <v>56</v>
      </c>
    </row>
    <row r="723" spans="1:22" hidden="1" x14ac:dyDescent="0.2">
      <c r="A723" t="s">
        <v>507</v>
      </c>
      <c r="B723" t="s">
        <v>23</v>
      </c>
      <c r="C723" t="s">
        <v>508</v>
      </c>
      <c r="D723" t="s">
        <v>509</v>
      </c>
      <c r="E723" t="s">
        <v>510</v>
      </c>
      <c r="F723" t="s">
        <v>511</v>
      </c>
      <c r="G723" t="s">
        <v>512</v>
      </c>
      <c r="H723" t="s">
        <v>513</v>
      </c>
      <c r="I723" t="s">
        <v>514</v>
      </c>
      <c r="J723" t="s">
        <v>515</v>
      </c>
      <c r="K723" t="s">
        <v>516</v>
      </c>
      <c r="L723" t="s">
        <v>517</v>
      </c>
      <c r="O723" t="s">
        <v>518</v>
      </c>
      <c r="P723" t="s">
        <v>207</v>
      </c>
      <c r="Q723" t="s">
        <v>37</v>
      </c>
      <c r="R723">
        <v>10</v>
      </c>
      <c r="S723" t="s">
        <v>519</v>
      </c>
      <c r="T723" t="s">
        <v>80</v>
      </c>
      <c r="U723" t="s">
        <v>53</v>
      </c>
      <c r="V723" t="s">
        <v>257</v>
      </c>
    </row>
    <row r="724" spans="1:22" hidden="1" x14ac:dyDescent="0.2">
      <c r="A724" t="s">
        <v>520</v>
      </c>
      <c r="B724" t="s">
        <v>23</v>
      </c>
      <c r="C724" t="s">
        <v>521</v>
      </c>
      <c r="D724" t="s">
        <v>25</v>
      </c>
      <c r="E724" t="s">
        <v>522</v>
      </c>
      <c r="F724" t="s">
        <v>523</v>
      </c>
      <c r="G724" t="s">
        <v>524</v>
      </c>
      <c r="H724" t="s">
        <v>525</v>
      </c>
      <c r="I724" t="s">
        <v>30</v>
      </c>
      <c r="J724" t="s">
        <v>526</v>
      </c>
      <c r="K724" t="s">
        <v>527</v>
      </c>
      <c r="L724" t="s">
        <v>528</v>
      </c>
      <c r="M724" t="s">
        <v>529</v>
      </c>
      <c r="O724" t="s">
        <v>530</v>
      </c>
      <c r="T724" t="s">
        <v>102</v>
      </c>
    </row>
    <row r="725" spans="1:22" hidden="1" x14ac:dyDescent="0.2">
      <c r="A725" t="s">
        <v>520</v>
      </c>
      <c r="B725" t="s">
        <v>23</v>
      </c>
      <c r="C725" t="s">
        <v>521</v>
      </c>
      <c r="D725" t="s">
        <v>25</v>
      </c>
      <c r="E725" t="s">
        <v>522</v>
      </c>
      <c r="F725" t="s">
        <v>523</v>
      </c>
      <c r="G725" t="s">
        <v>524</v>
      </c>
      <c r="H725" t="s">
        <v>525</v>
      </c>
      <c r="I725" t="s">
        <v>30</v>
      </c>
      <c r="J725" t="s">
        <v>526</v>
      </c>
      <c r="K725" t="s">
        <v>527</v>
      </c>
      <c r="L725" t="s">
        <v>528</v>
      </c>
      <c r="M725" t="s">
        <v>529</v>
      </c>
      <c r="O725" t="s">
        <v>530</v>
      </c>
      <c r="T725" t="s">
        <v>103</v>
      </c>
    </row>
    <row r="726" spans="1:22" hidden="1" x14ac:dyDescent="0.2">
      <c r="A726" t="s">
        <v>531</v>
      </c>
      <c r="B726" t="s">
        <v>23</v>
      </c>
      <c r="C726" t="s">
        <v>76</v>
      </c>
      <c r="D726" t="s">
        <v>532</v>
      </c>
      <c r="E726" t="s">
        <v>533</v>
      </c>
      <c r="F726" t="s">
        <v>534</v>
      </c>
      <c r="G726" t="s">
        <v>535</v>
      </c>
      <c r="H726" t="s">
        <v>25</v>
      </c>
      <c r="I726" t="s">
        <v>536</v>
      </c>
      <c r="J726" t="s">
        <v>537</v>
      </c>
      <c r="K726" t="s">
        <v>538</v>
      </c>
      <c r="L726" t="s">
        <v>539</v>
      </c>
      <c r="T726" t="s">
        <v>39</v>
      </c>
      <c r="U726" t="s">
        <v>53</v>
      </c>
      <c r="V726" t="s">
        <v>540</v>
      </c>
    </row>
    <row r="727" spans="1:22" hidden="1" x14ac:dyDescent="0.2">
      <c r="A727" t="s">
        <v>531</v>
      </c>
      <c r="B727" t="s">
        <v>23</v>
      </c>
      <c r="C727" t="s">
        <v>76</v>
      </c>
      <c r="D727" t="s">
        <v>532</v>
      </c>
      <c r="E727" t="s">
        <v>533</v>
      </c>
      <c r="F727" t="s">
        <v>534</v>
      </c>
      <c r="G727" t="s">
        <v>535</v>
      </c>
      <c r="H727" t="s">
        <v>25</v>
      </c>
      <c r="I727" t="s">
        <v>536</v>
      </c>
      <c r="J727" t="s">
        <v>537</v>
      </c>
      <c r="K727" t="s">
        <v>538</v>
      </c>
      <c r="L727" t="s">
        <v>539</v>
      </c>
      <c r="T727" t="s">
        <v>39</v>
      </c>
      <c r="U727" t="s">
        <v>157</v>
      </c>
      <c r="V727" t="s">
        <v>541</v>
      </c>
    </row>
    <row r="728" spans="1:22" hidden="1" x14ac:dyDescent="0.2">
      <c r="A728" t="s">
        <v>531</v>
      </c>
      <c r="B728" t="s">
        <v>23</v>
      </c>
      <c r="C728" t="s">
        <v>76</v>
      </c>
      <c r="D728" t="s">
        <v>532</v>
      </c>
      <c r="E728" t="s">
        <v>533</v>
      </c>
      <c r="F728" t="s">
        <v>534</v>
      </c>
      <c r="G728" t="s">
        <v>535</v>
      </c>
      <c r="H728" t="s">
        <v>25</v>
      </c>
      <c r="I728" t="s">
        <v>536</v>
      </c>
      <c r="J728" t="s">
        <v>537</v>
      </c>
      <c r="K728" t="s">
        <v>538</v>
      </c>
      <c r="L728" t="s">
        <v>539</v>
      </c>
      <c r="T728" t="s">
        <v>39</v>
      </c>
      <c r="U728" t="s">
        <v>53</v>
      </c>
      <c r="V728" t="s">
        <v>396</v>
      </c>
    </row>
    <row r="729" spans="1:22" hidden="1" x14ac:dyDescent="0.2">
      <c r="A729" t="s">
        <v>531</v>
      </c>
      <c r="B729" t="s">
        <v>23</v>
      </c>
      <c r="C729" t="s">
        <v>76</v>
      </c>
      <c r="D729" t="s">
        <v>532</v>
      </c>
      <c r="E729" t="s">
        <v>533</v>
      </c>
      <c r="F729" t="s">
        <v>534</v>
      </c>
      <c r="G729" t="s">
        <v>535</v>
      </c>
      <c r="H729" t="s">
        <v>25</v>
      </c>
      <c r="I729" t="s">
        <v>536</v>
      </c>
      <c r="J729" t="s">
        <v>537</v>
      </c>
      <c r="K729" t="s">
        <v>538</v>
      </c>
      <c r="L729" t="s">
        <v>539</v>
      </c>
      <c r="T729" t="s">
        <v>39</v>
      </c>
      <c r="U729" t="s">
        <v>53</v>
      </c>
      <c r="V729" t="s">
        <v>257</v>
      </c>
    </row>
    <row r="730" spans="1:22" hidden="1" x14ac:dyDescent="0.2">
      <c r="A730" t="s">
        <v>531</v>
      </c>
      <c r="B730" t="s">
        <v>23</v>
      </c>
      <c r="C730" t="s">
        <v>76</v>
      </c>
      <c r="D730" t="s">
        <v>532</v>
      </c>
      <c r="E730" t="s">
        <v>533</v>
      </c>
      <c r="F730" t="s">
        <v>534</v>
      </c>
      <c r="G730" t="s">
        <v>535</v>
      </c>
      <c r="H730" t="s">
        <v>25</v>
      </c>
      <c r="I730" t="s">
        <v>536</v>
      </c>
      <c r="J730" t="s">
        <v>537</v>
      </c>
      <c r="K730" t="s">
        <v>538</v>
      </c>
      <c r="L730" t="s">
        <v>539</v>
      </c>
      <c r="T730" t="s">
        <v>39</v>
      </c>
      <c r="U730" t="s">
        <v>53</v>
      </c>
      <c r="V730" t="s">
        <v>64</v>
      </c>
    </row>
    <row r="731" spans="1:22" hidden="1" x14ac:dyDescent="0.2">
      <c r="A731" t="s">
        <v>531</v>
      </c>
      <c r="B731" t="s">
        <v>23</v>
      </c>
      <c r="C731" t="s">
        <v>76</v>
      </c>
      <c r="D731" t="s">
        <v>532</v>
      </c>
      <c r="E731" t="s">
        <v>533</v>
      </c>
      <c r="F731" t="s">
        <v>534</v>
      </c>
      <c r="G731" t="s">
        <v>535</v>
      </c>
      <c r="H731" t="s">
        <v>25</v>
      </c>
      <c r="I731" t="s">
        <v>536</v>
      </c>
      <c r="J731" t="s">
        <v>537</v>
      </c>
      <c r="K731" t="s">
        <v>538</v>
      </c>
      <c r="L731" t="s">
        <v>539</v>
      </c>
      <c r="T731" t="s">
        <v>57</v>
      </c>
      <c r="U731" t="s">
        <v>53</v>
      </c>
      <c r="V731" t="s">
        <v>540</v>
      </c>
    </row>
    <row r="732" spans="1:22" hidden="1" x14ac:dyDescent="0.2">
      <c r="A732" t="s">
        <v>531</v>
      </c>
      <c r="B732" t="s">
        <v>23</v>
      </c>
      <c r="C732" t="s">
        <v>76</v>
      </c>
      <c r="D732" t="s">
        <v>532</v>
      </c>
      <c r="E732" t="s">
        <v>533</v>
      </c>
      <c r="F732" t="s">
        <v>534</v>
      </c>
      <c r="G732" t="s">
        <v>535</v>
      </c>
      <c r="H732" t="s">
        <v>25</v>
      </c>
      <c r="I732" t="s">
        <v>536</v>
      </c>
      <c r="J732" t="s">
        <v>537</v>
      </c>
      <c r="K732" t="s">
        <v>538</v>
      </c>
      <c r="L732" t="s">
        <v>539</v>
      </c>
      <c r="T732" t="s">
        <v>57</v>
      </c>
      <c r="U732" t="s">
        <v>157</v>
      </c>
      <c r="V732" t="s">
        <v>541</v>
      </c>
    </row>
    <row r="733" spans="1:22" hidden="1" x14ac:dyDescent="0.2">
      <c r="A733" t="s">
        <v>531</v>
      </c>
      <c r="B733" t="s">
        <v>23</v>
      </c>
      <c r="C733" t="s">
        <v>76</v>
      </c>
      <c r="D733" t="s">
        <v>532</v>
      </c>
      <c r="E733" t="s">
        <v>533</v>
      </c>
      <c r="F733" t="s">
        <v>534</v>
      </c>
      <c r="G733" t="s">
        <v>535</v>
      </c>
      <c r="H733" t="s">
        <v>25</v>
      </c>
      <c r="I733" t="s">
        <v>536</v>
      </c>
      <c r="J733" t="s">
        <v>537</v>
      </c>
      <c r="K733" t="s">
        <v>538</v>
      </c>
      <c r="L733" t="s">
        <v>539</v>
      </c>
      <c r="T733" t="s">
        <v>57</v>
      </c>
      <c r="U733" t="s">
        <v>53</v>
      </c>
      <c r="V733" t="s">
        <v>396</v>
      </c>
    </row>
    <row r="734" spans="1:22" hidden="1" x14ac:dyDescent="0.2">
      <c r="A734" t="s">
        <v>531</v>
      </c>
      <c r="B734" t="s">
        <v>23</v>
      </c>
      <c r="C734" t="s">
        <v>76</v>
      </c>
      <c r="D734" t="s">
        <v>532</v>
      </c>
      <c r="E734" t="s">
        <v>533</v>
      </c>
      <c r="F734" t="s">
        <v>534</v>
      </c>
      <c r="G734" t="s">
        <v>535</v>
      </c>
      <c r="H734" t="s">
        <v>25</v>
      </c>
      <c r="I734" t="s">
        <v>536</v>
      </c>
      <c r="J734" t="s">
        <v>537</v>
      </c>
      <c r="K734" t="s">
        <v>538</v>
      </c>
      <c r="L734" t="s">
        <v>539</v>
      </c>
      <c r="T734" t="s">
        <v>57</v>
      </c>
      <c r="U734" t="s">
        <v>53</v>
      </c>
      <c r="V734" t="s">
        <v>257</v>
      </c>
    </row>
    <row r="735" spans="1:22" hidden="1" x14ac:dyDescent="0.2">
      <c r="A735" t="s">
        <v>531</v>
      </c>
      <c r="B735" t="s">
        <v>23</v>
      </c>
      <c r="C735" t="s">
        <v>76</v>
      </c>
      <c r="D735" t="s">
        <v>532</v>
      </c>
      <c r="E735" t="s">
        <v>533</v>
      </c>
      <c r="F735" t="s">
        <v>534</v>
      </c>
      <c r="G735" t="s">
        <v>535</v>
      </c>
      <c r="H735" t="s">
        <v>25</v>
      </c>
      <c r="I735" t="s">
        <v>536</v>
      </c>
      <c r="J735" t="s">
        <v>537</v>
      </c>
      <c r="K735" t="s">
        <v>538</v>
      </c>
      <c r="L735" t="s">
        <v>539</v>
      </c>
      <c r="T735" t="s">
        <v>57</v>
      </c>
      <c r="U735" t="s">
        <v>53</v>
      </c>
      <c r="V735" t="s">
        <v>64</v>
      </c>
    </row>
    <row r="736" spans="1:22" hidden="1" x14ac:dyDescent="0.2">
      <c r="A736" t="s">
        <v>531</v>
      </c>
      <c r="B736" t="s">
        <v>23</v>
      </c>
      <c r="C736" t="s">
        <v>76</v>
      </c>
      <c r="D736" t="s">
        <v>532</v>
      </c>
      <c r="E736" t="s">
        <v>533</v>
      </c>
      <c r="F736" t="s">
        <v>534</v>
      </c>
      <c r="G736" t="s">
        <v>535</v>
      </c>
      <c r="H736" t="s">
        <v>25</v>
      </c>
      <c r="I736" t="s">
        <v>536</v>
      </c>
      <c r="J736" t="s">
        <v>537</v>
      </c>
      <c r="K736" t="s">
        <v>538</v>
      </c>
      <c r="L736" t="s">
        <v>539</v>
      </c>
      <c r="T736" t="s">
        <v>58</v>
      </c>
      <c r="U736" t="s">
        <v>53</v>
      </c>
      <c r="V736" t="s">
        <v>540</v>
      </c>
    </row>
    <row r="737" spans="1:22" hidden="1" x14ac:dyDescent="0.2">
      <c r="A737" t="s">
        <v>531</v>
      </c>
      <c r="B737" t="s">
        <v>23</v>
      </c>
      <c r="C737" t="s">
        <v>76</v>
      </c>
      <c r="D737" t="s">
        <v>532</v>
      </c>
      <c r="E737" t="s">
        <v>533</v>
      </c>
      <c r="F737" t="s">
        <v>534</v>
      </c>
      <c r="G737" t="s">
        <v>535</v>
      </c>
      <c r="H737" t="s">
        <v>25</v>
      </c>
      <c r="I737" t="s">
        <v>536</v>
      </c>
      <c r="J737" t="s">
        <v>537</v>
      </c>
      <c r="K737" t="s">
        <v>538</v>
      </c>
      <c r="L737" t="s">
        <v>539</v>
      </c>
      <c r="T737" t="s">
        <v>58</v>
      </c>
      <c r="U737" t="s">
        <v>157</v>
      </c>
      <c r="V737" t="s">
        <v>541</v>
      </c>
    </row>
    <row r="738" spans="1:22" hidden="1" x14ac:dyDescent="0.2">
      <c r="A738" t="s">
        <v>531</v>
      </c>
      <c r="B738" t="s">
        <v>23</v>
      </c>
      <c r="C738" t="s">
        <v>76</v>
      </c>
      <c r="D738" t="s">
        <v>532</v>
      </c>
      <c r="E738" t="s">
        <v>533</v>
      </c>
      <c r="F738" t="s">
        <v>534</v>
      </c>
      <c r="G738" t="s">
        <v>535</v>
      </c>
      <c r="H738" t="s">
        <v>25</v>
      </c>
      <c r="I738" t="s">
        <v>536</v>
      </c>
      <c r="J738" t="s">
        <v>537</v>
      </c>
      <c r="K738" t="s">
        <v>538</v>
      </c>
      <c r="L738" t="s">
        <v>539</v>
      </c>
      <c r="T738" t="s">
        <v>58</v>
      </c>
      <c r="U738" t="s">
        <v>53</v>
      </c>
      <c r="V738" t="s">
        <v>396</v>
      </c>
    </row>
    <row r="739" spans="1:22" hidden="1" x14ac:dyDescent="0.2">
      <c r="A739" t="s">
        <v>531</v>
      </c>
      <c r="B739" t="s">
        <v>23</v>
      </c>
      <c r="C739" t="s">
        <v>76</v>
      </c>
      <c r="D739" t="s">
        <v>532</v>
      </c>
      <c r="E739" t="s">
        <v>533</v>
      </c>
      <c r="F739" t="s">
        <v>534</v>
      </c>
      <c r="G739" t="s">
        <v>535</v>
      </c>
      <c r="H739" t="s">
        <v>25</v>
      </c>
      <c r="I739" t="s">
        <v>536</v>
      </c>
      <c r="J739" t="s">
        <v>537</v>
      </c>
      <c r="K739" t="s">
        <v>538</v>
      </c>
      <c r="L739" t="s">
        <v>539</v>
      </c>
      <c r="T739" t="s">
        <v>58</v>
      </c>
      <c r="U739" t="s">
        <v>53</v>
      </c>
      <c r="V739" t="s">
        <v>257</v>
      </c>
    </row>
    <row r="740" spans="1:22" hidden="1" x14ac:dyDescent="0.2">
      <c r="A740" t="s">
        <v>531</v>
      </c>
      <c r="B740" t="s">
        <v>23</v>
      </c>
      <c r="C740" t="s">
        <v>76</v>
      </c>
      <c r="D740" t="s">
        <v>532</v>
      </c>
      <c r="E740" t="s">
        <v>533</v>
      </c>
      <c r="F740" t="s">
        <v>534</v>
      </c>
      <c r="G740" t="s">
        <v>535</v>
      </c>
      <c r="H740" t="s">
        <v>25</v>
      </c>
      <c r="I740" t="s">
        <v>536</v>
      </c>
      <c r="J740" t="s">
        <v>537</v>
      </c>
      <c r="K740" t="s">
        <v>538</v>
      </c>
      <c r="L740" t="s">
        <v>539</v>
      </c>
      <c r="T740" t="s">
        <v>58</v>
      </c>
      <c r="U740" t="s">
        <v>53</v>
      </c>
      <c r="V740" t="s">
        <v>64</v>
      </c>
    </row>
    <row r="741" spans="1:22" x14ac:dyDescent="0.2">
      <c r="A741" t="s">
        <v>531</v>
      </c>
      <c r="B741" t="s">
        <v>23</v>
      </c>
      <c r="C741" t="s">
        <v>76</v>
      </c>
      <c r="D741" t="s">
        <v>532</v>
      </c>
      <c r="E741" t="s">
        <v>533</v>
      </c>
      <c r="F741" t="s">
        <v>534</v>
      </c>
      <c r="G741" t="s">
        <v>535</v>
      </c>
      <c r="H741" t="s">
        <v>25</v>
      </c>
      <c r="I741" t="s">
        <v>536</v>
      </c>
      <c r="J741" t="s">
        <v>537</v>
      </c>
      <c r="K741" t="s">
        <v>538</v>
      </c>
      <c r="L741" t="s">
        <v>539</v>
      </c>
      <c r="T741" t="s">
        <v>59</v>
      </c>
      <c r="U741" t="s">
        <v>53</v>
      </c>
      <c r="V741" t="s">
        <v>540</v>
      </c>
    </row>
    <row r="742" spans="1:22" x14ac:dyDescent="0.2">
      <c r="A742" t="s">
        <v>531</v>
      </c>
      <c r="B742" t="s">
        <v>23</v>
      </c>
      <c r="C742" t="s">
        <v>76</v>
      </c>
      <c r="D742" t="s">
        <v>532</v>
      </c>
      <c r="E742" t="s">
        <v>533</v>
      </c>
      <c r="F742" t="s">
        <v>534</v>
      </c>
      <c r="G742" t="s">
        <v>535</v>
      </c>
      <c r="H742" t="s">
        <v>25</v>
      </c>
      <c r="I742" t="s">
        <v>536</v>
      </c>
      <c r="J742" t="s">
        <v>537</v>
      </c>
      <c r="K742" t="s">
        <v>538</v>
      </c>
      <c r="L742" t="s">
        <v>539</v>
      </c>
      <c r="T742" t="s">
        <v>59</v>
      </c>
      <c r="U742" t="s">
        <v>157</v>
      </c>
      <c r="V742" t="s">
        <v>541</v>
      </c>
    </row>
    <row r="743" spans="1:22" x14ac:dyDescent="0.2">
      <c r="A743" t="s">
        <v>531</v>
      </c>
      <c r="B743" t="s">
        <v>23</v>
      </c>
      <c r="C743" t="s">
        <v>76</v>
      </c>
      <c r="D743" t="s">
        <v>532</v>
      </c>
      <c r="E743" t="s">
        <v>533</v>
      </c>
      <c r="F743" t="s">
        <v>534</v>
      </c>
      <c r="G743" t="s">
        <v>535</v>
      </c>
      <c r="H743" t="s">
        <v>25</v>
      </c>
      <c r="I743" t="s">
        <v>536</v>
      </c>
      <c r="J743" t="s">
        <v>537</v>
      </c>
      <c r="K743" t="s">
        <v>538</v>
      </c>
      <c r="L743" t="s">
        <v>539</v>
      </c>
      <c r="T743" t="s">
        <v>59</v>
      </c>
      <c r="U743" t="s">
        <v>53</v>
      </c>
      <c r="V743" t="s">
        <v>396</v>
      </c>
    </row>
    <row r="744" spans="1:22" x14ac:dyDescent="0.2">
      <c r="A744" t="s">
        <v>531</v>
      </c>
      <c r="B744" t="s">
        <v>23</v>
      </c>
      <c r="C744" t="s">
        <v>76</v>
      </c>
      <c r="D744" t="s">
        <v>532</v>
      </c>
      <c r="E744" t="s">
        <v>533</v>
      </c>
      <c r="F744" t="s">
        <v>534</v>
      </c>
      <c r="G744" t="s">
        <v>535</v>
      </c>
      <c r="H744" t="s">
        <v>25</v>
      </c>
      <c r="I744" t="s">
        <v>536</v>
      </c>
      <c r="J744" t="s">
        <v>537</v>
      </c>
      <c r="K744" t="s">
        <v>538</v>
      </c>
      <c r="L744" t="s">
        <v>539</v>
      </c>
      <c r="T744" t="s">
        <v>59</v>
      </c>
      <c r="U744" t="s">
        <v>53</v>
      </c>
      <c r="V744" t="s">
        <v>257</v>
      </c>
    </row>
    <row r="745" spans="1:22" x14ac:dyDescent="0.2">
      <c r="A745" t="s">
        <v>531</v>
      </c>
      <c r="B745" t="s">
        <v>23</v>
      </c>
      <c r="C745" t="s">
        <v>76</v>
      </c>
      <c r="D745" t="s">
        <v>532</v>
      </c>
      <c r="E745" t="s">
        <v>533</v>
      </c>
      <c r="F745" t="s">
        <v>534</v>
      </c>
      <c r="G745" t="s">
        <v>535</v>
      </c>
      <c r="H745" t="s">
        <v>25</v>
      </c>
      <c r="I745" t="s">
        <v>536</v>
      </c>
      <c r="J745" t="s">
        <v>537</v>
      </c>
      <c r="K745" t="s">
        <v>538</v>
      </c>
      <c r="L745" t="s">
        <v>539</v>
      </c>
      <c r="T745" t="s">
        <v>59</v>
      </c>
      <c r="U745" t="s">
        <v>53</v>
      </c>
      <c r="V745" t="s">
        <v>64</v>
      </c>
    </row>
    <row r="746" spans="1:22" hidden="1" x14ac:dyDescent="0.2">
      <c r="A746" t="s">
        <v>531</v>
      </c>
      <c r="B746" t="s">
        <v>23</v>
      </c>
      <c r="C746" t="s">
        <v>76</v>
      </c>
      <c r="D746" t="s">
        <v>532</v>
      </c>
      <c r="E746" t="s">
        <v>533</v>
      </c>
      <c r="F746" t="s">
        <v>534</v>
      </c>
      <c r="G746" t="s">
        <v>535</v>
      </c>
      <c r="H746" t="s">
        <v>25</v>
      </c>
      <c r="I746" t="s">
        <v>536</v>
      </c>
      <c r="J746" t="s">
        <v>537</v>
      </c>
      <c r="K746" t="s">
        <v>538</v>
      </c>
      <c r="L746" t="s">
        <v>539</v>
      </c>
      <c r="T746" t="s">
        <v>60</v>
      </c>
      <c r="U746" t="s">
        <v>53</v>
      </c>
      <c r="V746" t="s">
        <v>540</v>
      </c>
    </row>
    <row r="747" spans="1:22" hidden="1" x14ac:dyDescent="0.2">
      <c r="A747" t="s">
        <v>531</v>
      </c>
      <c r="B747" t="s">
        <v>23</v>
      </c>
      <c r="C747" t="s">
        <v>76</v>
      </c>
      <c r="D747" t="s">
        <v>532</v>
      </c>
      <c r="E747" t="s">
        <v>533</v>
      </c>
      <c r="F747" t="s">
        <v>534</v>
      </c>
      <c r="G747" t="s">
        <v>535</v>
      </c>
      <c r="H747" t="s">
        <v>25</v>
      </c>
      <c r="I747" t="s">
        <v>536</v>
      </c>
      <c r="J747" t="s">
        <v>537</v>
      </c>
      <c r="K747" t="s">
        <v>538</v>
      </c>
      <c r="L747" t="s">
        <v>539</v>
      </c>
      <c r="T747" t="s">
        <v>60</v>
      </c>
      <c r="U747" t="s">
        <v>157</v>
      </c>
      <c r="V747" t="s">
        <v>541</v>
      </c>
    </row>
    <row r="748" spans="1:22" hidden="1" x14ac:dyDescent="0.2">
      <c r="A748" t="s">
        <v>531</v>
      </c>
      <c r="B748" t="s">
        <v>23</v>
      </c>
      <c r="C748" t="s">
        <v>76</v>
      </c>
      <c r="D748" t="s">
        <v>532</v>
      </c>
      <c r="E748" t="s">
        <v>533</v>
      </c>
      <c r="F748" t="s">
        <v>534</v>
      </c>
      <c r="G748" t="s">
        <v>535</v>
      </c>
      <c r="H748" t="s">
        <v>25</v>
      </c>
      <c r="I748" t="s">
        <v>536</v>
      </c>
      <c r="J748" t="s">
        <v>537</v>
      </c>
      <c r="K748" t="s">
        <v>538</v>
      </c>
      <c r="L748" t="s">
        <v>539</v>
      </c>
      <c r="T748" t="s">
        <v>60</v>
      </c>
      <c r="U748" t="s">
        <v>53</v>
      </c>
      <c r="V748" t="s">
        <v>396</v>
      </c>
    </row>
    <row r="749" spans="1:22" hidden="1" x14ac:dyDescent="0.2">
      <c r="A749" t="s">
        <v>531</v>
      </c>
      <c r="B749" t="s">
        <v>23</v>
      </c>
      <c r="C749" t="s">
        <v>76</v>
      </c>
      <c r="D749" t="s">
        <v>532</v>
      </c>
      <c r="E749" t="s">
        <v>533</v>
      </c>
      <c r="F749" t="s">
        <v>534</v>
      </c>
      <c r="G749" t="s">
        <v>535</v>
      </c>
      <c r="H749" t="s">
        <v>25</v>
      </c>
      <c r="I749" t="s">
        <v>536</v>
      </c>
      <c r="J749" t="s">
        <v>537</v>
      </c>
      <c r="K749" t="s">
        <v>538</v>
      </c>
      <c r="L749" t="s">
        <v>539</v>
      </c>
      <c r="T749" t="s">
        <v>60</v>
      </c>
      <c r="U749" t="s">
        <v>53</v>
      </c>
      <c r="V749" t="s">
        <v>257</v>
      </c>
    </row>
    <row r="750" spans="1:22" hidden="1" x14ac:dyDescent="0.2">
      <c r="A750" t="s">
        <v>531</v>
      </c>
      <c r="B750" t="s">
        <v>23</v>
      </c>
      <c r="C750" t="s">
        <v>76</v>
      </c>
      <c r="D750" t="s">
        <v>532</v>
      </c>
      <c r="E750" t="s">
        <v>533</v>
      </c>
      <c r="F750" t="s">
        <v>534</v>
      </c>
      <c r="G750" t="s">
        <v>535</v>
      </c>
      <c r="H750" t="s">
        <v>25</v>
      </c>
      <c r="I750" t="s">
        <v>536</v>
      </c>
      <c r="J750" t="s">
        <v>537</v>
      </c>
      <c r="K750" t="s">
        <v>538</v>
      </c>
      <c r="L750" t="s">
        <v>539</v>
      </c>
      <c r="T750" t="s">
        <v>60</v>
      </c>
      <c r="U750" t="s">
        <v>53</v>
      </c>
      <c r="V750" t="s">
        <v>64</v>
      </c>
    </row>
    <row r="751" spans="1:22" hidden="1" x14ac:dyDescent="0.2">
      <c r="A751" t="s">
        <v>531</v>
      </c>
      <c r="B751" t="s">
        <v>23</v>
      </c>
      <c r="C751" t="s">
        <v>76</v>
      </c>
      <c r="D751" t="s">
        <v>532</v>
      </c>
      <c r="E751" t="s">
        <v>533</v>
      </c>
      <c r="F751" t="s">
        <v>534</v>
      </c>
      <c r="G751" t="s">
        <v>535</v>
      </c>
      <c r="H751" t="s">
        <v>25</v>
      </c>
      <c r="I751" t="s">
        <v>536</v>
      </c>
      <c r="J751" t="s">
        <v>537</v>
      </c>
      <c r="K751" t="s">
        <v>538</v>
      </c>
      <c r="L751" t="s">
        <v>539</v>
      </c>
      <c r="T751" t="s">
        <v>198</v>
      </c>
      <c r="U751" t="s">
        <v>53</v>
      </c>
      <c r="V751" t="s">
        <v>540</v>
      </c>
    </row>
    <row r="752" spans="1:22" hidden="1" x14ac:dyDescent="0.2">
      <c r="A752" t="s">
        <v>531</v>
      </c>
      <c r="B752" t="s">
        <v>23</v>
      </c>
      <c r="C752" t="s">
        <v>76</v>
      </c>
      <c r="D752" t="s">
        <v>532</v>
      </c>
      <c r="E752" t="s">
        <v>533</v>
      </c>
      <c r="F752" t="s">
        <v>534</v>
      </c>
      <c r="G752" t="s">
        <v>535</v>
      </c>
      <c r="H752" t="s">
        <v>25</v>
      </c>
      <c r="I752" t="s">
        <v>536</v>
      </c>
      <c r="J752" t="s">
        <v>537</v>
      </c>
      <c r="K752" t="s">
        <v>538</v>
      </c>
      <c r="L752" t="s">
        <v>539</v>
      </c>
      <c r="T752" t="s">
        <v>198</v>
      </c>
      <c r="U752" t="s">
        <v>157</v>
      </c>
      <c r="V752" t="s">
        <v>541</v>
      </c>
    </row>
    <row r="753" spans="1:22" hidden="1" x14ac:dyDescent="0.2">
      <c r="A753" t="s">
        <v>531</v>
      </c>
      <c r="B753" t="s">
        <v>23</v>
      </c>
      <c r="C753" t="s">
        <v>76</v>
      </c>
      <c r="D753" t="s">
        <v>532</v>
      </c>
      <c r="E753" t="s">
        <v>533</v>
      </c>
      <c r="F753" t="s">
        <v>534</v>
      </c>
      <c r="G753" t="s">
        <v>535</v>
      </c>
      <c r="H753" t="s">
        <v>25</v>
      </c>
      <c r="I753" t="s">
        <v>536</v>
      </c>
      <c r="J753" t="s">
        <v>537</v>
      </c>
      <c r="K753" t="s">
        <v>538</v>
      </c>
      <c r="L753" t="s">
        <v>539</v>
      </c>
      <c r="T753" t="s">
        <v>198</v>
      </c>
      <c r="U753" t="s">
        <v>53</v>
      </c>
      <c r="V753" t="s">
        <v>396</v>
      </c>
    </row>
    <row r="754" spans="1:22" hidden="1" x14ac:dyDescent="0.2">
      <c r="A754" t="s">
        <v>531</v>
      </c>
      <c r="B754" t="s">
        <v>23</v>
      </c>
      <c r="C754" t="s">
        <v>76</v>
      </c>
      <c r="D754" t="s">
        <v>532</v>
      </c>
      <c r="E754" t="s">
        <v>533</v>
      </c>
      <c r="F754" t="s">
        <v>534</v>
      </c>
      <c r="G754" t="s">
        <v>535</v>
      </c>
      <c r="H754" t="s">
        <v>25</v>
      </c>
      <c r="I754" t="s">
        <v>536</v>
      </c>
      <c r="J754" t="s">
        <v>537</v>
      </c>
      <c r="K754" t="s">
        <v>538</v>
      </c>
      <c r="L754" t="s">
        <v>539</v>
      </c>
      <c r="T754" t="s">
        <v>198</v>
      </c>
      <c r="U754" t="s">
        <v>53</v>
      </c>
      <c r="V754" t="s">
        <v>257</v>
      </c>
    </row>
    <row r="755" spans="1:22" hidden="1" x14ac:dyDescent="0.2">
      <c r="A755" t="s">
        <v>531</v>
      </c>
      <c r="B755" t="s">
        <v>23</v>
      </c>
      <c r="C755" t="s">
        <v>76</v>
      </c>
      <c r="D755" t="s">
        <v>532</v>
      </c>
      <c r="E755" t="s">
        <v>533</v>
      </c>
      <c r="F755" t="s">
        <v>534</v>
      </c>
      <c r="G755" t="s">
        <v>535</v>
      </c>
      <c r="H755" t="s">
        <v>25</v>
      </c>
      <c r="I755" t="s">
        <v>536</v>
      </c>
      <c r="J755" t="s">
        <v>537</v>
      </c>
      <c r="K755" t="s">
        <v>538</v>
      </c>
      <c r="L755" t="s">
        <v>539</v>
      </c>
      <c r="T755" t="s">
        <v>198</v>
      </c>
      <c r="U755" t="s">
        <v>53</v>
      </c>
      <c r="V755" t="s">
        <v>64</v>
      </c>
    </row>
    <row r="756" spans="1:22" hidden="1" x14ac:dyDescent="0.2">
      <c r="A756" t="s">
        <v>531</v>
      </c>
      <c r="B756" t="s">
        <v>23</v>
      </c>
      <c r="C756" t="s">
        <v>76</v>
      </c>
      <c r="D756" t="s">
        <v>532</v>
      </c>
      <c r="E756" t="s">
        <v>533</v>
      </c>
      <c r="F756" t="s">
        <v>534</v>
      </c>
      <c r="G756" t="s">
        <v>535</v>
      </c>
      <c r="H756" t="s">
        <v>25</v>
      </c>
      <c r="I756" t="s">
        <v>536</v>
      </c>
      <c r="J756" t="s">
        <v>537</v>
      </c>
      <c r="K756" t="s">
        <v>538</v>
      </c>
      <c r="L756" t="s">
        <v>539</v>
      </c>
      <c r="T756" t="s">
        <v>79</v>
      </c>
      <c r="U756" t="s">
        <v>53</v>
      </c>
      <c r="V756" t="s">
        <v>540</v>
      </c>
    </row>
    <row r="757" spans="1:22" hidden="1" x14ac:dyDescent="0.2">
      <c r="A757" t="s">
        <v>531</v>
      </c>
      <c r="B757" t="s">
        <v>23</v>
      </c>
      <c r="C757" t="s">
        <v>76</v>
      </c>
      <c r="D757" t="s">
        <v>532</v>
      </c>
      <c r="E757" t="s">
        <v>533</v>
      </c>
      <c r="F757" t="s">
        <v>534</v>
      </c>
      <c r="G757" t="s">
        <v>535</v>
      </c>
      <c r="H757" t="s">
        <v>25</v>
      </c>
      <c r="I757" t="s">
        <v>536</v>
      </c>
      <c r="J757" t="s">
        <v>537</v>
      </c>
      <c r="K757" t="s">
        <v>538</v>
      </c>
      <c r="L757" t="s">
        <v>539</v>
      </c>
      <c r="T757" t="s">
        <v>79</v>
      </c>
      <c r="U757" t="s">
        <v>157</v>
      </c>
      <c r="V757" t="s">
        <v>541</v>
      </c>
    </row>
    <row r="758" spans="1:22" hidden="1" x14ac:dyDescent="0.2">
      <c r="A758" t="s">
        <v>531</v>
      </c>
      <c r="B758" t="s">
        <v>23</v>
      </c>
      <c r="C758" t="s">
        <v>76</v>
      </c>
      <c r="D758" t="s">
        <v>532</v>
      </c>
      <c r="E758" t="s">
        <v>533</v>
      </c>
      <c r="F758" t="s">
        <v>534</v>
      </c>
      <c r="G758" t="s">
        <v>535</v>
      </c>
      <c r="H758" t="s">
        <v>25</v>
      </c>
      <c r="I758" t="s">
        <v>536</v>
      </c>
      <c r="J758" t="s">
        <v>537</v>
      </c>
      <c r="K758" t="s">
        <v>538</v>
      </c>
      <c r="L758" t="s">
        <v>539</v>
      </c>
      <c r="T758" t="s">
        <v>79</v>
      </c>
      <c r="U758" t="s">
        <v>53</v>
      </c>
      <c r="V758" t="s">
        <v>396</v>
      </c>
    </row>
    <row r="759" spans="1:22" hidden="1" x14ac:dyDescent="0.2">
      <c r="A759" t="s">
        <v>531</v>
      </c>
      <c r="B759" t="s">
        <v>23</v>
      </c>
      <c r="C759" t="s">
        <v>76</v>
      </c>
      <c r="D759" t="s">
        <v>532</v>
      </c>
      <c r="E759" t="s">
        <v>533</v>
      </c>
      <c r="F759" t="s">
        <v>534</v>
      </c>
      <c r="G759" t="s">
        <v>535</v>
      </c>
      <c r="H759" t="s">
        <v>25</v>
      </c>
      <c r="I759" t="s">
        <v>536</v>
      </c>
      <c r="J759" t="s">
        <v>537</v>
      </c>
      <c r="K759" t="s">
        <v>538</v>
      </c>
      <c r="L759" t="s">
        <v>539</v>
      </c>
      <c r="T759" t="s">
        <v>79</v>
      </c>
      <c r="U759" t="s">
        <v>53</v>
      </c>
      <c r="V759" t="s">
        <v>257</v>
      </c>
    </row>
    <row r="760" spans="1:22" hidden="1" x14ac:dyDescent="0.2">
      <c r="A760" t="s">
        <v>531</v>
      </c>
      <c r="B760" t="s">
        <v>23</v>
      </c>
      <c r="C760" t="s">
        <v>76</v>
      </c>
      <c r="D760" t="s">
        <v>532</v>
      </c>
      <c r="E760" t="s">
        <v>533</v>
      </c>
      <c r="F760" t="s">
        <v>534</v>
      </c>
      <c r="G760" t="s">
        <v>535</v>
      </c>
      <c r="H760" t="s">
        <v>25</v>
      </c>
      <c r="I760" t="s">
        <v>536</v>
      </c>
      <c r="J760" t="s">
        <v>537</v>
      </c>
      <c r="K760" t="s">
        <v>538</v>
      </c>
      <c r="L760" t="s">
        <v>539</v>
      </c>
      <c r="T760" t="s">
        <v>79</v>
      </c>
      <c r="U760" t="s">
        <v>53</v>
      </c>
      <c r="V760" t="s">
        <v>64</v>
      </c>
    </row>
    <row r="761" spans="1:22" hidden="1" x14ac:dyDescent="0.2">
      <c r="A761" t="s">
        <v>531</v>
      </c>
      <c r="B761" t="s">
        <v>23</v>
      </c>
      <c r="C761" t="s">
        <v>76</v>
      </c>
      <c r="D761" t="s">
        <v>532</v>
      </c>
      <c r="E761" t="s">
        <v>533</v>
      </c>
      <c r="F761" t="s">
        <v>534</v>
      </c>
      <c r="G761" t="s">
        <v>535</v>
      </c>
      <c r="H761" t="s">
        <v>25</v>
      </c>
      <c r="I761" t="s">
        <v>536</v>
      </c>
      <c r="J761" t="s">
        <v>537</v>
      </c>
      <c r="K761" t="s">
        <v>538</v>
      </c>
      <c r="L761" t="s">
        <v>539</v>
      </c>
      <c r="T761" t="s">
        <v>80</v>
      </c>
      <c r="U761" t="s">
        <v>53</v>
      </c>
      <c r="V761" t="s">
        <v>540</v>
      </c>
    </row>
    <row r="762" spans="1:22" hidden="1" x14ac:dyDescent="0.2">
      <c r="A762" t="s">
        <v>531</v>
      </c>
      <c r="B762" t="s">
        <v>23</v>
      </c>
      <c r="C762" t="s">
        <v>76</v>
      </c>
      <c r="D762" t="s">
        <v>532</v>
      </c>
      <c r="E762" t="s">
        <v>533</v>
      </c>
      <c r="F762" t="s">
        <v>534</v>
      </c>
      <c r="G762" t="s">
        <v>535</v>
      </c>
      <c r="H762" t="s">
        <v>25</v>
      </c>
      <c r="I762" t="s">
        <v>536</v>
      </c>
      <c r="J762" t="s">
        <v>537</v>
      </c>
      <c r="K762" t="s">
        <v>538</v>
      </c>
      <c r="L762" t="s">
        <v>539</v>
      </c>
      <c r="T762" t="s">
        <v>80</v>
      </c>
      <c r="U762" t="s">
        <v>157</v>
      </c>
      <c r="V762" t="s">
        <v>541</v>
      </c>
    </row>
    <row r="763" spans="1:22" hidden="1" x14ac:dyDescent="0.2">
      <c r="A763" t="s">
        <v>531</v>
      </c>
      <c r="B763" t="s">
        <v>23</v>
      </c>
      <c r="C763" t="s">
        <v>76</v>
      </c>
      <c r="D763" t="s">
        <v>532</v>
      </c>
      <c r="E763" t="s">
        <v>533</v>
      </c>
      <c r="F763" t="s">
        <v>534</v>
      </c>
      <c r="G763" t="s">
        <v>535</v>
      </c>
      <c r="H763" t="s">
        <v>25</v>
      </c>
      <c r="I763" t="s">
        <v>536</v>
      </c>
      <c r="J763" t="s">
        <v>537</v>
      </c>
      <c r="K763" t="s">
        <v>538</v>
      </c>
      <c r="L763" t="s">
        <v>539</v>
      </c>
      <c r="T763" t="s">
        <v>80</v>
      </c>
      <c r="U763" t="s">
        <v>53</v>
      </c>
      <c r="V763" t="s">
        <v>396</v>
      </c>
    </row>
    <row r="764" spans="1:22" hidden="1" x14ac:dyDescent="0.2">
      <c r="A764" t="s">
        <v>531</v>
      </c>
      <c r="B764" t="s">
        <v>23</v>
      </c>
      <c r="C764" t="s">
        <v>76</v>
      </c>
      <c r="D764" t="s">
        <v>532</v>
      </c>
      <c r="E764" t="s">
        <v>533</v>
      </c>
      <c r="F764" t="s">
        <v>534</v>
      </c>
      <c r="G764" t="s">
        <v>535</v>
      </c>
      <c r="H764" t="s">
        <v>25</v>
      </c>
      <c r="I764" t="s">
        <v>536</v>
      </c>
      <c r="J764" t="s">
        <v>537</v>
      </c>
      <c r="K764" t="s">
        <v>538</v>
      </c>
      <c r="L764" t="s">
        <v>539</v>
      </c>
      <c r="T764" t="s">
        <v>80</v>
      </c>
      <c r="U764" t="s">
        <v>53</v>
      </c>
      <c r="V764" t="s">
        <v>257</v>
      </c>
    </row>
    <row r="765" spans="1:22" hidden="1" x14ac:dyDescent="0.2">
      <c r="A765" t="s">
        <v>531</v>
      </c>
      <c r="B765" t="s">
        <v>23</v>
      </c>
      <c r="C765" t="s">
        <v>76</v>
      </c>
      <c r="D765" t="s">
        <v>532</v>
      </c>
      <c r="E765" t="s">
        <v>533</v>
      </c>
      <c r="F765" t="s">
        <v>534</v>
      </c>
      <c r="G765" t="s">
        <v>535</v>
      </c>
      <c r="H765" t="s">
        <v>25</v>
      </c>
      <c r="I765" t="s">
        <v>536</v>
      </c>
      <c r="J765" t="s">
        <v>537</v>
      </c>
      <c r="K765" t="s">
        <v>538</v>
      </c>
      <c r="L765" t="s">
        <v>539</v>
      </c>
      <c r="T765" t="s">
        <v>80</v>
      </c>
      <c r="U765" t="s">
        <v>53</v>
      </c>
      <c r="V765" t="s">
        <v>64</v>
      </c>
    </row>
    <row r="766" spans="1:22" hidden="1" x14ac:dyDescent="0.2">
      <c r="A766" t="s">
        <v>531</v>
      </c>
      <c r="B766" t="s">
        <v>23</v>
      </c>
      <c r="C766" t="s">
        <v>76</v>
      </c>
      <c r="D766" t="s">
        <v>542</v>
      </c>
      <c r="E766" t="s">
        <v>533</v>
      </c>
      <c r="F766" t="s">
        <v>534</v>
      </c>
      <c r="G766" t="s">
        <v>535</v>
      </c>
      <c r="H766" t="s">
        <v>25</v>
      </c>
      <c r="I766" t="s">
        <v>536</v>
      </c>
      <c r="J766" t="s">
        <v>537</v>
      </c>
      <c r="K766" t="s">
        <v>538</v>
      </c>
      <c r="L766" t="s">
        <v>539</v>
      </c>
      <c r="T766" t="s">
        <v>39</v>
      </c>
      <c r="U766" t="s">
        <v>53</v>
      </c>
      <c r="V766" t="s">
        <v>540</v>
      </c>
    </row>
    <row r="767" spans="1:22" hidden="1" x14ac:dyDescent="0.2">
      <c r="A767" t="s">
        <v>531</v>
      </c>
      <c r="B767" t="s">
        <v>23</v>
      </c>
      <c r="C767" t="s">
        <v>76</v>
      </c>
      <c r="D767" t="s">
        <v>542</v>
      </c>
      <c r="E767" t="s">
        <v>533</v>
      </c>
      <c r="F767" t="s">
        <v>534</v>
      </c>
      <c r="G767" t="s">
        <v>535</v>
      </c>
      <c r="H767" t="s">
        <v>25</v>
      </c>
      <c r="I767" t="s">
        <v>536</v>
      </c>
      <c r="J767" t="s">
        <v>537</v>
      </c>
      <c r="K767" t="s">
        <v>538</v>
      </c>
      <c r="L767" t="s">
        <v>539</v>
      </c>
      <c r="T767" t="s">
        <v>39</v>
      </c>
      <c r="U767" t="s">
        <v>157</v>
      </c>
      <c r="V767" t="s">
        <v>541</v>
      </c>
    </row>
    <row r="768" spans="1:22" hidden="1" x14ac:dyDescent="0.2">
      <c r="A768" t="s">
        <v>531</v>
      </c>
      <c r="B768" t="s">
        <v>23</v>
      </c>
      <c r="C768" t="s">
        <v>76</v>
      </c>
      <c r="D768" t="s">
        <v>542</v>
      </c>
      <c r="E768" t="s">
        <v>533</v>
      </c>
      <c r="F768" t="s">
        <v>534</v>
      </c>
      <c r="G768" t="s">
        <v>535</v>
      </c>
      <c r="H768" t="s">
        <v>25</v>
      </c>
      <c r="I768" t="s">
        <v>536</v>
      </c>
      <c r="J768" t="s">
        <v>537</v>
      </c>
      <c r="K768" t="s">
        <v>538</v>
      </c>
      <c r="L768" t="s">
        <v>539</v>
      </c>
      <c r="T768" t="s">
        <v>39</v>
      </c>
      <c r="U768" t="s">
        <v>53</v>
      </c>
      <c r="V768" t="s">
        <v>396</v>
      </c>
    </row>
    <row r="769" spans="1:22" hidden="1" x14ac:dyDescent="0.2">
      <c r="A769" t="s">
        <v>531</v>
      </c>
      <c r="B769" t="s">
        <v>23</v>
      </c>
      <c r="C769" t="s">
        <v>76</v>
      </c>
      <c r="D769" t="s">
        <v>542</v>
      </c>
      <c r="E769" t="s">
        <v>533</v>
      </c>
      <c r="F769" t="s">
        <v>534</v>
      </c>
      <c r="G769" t="s">
        <v>535</v>
      </c>
      <c r="H769" t="s">
        <v>25</v>
      </c>
      <c r="I769" t="s">
        <v>536</v>
      </c>
      <c r="J769" t="s">
        <v>537</v>
      </c>
      <c r="K769" t="s">
        <v>538</v>
      </c>
      <c r="L769" t="s">
        <v>539</v>
      </c>
      <c r="T769" t="s">
        <v>39</v>
      </c>
      <c r="U769" t="s">
        <v>53</v>
      </c>
      <c r="V769" t="s">
        <v>257</v>
      </c>
    </row>
    <row r="770" spans="1:22" hidden="1" x14ac:dyDescent="0.2">
      <c r="A770" t="s">
        <v>531</v>
      </c>
      <c r="B770" t="s">
        <v>23</v>
      </c>
      <c r="C770" t="s">
        <v>76</v>
      </c>
      <c r="D770" t="s">
        <v>542</v>
      </c>
      <c r="E770" t="s">
        <v>533</v>
      </c>
      <c r="F770" t="s">
        <v>534</v>
      </c>
      <c r="G770" t="s">
        <v>535</v>
      </c>
      <c r="H770" t="s">
        <v>25</v>
      </c>
      <c r="I770" t="s">
        <v>536</v>
      </c>
      <c r="J770" t="s">
        <v>537</v>
      </c>
      <c r="K770" t="s">
        <v>538</v>
      </c>
      <c r="L770" t="s">
        <v>539</v>
      </c>
      <c r="T770" t="s">
        <v>39</v>
      </c>
      <c r="U770" t="s">
        <v>53</v>
      </c>
      <c r="V770" t="s">
        <v>64</v>
      </c>
    </row>
    <row r="771" spans="1:22" hidden="1" x14ac:dyDescent="0.2">
      <c r="A771" t="s">
        <v>531</v>
      </c>
      <c r="B771" t="s">
        <v>23</v>
      </c>
      <c r="C771" t="s">
        <v>76</v>
      </c>
      <c r="D771" t="s">
        <v>542</v>
      </c>
      <c r="E771" t="s">
        <v>533</v>
      </c>
      <c r="F771" t="s">
        <v>534</v>
      </c>
      <c r="G771" t="s">
        <v>535</v>
      </c>
      <c r="H771" t="s">
        <v>25</v>
      </c>
      <c r="I771" t="s">
        <v>536</v>
      </c>
      <c r="J771" t="s">
        <v>537</v>
      </c>
      <c r="K771" t="s">
        <v>538</v>
      </c>
      <c r="L771" t="s">
        <v>539</v>
      </c>
      <c r="T771" t="s">
        <v>57</v>
      </c>
      <c r="U771" t="s">
        <v>53</v>
      </c>
      <c r="V771" t="s">
        <v>540</v>
      </c>
    </row>
    <row r="772" spans="1:22" hidden="1" x14ac:dyDescent="0.2">
      <c r="A772" t="s">
        <v>531</v>
      </c>
      <c r="B772" t="s">
        <v>23</v>
      </c>
      <c r="C772" t="s">
        <v>76</v>
      </c>
      <c r="D772" t="s">
        <v>542</v>
      </c>
      <c r="E772" t="s">
        <v>533</v>
      </c>
      <c r="F772" t="s">
        <v>534</v>
      </c>
      <c r="G772" t="s">
        <v>535</v>
      </c>
      <c r="H772" t="s">
        <v>25</v>
      </c>
      <c r="I772" t="s">
        <v>536</v>
      </c>
      <c r="J772" t="s">
        <v>537</v>
      </c>
      <c r="K772" t="s">
        <v>538</v>
      </c>
      <c r="L772" t="s">
        <v>539</v>
      </c>
      <c r="T772" t="s">
        <v>57</v>
      </c>
      <c r="U772" t="s">
        <v>157</v>
      </c>
      <c r="V772" t="s">
        <v>541</v>
      </c>
    </row>
    <row r="773" spans="1:22" hidden="1" x14ac:dyDescent="0.2">
      <c r="A773" t="s">
        <v>531</v>
      </c>
      <c r="B773" t="s">
        <v>23</v>
      </c>
      <c r="C773" t="s">
        <v>76</v>
      </c>
      <c r="D773" t="s">
        <v>542</v>
      </c>
      <c r="E773" t="s">
        <v>533</v>
      </c>
      <c r="F773" t="s">
        <v>534</v>
      </c>
      <c r="G773" t="s">
        <v>535</v>
      </c>
      <c r="H773" t="s">
        <v>25</v>
      </c>
      <c r="I773" t="s">
        <v>536</v>
      </c>
      <c r="J773" t="s">
        <v>537</v>
      </c>
      <c r="K773" t="s">
        <v>538</v>
      </c>
      <c r="L773" t="s">
        <v>539</v>
      </c>
      <c r="T773" t="s">
        <v>57</v>
      </c>
      <c r="U773" t="s">
        <v>53</v>
      </c>
      <c r="V773" t="s">
        <v>396</v>
      </c>
    </row>
    <row r="774" spans="1:22" hidden="1" x14ac:dyDescent="0.2">
      <c r="A774" t="s">
        <v>531</v>
      </c>
      <c r="B774" t="s">
        <v>23</v>
      </c>
      <c r="C774" t="s">
        <v>76</v>
      </c>
      <c r="D774" t="s">
        <v>542</v>
      </c>
      <c r="E774" t="s">
        <v>533</v>
      </c>
      <c r="F774" t="s">
        <v>534</v>
      </c>
      <c r="G774" t="s">
        <v>535</v>
      </c>
      <c r="H774" t="s">
        <v>25</v>
      </c>
      <c r="I774" t="s">
        <v>536</v>
      </c>
      <c r="J774" t="s">
        <v>537</v>
      </c>
      <c r="K774" t="s">
        <v>538</v>
      </c>
      <c r="L774" t="s">
        <v>539</v>
      </c>
      <c r="T774" t="s">
        <v>57</v>
      </c>
      <c r="U774" t="s">
        <v>53</v>
      </c>
      <c r="V774" t="s">
        <v>257</v>
      </c>
    </row>
    <row r="775" spans="1:22" hidden="1" x14ac:dyDescent="0.2">
      <c r="A775" t="s">
        <v>531</v>
      </c>
      <c r="B775" t="s">
        <v>23</v>
      </c>
      <c r="C775" t="s">
        <v>76</v>
      </c>
      <c r="D775" t="s">
        <v>542</v>
      </c>
      <c r="E775" t="s">
        <v>533</v>
      </c>
      <c r="F775" t="s">
        <v>534</v>
      </c>
      <c r="G775" t="s">
        <v>535</v>
      </c>
      <c r="H775" t="s">
        <v>25</v>
      </c>
      <c r="I775" t="s">
        <v>536</v>
      </c>
      <c r="J775" t="s">
        <v>537</v>
      </c>
      <c r="K775" t="s">
        <v>538</v>
      </c>
      <c r="L775" t="s">
        <v>539</v>
      </c>
      <c r="T775" t="s">
        <v>57</v>
      </c>
      <c r="U775" t="s">
        <v>53</v>
      </c>
      <c r="V775" t="s">
        <v>64</v>
      </c>
    </row>
    <row r="776" spans="1:22" hidden="1" x14ac:dyDescent="0.2">
      <c r="A776" t="s">
        <v>531</v>
      </c>
      <c r="B776" t="s">
        <v>23</v>
      </c>
      <c r="C776" t="s">
        <v>76</v>
      </c>
      <c r="D776" t="s">
        <v>542</v>
      </c>
      <c r="E776" t="s">
        <v>533</v>
      </c>
      <c r="F776" t="s">
        <v>534</v>
      </c>
      <c r="G776" t="s">
        <v>535</v>
      </c>
      <c r="H776" t="s">
        <v>25</v>
      </c>
      <c r="I776" t="s">
        <v>536</v>
      </c>
      <c r="J776" t="s">
        <v>537</v>
      </c>
      <c r="K776" t="s">
        <v>538</v>
      </c>
      <c r="L776" t="s">
        <v>539</v>
      </c>
      <c r="T776" t="s">
        <v>58</v>
      </c>
      <c r="U776" t="s">
        <v>53</v>
      </c>
      <c r="V776" t="s">
        <v>540</v>
      </c>
    </row>
    <row r="777" spans="1:22" hidden="1" x14ac:dyDescent="0.2">
      <c r="A777" t="s">
        <v>531</v>
      </c>
      <c r="B777" t="s">
        <v>23</v>
      </c>
      <c r="C777" t="s">
        <v>76</v>
      </c>
      <c r="D777" t="s">
        <v>542</v>
      </c>
      <c r="E777" t="s">
        <v>533</v>
      </c>
      <c r="F777" t="s">
        <v>534</v>
      </c>
      <c r="G777" t="s">
        <v>535</v>
      </c>
      <c r="H777" t="s">
        <v>25</v>
      </c>
      <c r="I777" t="s">
        <v>536</v>
      </c>
      <c r="J777" t="s">
        <v>537</v>
      </c>
      <c r="K777" t="s">
        <v>538</v>
      </c>
      <c r="L777" t="s">
        <v>539</v>
      </c>
      <c r="T777" t="s">
        <v>58</v>
      </c>
      <c r="U777" t="s">
        <v>157</v>
      </c>
      <c r="V777" t="s">
        <v>541</v>
      </c>
    </row>
    <row r="778" spans="1:22" hidden="1" x14ac:dyDescent="0.2">
      <c r="A778" t="s">
        <v>531</v>
      </c>
      <c r="B778" t="s">
        <v>23</v>
      </c>
      <c r="C778" t="s">
        <v>76</v>
      </c>
      <c r="D778" t="s">
        <v>542</v>
      </c>
      <c r="E778" t="s">
        <v>533</v>
      </c>
      <c r="F778" t="s">
        <v>534</v>
      </c>
      <c r="G778" t="s">
        <v>535</v>
      </c>
      <c r="H778" t="s">
        <v>25</v>
      </c>
      <c r="I778" t="s">
        <v>536</v>
      </c>
      <c r="J778" t="s">
        <v>537</v>
      </c>
      <c r="K778" t="s">
        <v>538</v>
      </c>
      <c r="L778" t="s">
        <v>539</v>
      </c>
      <c r="T778" t="s">
        <v>58</v>
      </c>
      <c r="U778" t="s">
        <v>53</v>
      </c>
      <c r="V778" t="s">
        <v>396</v>
      </c>
    </row>
    <row r="779" spans="1:22" hidden="1" x14ac:dyDescent="0.2">
      <c r="A779" t="s">
        <v>531</v>
      </c>
      <c r="B779" t="s">
        <v>23</v>
      </c>
      <c r="C779" t="s">
        <v>76</v>
      </c>
      <c r="D779" t="s">
        <v>542</v>
      </c>
      <c r="E779" t="s">
        <v>533</v>
      </c>
      <c r="F779" t="s">
        <v>534</v>
      </c>
      <c r="G779" t="s">
        <v>535</v>
      </c>
      <c r="H779" t="s">
        <v>25</v>
      </c>
      <c r="I779" t="s">
        <v>536</v>
      </c>
      <c r="J779" t="s">
        <v>537</v>
      </c>
      <c r="K779" t="s">
        <v>538</v>
      </c>
      <c r="L779" t="s">
        <v>539</v>
      </c>
      <c r="T779" t="s">
        <v>58</v>
      </c>
      <c r="U779" t="s">
        <v>53</v>
      </c>
      <c r="V779" t="s">
        <v>257</v>
      </c>
    </row>
    <row r="780" spans="1:22" hidden="1" x14ac:dyDescent="0.2">
      <c r="A780" t="s">
        <v>531</v>
      </c>
      <c r="B780" t="s">
        <v>23</v>
      </c>
      <c r="C780" t="s">
        <v>76</v>
      </c>
      <c r="D780" t="s">
        <v>542</v>
      </c>
      <c r="E780" t="s">
        <v>533</v>
      </c>
      <c r="F780" t="s">
        <v>534</v>
      </c>
      <c r="G780" t="s">
        <v>535</v>
      </c>
      <c r="H780" t="s">
        <v>25</v>
      </c>
      <c r="I780" t="s">
        <v>536</v>
      </c>
      <c r="J780" t="s">
        <v>537</v>
      </c>
      <c r="K780" t="s">
        <v>538</v>
      </c>
      <c r="L780" t="s">
        <v>539</v>
      </c>
      <c r="T780" t="s">
        <v>58</v>
      </c>
      <c r="U780" t="s">
        <v>53</v>
      </c>
      <c r="V780" t="s">
        <v>64</v>
      </c>
    </row>
    <row r="781" spans="1:22" x14ac:dyDescent="0.2">
      <c r="A781" t="s">
        <v>531</v>
      </c>
      <c r="B781" t="s">
        <v>23</v>
      </c>
      <c r="C781" t="s">
        <v>76</v>
      </c>
      <c r="D781" t="s">
        <v>542</v>
      </c>
      <c r="E781" t="s">
        <v>533</v>
      </c>
      <c r="F781" t="s">
        <v>534</v>
      </c>
      <c r="G781" t="s">
        <v>535</v>
      </c>
      <c r="H781" t="s">
        <v>25</v>
      </c>
      <c r="I781" t="s">
        <v>536</v>
      </c>
      <c r="J781" t="s">
        <v>537</v>
      </c>
      <c r="K781" t="s">
        <v>538</v>
      </c>
      <c r="L781" t="s">
        <v>539</v>
      </c>
      <c r="T781" t="s">
        <v>59</v>
      </c>
      <c r="U781" t="s">
        <v>53</v>
      </c>
      <c r="V781" t="s">
        <v>540</v>
      </c>
    </row>
    <row r="782" spans="1:22" x14ac:dyDescent="0.2">
      <c r="A782" t="s">
        <v>531</v>
      </c>
      <c r="B782" t="s">
        <v>23</v>
      </c>
      <c r="C782" t="s">
        <v>76</v>
      </c>
      <c r="D782" t="s">
        <v>542</v>
      </c>
      <c r="E782" t="s">
        <v>533</v>
      </c>
      <c r="F782" t="s">
        <v>534</v>
      </c>
      <c r="G782" t="s">
        <v>535</v>
      </c>
      <c r="H782" t="s">
        <v>25</v>
      </c>
      <c r="I782" t="s">
        <v>536</v>
      </c>
      <c r="J782" t="s">
        <v>537</v>
      </c>
      <c r="K782" t="s">
        <v>538</v>
      </c>
      <c r="L782" t="s">
        <v>539</v>
      </c>
      <c r="T782" t="s">
        <v>59</v>
      </c>
      <c r="U782" t="s">
        <v>157</v>
      </c>
      <c r="V782" t="s">
        <v>541</v>
      </c>
    </row>
    <row r="783" spans="1:22" x14ac:dyDescent="0.2">
      <c r="A783" t="s">
        <v>531</v>
      </c>
      <c r="B783" t="s">
        <v>23</v>
      </c>
      <c r="C783" t="s">
        <v>76</v>
      </c>
      <c r="D783" t="s">
        <v>542</v>
      </c>
      <c r="E783" t="s">
        <v>533</v>
      </c>
      <c r="F783" t="s">
        <v>534</v>
      </c>
      <c r="G783" t="s">
        <v>535</v>
      </c>
      <c r="H783" t="s">
        <v>25</v>
      </c>
      <c r="I783" t="s">
        <v>536</v>
      </c>
      <c r="J783" t="s">
        <v>537</v>
      </c>
      <c r="K783" t="s">
        <v>538</v>
      </c>
      <c r="L783" t="s">
        <v>539</v>
      </c>
      <c r="T783" t="s">
        <v>59</v>
      </c>
      <c r="U783" t="s">
        <v>53</v>
      </c>
      <c r="V783" t="s">
        <v>396</v>
      </c>
    </row>
    <row r="784" spans="1:22" x14ac:dyDescent="0.2">
      <c r="A784" t="s">
        <v>531</v>
      </c>
      <c r="B784" t="s">
        <v>23</v>
      </c>
      <c r="C784" t="s">
        <v>76</v>
      </c>
      <c r="D784" t="s">
        <v>542</v>
      </c>
      <c r="E784" t="s">
        <v>533</v>
      </c>
      <c r="F784" t="s">
        <v>534</v>
      </c>
      <c r="G784" t="s">
        <v>535</v>
      </c>
      <c r="H784" t="s">
        <v>25</v>
      </c>
      <c r="I784" t="s">
        <v>536</v>
      </c>
      <c r="J784" t="s">
        <v>537</v>
      </c>
      <c r="K784" t="s">
        <v>538</v>
      </c>
      <c r="L784" t="s">
        <v>539</v>
      </c>
      <c r="T784" t="s">
        <v>59</v>
      </c>
      <c r="U784" t="s">
        <v>53</v>
      </c>
      <c r="V784" t="s">
        <v>257</v>
      </c>
    </row>
    <row r="785" spans="1:22" x14ac:dyDescent="0.2">
      <c r="A785" t="s">
        <v>531</v>
      </c>
      <c r="B785" t="s">
        <v>23</v>
      </c>
      <c r="C785" t="s">
        <v>76</v>
      </c>
      <c r="D785" t="s">
        <v>542</v>
      </c>
      <c r="E785" t="s">
        <v>533</v>
      </c>
      <c r="F785" t="s">
        <v>534</v>
      </c>
      <c r="G785" t="s">
        <v>535</v>
      </c>
      <c r="H785" t="s">
        <v>25</v>
      </c>
      <c r="I785" t="s">
        <v>536</v>
      </c>
      <c r="J785" t="s">
        <v>537</v>
      </c>
      <c r="K785" t="s">
        <v>538</v>
      </c>
      <c r="L785" t="s">
        <v>539</v>
      </c>
      <c r="T785" t="s">
        <v>59</v>
      </c>
      <c r="U785" t="s">
        <v>53</v>
      </c>
      <c r="V785" t="s">
        <v>64</v>
      </c>
    </row>
    <row r="786" spans="1:22" hidden="1" x14ac:dyDescent="0.2">
      <c r="A786" t="s">
        <v>531</v>
      </c>
      <c r="B786" t="s">
        <v>23</v>
      </c>
      <c r="C786" t="s">
        <v>76</v>
      </c>
      <c r="D786" t="s">
        <v>542</v>
      </c>
      <c r="E786" t="s">
        <v>533</v>
      </c>
      <c r="F786" t="s">
        <v>534</v>
      </c>
      <c r="G786" t="s">
        <v>535</v>
      </c>
      <c r="H786" t="s">
        <v>25</v>
      </c>
      <c r="I786" t="s">
        <v>536</v>
      </c>
      <c r="J786" t="s">
        <v>537</v>
      </c>
      <c r="K786" t="s">
        <v>538</v>
      </c>
      <c r="L786" t="s">
        <v>539</v>
      </c>
      <c r="T786" t="s">
        <v>60</v>
      </c>
      <c r="U786" t="s">
        <v>53</v>
      </c>
      <c r="V786" t="s">
        <v>540</v>
      </c>
    </row>
    <row r="787" spans="1:22" hidden="1" x14ac:dyDescent="0.2">
      <c r="A787" t="s">
        <v>531</v>
      </c>
      <c r="B787" t="s">
        <v>23</v>
      </c>
      <c r="C787" t="s">
        <v>76</v>
      </c>
      <c r="D787" t="s">
        <v>542</v>
      </c>
      <c r="E787" t="s">
        <v>533</v>
      </c>
      <c r="F787" t="s">
        <v>534</v>
      </c>
      <c r="G787" t="s">
        <v>535</v>
      </c>
      <c r="H787" t="s">
        <v>25</v>
      </c>
      <c r="I787" t="s">
        <v>536</v>
      </c>
      <c r="J787" t="s">
        <v>537</v>
      </c>
      <c r="K787" t="s">
        <v>538</v>
      </c>
      <c r="L787" t="s">
        <v>539</v>
      </c>
      <c r="T787" t="s">
        <v>60</v>
      </c>
      <c r="U787" t="s">
        <v>157</v>
      </c>
      <c r="V787" t="s">
        <v>541</v>
      </c>
    </row>
    <row r="788" spans="1:22" hidden="1" x14ac:dyDescent="0.2">
      <c r="A788" t="s">
        <v>531</v>
      </c>
      <c r="B788" t="s">
        <v>23</v>
      </c>
      <c r="C788" t="s">
        <v>76</v>
      </c>
      <c r="D788" t="s">
        <v>542</v>
      </c>
      <c r="E788" t="s">
        <v>533</v>
      </c>
      <c r="F788" t="s">
        <v>534</v>
      </c>
      <c r="G788" t="s">
        <v>535</v>
      </c>
      <c r="H788" t="s">
        <v>25</v>
      </c>
      <c r="I788" t="s">
        <v>536</v>
      </c>
      <c r="J788" t="s">
        <v>537</v>
      </c>
      <c r="K788" t="s">
        <v>538</v>
      </c>
      <c r="L788" t="s">
        <v>539</v>
      </c>
      <c r="T788" t="s">
        <v>60</v>
      </c>
      <c r="U788" t="s">
        <v>53</v>
      </c>
      <c r="V788" t="s">
        <v>396</v>
      </c>
    </row>
    <row r="789" spans="1:22" hidden="1" x14ac:dyDescent="0.2">
      <c r="A789" t="s">
        <v>531</v>
      </c>
      <c r="B789" t="s">
        <v>23</v>
      </c>
      <c r="C789" t="s">
        <v>76</v>
      </c>
      <c r="D789" t="s">
        <v>542</v>
      </c>
      <c r="E789" t="s">
        <v>533</v>
      </c>
      <c r="F789" t="s">
        <v>534</v>
      </c>
      <c r="G789" t="s">
        <v>535</v>
      </c>
      <c r="H789" t="s">
        <v>25</v>
      </c>
      <c r="I789" t="s">
        <v>536</v>
      </c>
      <c r="J789" t="s">
        <v>537</v>
      </c>
      <c r="K789" t="s">
        <v>538</v>
      </c>
      <c r="L789" t="s">
        <v>539</v>
      </c>
      <c r="T789" t="s">
        <v>60</v>
      </c>
      <c r="U789" t="s">
        <v>53</v>
      </c>
      <c r="V789" t="s">
        <v>257</v>
      </c>
    </row>
    <row r="790" spans="1:22" hidden="1" x14ac:dyDescent="0.2">
      <c r="A790" t="s">
        <v>531</v>
      </c>
      <c r="B790" t="s">
        <v>23</v>
      </c>
      <c r="C790" t="s">
        <v>76</v>
      </c>
      <c r="D790" t="s">
        <v>542</v>
      </c>
      <c r="E790" t="s">
        <v>533</v>
      </c>
      <c r="F790" t="s">
        <v>534</v>
      </c>
      <c r="G790" t="s">
        <v>535</v>
      </c>
      <c r="H790" t="s">
        <v>25</v>
      </c>
      <c r="I790" t="s">
        <v>536</v>
      </c>
      <c r="J790" t="s">
        <v>537</v>
      </c>
      <c r="K790" t="s">
        <v>538</v>
      </c>
      <c r="L790" t="s">
        <v>539</v>
      </c>
      <c r="T790" t="s">
        <v>60</v>
      </c>
      <c r="U790" t="s">
        <v>53</v>
      </c>
      <c r="V790" t="s">
        <v>64</v>
      </c>
    </row>
    <row r="791" spans="1:22" hidden="1" x14ac:dyDescent="0.2">
      <c r="A791" t="s">
        <v>531</v>
      </c>
      <c r="B791" t="s">
        <v>23</v>
      </c>
      <c r="C791" t="s">
        <v>76</v>
      </c>
      <c r="D791" t="s">
        <v>542</v>
      </c>
      <c r="E791" t="s">
        <v>533</v>
      </c>
      <c r="F791" t="s">
        <v>534</v>
      </c>
      <c r="G791" t="s">
        <v>535</v>
      </c>
      <c r="H791" t="s">
        <v>25</v>
      </c>
      <c r="I791" t="s">
        <v>536</v>
      </c>
      <c r="J791" t="s">
        <v>537</v>
      </c>
      <c r="K791" t="s">
        <v>538</v>
      </c>
      <c r="L791" t="s">
        <v>539</v>
      </c>
      <c r="T791" t="s">
        <v>198</v>
      </c>
      <c r="U791" t="s">
        <v>53</v>
      </c>
      <c r="V791" t="s">
        <v>540</v>
      </c>
    </row>
    <row r="792" spans="1:22" hidden="1" x14ac:dyDescent="0.2">
      <c r="A792" t="s">
        <v>531</v>
      </c>
      <c r="B792" t="s">
        <v>23</v>
      </c>
      <c r="C792" t="s">
        <v>76</v>
      </c>
      <c r="D792" t="s">
        <v>542</v>
      </c>
      <c r="E792" t="s">
        <v>533</v>
      </c>
      <c r="F792" t="s">
        <v>534</v>
      </c>
      <c r="G792" t="s">
        <v>535</v>
      </c>
      <c r="H792" t="s">
        <v>25</v>
      </c>
      <c r="I792" t="s">
        <v>536</v>
      </c>
      <c r="J792" t="s">
        <v>537</v>
      </c>
      <c r="K792" t="s">
        <v>538</v>
      </c>
      <c r="L792" t="s">
        <v>539</v>
      </c>
      <c r="T792" t="s">
        <v>198</v>
      </c>
      <c r="U792" t="s">
        <v>157</v>
      </c>
      <c r="V792" t="s">
        <v>541</v>
      </c>
    </row>
    <row r="793" spans="1:22" hidden="1" x14ac:dyDescent="0.2">
      <c r="A793" t="s">
        <v>531</v>
      </c>
      <c r="B793" t="s">
        <v>23</v>
      </c>
      <c r="C793" t="s">
        <v>76</v>
      </c>
      <c r="D793" t="s">
        <v>542</v>
      </c>
      <c r="E793" t="s">
        <v>533</v>
      </c>
      <c r="F793" t="s">
        <v>534</v>
      </c>
      <c r="G793" t="s">
        <v>535</v>
      </c>
      <c r="H793" t="s">
        <v>25</v>
      </c>
      <c r="I793" t="s">
        <v>536</v>
      </c>
      <c r="J793" t="s">
        <v>537</v>
      </c>
      <c r="K793" t="s">
        <v>538</v>
      </c>
      <c r="L793" t="s">
        <v>539</v>
      </c>
      <c r="T793" t="s">
        <v>198</v>
      </c>
      <c r="U793" t="s">
        <v>53</v>
      </c>
      <c r="V793" t="s">
        <v>396</v>
      </c>
    </row>
    <row r="794" spans="1:22" hidden="1" x14ac:dyDescent="0.2">
      <c r="A794" t="s">
        <v>531</v>
      </c>
      <c r="B794" t="s">
        <v>23</v>
      </c>
      <c r="C794" t="s">
        <v>76</v>
      </c>
      <c r="D794" t="s">
        <v>542</v>
      </c>
      <c r="E794" t="s">
        <v>533</v>
      </c>
      <c r="F794" t="s">
        <v>534</v>
      </c>
      <c r="G794" t="s">
        <v>535</v>
      </c>
      <c r="H794" t="s">
        <v>25</v>
      </c>
      <c r="I794" t="s">
        <v>536</v>
      </c>
      <c r="J794" t="s">
        <v>537</v>
      </c>
      <c r="K794" t="s">
        <v>538</v>
      </c>
      <c r="L794" t="s">
        <v>539</v>
      </c>
      <c r="T794" t="s">
        <v>198</v>
      </c>
      <c r="U794" t="s">
        <v>53</v>
      </c>
      <c r="V794" t="s">
        <v>257</v>
      </c>
    </row>
    <row r="795" spans="1:22" hidden="1" x14ac:dyDescent="0.2">
      <c r="A795" t="s">
        <v>531</v>
      </c>
      <c r="B795" t="s">
        <v>23</v>
      </c>
      <c r="C795" t="s">
        <v>76</v>
      </c>
      <c r="D795" t="s">
        <v>542</v>
      </c>
      <c r="E795" t="s">
        <v>533</v>
      </c>
      <c r="F795" t="s">
        <v>534</v>
      </c>
      <c r="G795" t="s">
        <v>535</v>
      </c>
      <c r="H795" t="s">
        <v>25</v>
      </c>
      <c r="I795" t="s">
        <v>536</v>
      </c>
      <c r="J795" t="s">
        <v>537</v>
      </c>
      <c r="K795" t="s">
        <v>538</v>
      </c>
      <c r="L795" t="s">
        <v>539</v>
      </c>
      <c r="T795" t="s">
        <v>198</v>
      </c>
      <c r="U795" t="s">
        <v>53</v>
      </c>
      <c r="V795" t="s">
        <v>64</v>
      </c>
    </row>
    <row r="796" spans="1:22" hidden="1" x14ac:dyDescent="0.2">
      <c r="A796" t="s">
        <v>531</v>
      </c>
      <c r="B796" t="s">
        <v>23</v>
      </c>
      <c r="C796" t="s">
        <v>76</v>
      </c>
      <c r="D796" t="s">
        <v>542</v>
      </c>
      <c r="E796" t="s">
        <v>533</v>
      </c>
      <c r="F796" t="s">
        <v>534</v>
      </c>
      <c r="G796" t="s">
        <v>535</v>
      </c>
      <c r="H796" t="s">
        <v>25</v>
      </c>
      <c r="I796" t="s">
        <v>536</v>
      </c>
      <c r="J796" t="s">
        <v>537</v>
      </c>
      <c r="K796" t="s">
        <v>538</v>
      </c>
      <c r="L796" t="s">
        <v>539</v>
      </c>
      <c r="T796" t="s">
        <v>79</v>
      </c>
      <c r="U796" t="s">
        <v>53</v>
      </c>
      <c r="V796" t="s">
        <v>540</v>
      </c>
    </row>
    <row r="797" spans="1:22" hidden="1" x14ac:dyDescent="0.2">
      <c r="A797" t="s">
        <v>531</v>
      </c>
      <c r="B797" t="s">
        <v>23</v>
      </c>
      <c r="C797" t="s">
        <v>76</v>
      </c>
      <c r="D797" t="s">
        <v>542</v>
      </c>
      <c r="E797" t="s">
        <v>533</v>
      </c>
      <c r="F797" t="s">
        <v>534</v>
      </c>
      <c r="G797" t="s">
        <v>535</v>
      </c>
      <c r="H797" t="s">
        <v>25</v>
      </c>
      <c r="I797" t="s">
        <v>536</v>
      </c>
      <c r="J797" t="s">
        <v>537</v>
      </c>
      <c r="K797" t="s">
        <v>538</v>
      </c>
      <c r="L797" t="s">
        <v>539</v>
      </c>
      <c r="T797" t="s">
        <v>79</v>
      </c>
      <c r="U797" t="s">
        <v>157</v>
      </c>
      <c r="V797" t="s">
        <v>541</v>
      </c>
    </row>
    <row r="798" spans="1:22" hidden="1" x14ac:dyDescent="0.2">
      <c r="A798" t="s">
        <v>531</v>
      </c>
      <c r="B798" t="s">
        <v>23</v>
      </c>
      <c r="C798" t="s">
        <v>76</v>
      </c>
      <c r="D798" t="s">
        <v>542</v>
      </c>
      <c r="E798" t="s">
        <v>533</v>
      </c>
      <c r="F798" t="s">
        <v>534</v>
      </c>
      <c r="G798" t="s">
        <v>535</v>
      </c>
      <c r="H798" t="s">
        <v>25</v>
      </c>
      <c r="I798" t="s">
        <v>536</v>
      </c>
      <c r="J798" t="s">
        <v>537</v>
      </c>
      <c r="K798" t="s">
        <v>538</v>
      </c>
      <c r="L798" t="s">
        <v>539</v>
      </c>
      <c r="T798" t="s">
        <v>79</v>
      </c>
      <c r="U798" t="s">
        <v>53</v>
      </c>
      <c r="V798" t="s">
        <v>396</v>
      </c>
    </row>
    <row r="799" spans="1:22" hidden="1" x14ac:dyDescent="0.2">
      <c r="A799" t="s">
        <v>531</v>
      </c>
      <c r="B799" t="s">
        <v>23</v>
      </c>
      <c r="C799" t="s">
        <v>76</v>
      </c>
      <c r="D799" t="s">
        <v>542</v>
      </c>
      <c r="E799" t="s">
        <v>533</v>
      </c>
      <c r="F799" t="s">
        <v>534</v>
      </c>
      <c r="G799" t="s">
        <v>535</v>
      </c>
      <c r="H799" t="s">
        <v>25</v>
      </c>
      <c r="I799" t="s">
        <v>536</v>
      </c>
      <c r="J799" t="s">
        <v>537</v>
      </c>
      <c r="K799" t="s">
        <v>538</v>
      </c>
      <c r="L799" t="s">
        <v>539</v>
      </c>
      <c r="T799" t="s">
        <v>79</v>
      </c>
      <c r="U799" t="s">
        <v>53</v>
      </c>
      <c r="V799" t="s">
        <v>257</v>
      </c>
    </row>
    <row r="800" spans="1:22" hidden="1" x14ac:dyDescent="0.2">
      <c r="A800" t="s">
        <v>531</v>
      </c>
      <c r="B800" t="s">
        <v>23</v>
      </c>
      <c r="C800" t="s">
        <v>76</v>
      </c>
      <c r="D800" t="s">
        <v>542</v>
      </c>
      <c r="E800" t="s">
        <v>533</v>
      </c>
      <c r="F800" t="s">
        <v>534</v>
      </c>
      <c r="G800" t="s">
        <v>535</v>
      </c>
      <c r="H800" t="s">
        <v>25</v>
      </c>
      <c r="I800" t="s">
        <v>536</v>
      </c>
      <c r="J800" t="s">
        <v>537</v>
      </c>
      <c r="K800" t="s">
        <v>538</v>
      </c>
      <c r="L800" t="s">
        <v>539</v>
      </c>
      <c r="T800" t="s">
        <v>79</v>
      </c>
      <c r="U800" t="s">
        <v>53</v>
      </c>
      <c r="V800" t="s">
        <v>64</v>
      </c>
    </row>
    <row r="801" spans="1:22" hidden="1" x14ac:dyDescent="0.2">
      <c r="A801" t="s">
        <v>531</v>
      </c>
      <c r="B801" t="s">
        <v>23</v>
      </c>
      <c r="C801" t="s">
        <v>76</v>
      </c>
      <c r="D801" t="s">
        <v>542</v>
      </c>
      <c r="E801" t="s">
        <v>533</v>
      </c>
      <c r="F801" t="s">
        <v>534</v>
      </c>
      <c r="G801" t="s">
        <v>535</v>
      </c>
      <c r="H801" t="s">
        <v>25</v>
      </c>
      <c r="I801" t="s">
        <v>536</v>
      </c>
      <c r="J801" t="s">
        <v>537</v>
      </c>
      <c r="K801" t="s">
        <v>538</v>
      </c>
      <c r="L801" t="s">
        <v>539</v>
      </c>
      <c r="T801" t="s">
        <v>80</v>
      </c>
      <c r="U801" t="s">
        <v>53</v>
      </c>
      <c r="V801" t="s">
        <v>540</v>
      </c>
    </row>
    <row r="802" spans="1:22" hidden="1" x14ac:dyDescent="0.2">
      <c r="A802" t="s">
        <v>531</v>
      </c>
      <c r="B802" t="s">
        <v>23</v>
      </c>
      <c r="C802" t="s">
        <v>76</v>
      </c>
      <c r="D802" t="s">
        <v>542</v>
      </c>
      <c r="E802" t="s">
        <v>533</v>
      </c>
      <c r="F802" t="s">
        <v>534</v>
      </c>
      <c r="G802" t="s">
        <v>535</v>
      </c>
      <c r="H802" t="s">
        <v>25</v>
      </c>
      <c r="I802" t="s">
        <v>536</v>
      </c>
      <c r="J802" t="s">
        <v>537</v>
      </c>
      <c r="K802" t="s">
        <v>538</v>
      </c>
      <c r="L802" t="s">
        <v>539</v>
      </c>
      <c r="T802" t="s">
        <v>80</v>
      </c>
      <c r="U802" t="s">
        <v>157</v>
      </c>
      <c r="V802" t="s">
        <v>541</v>
      </c>
    </row>
    <row r="803" spans="1:22" hidden="1" x14ac:dyDescent="0.2">
      <c r="A803" t="s">
        <v>531</v>
      </c>
      <c r="B803" t="s">
        <v>23</v>
      </c>
      <c r="C803" t="s">
        <v>76</v>
      </c>
      <c r="D803" t="s">
        <v>542</v>
      </c>
      <c r="E803" t="s">
        <v>533</v>
      </c>
      <c r="F803" t="s">
        <v>534</v>
      </c>
      <c r="G803" t="s">
        <v>535</v>
      </c>
      <c r="H803" t="s">
        <v>25</v>
      </c>
      <c r="I803" t="s">
        <v>536</v>
      </c>
      <c r="J803" t="s">
        <v>537</v>
      </c>
      <c r="K803" t="s">
        <v>538</v>
      </c>
      <c r="L803" t="s">
        <v>539</v>
      </c>
      <c r="T803" t="s">
        <v>80</v>
      </c>
      <c r="U803" t="s">
        <v>53</v>
      </c>
      <c r="V803" t="s">
        <v>396</v>
      </c>
    </row>
    <row r="804" spans="1:22" hidden="1" x14ac:dyDescent="0.2">
      <c r="A804" t="s">
        <v>531</v>
      </c>
      <c r="B804" t="s">
        <v>23</v>
      </c>
      <c r="C804" t="s">
        <v>76</v>
      </c>
      <c r="D804" t="s">
        <v>542</v>
      </c>
      <c r="E804" t="s">
        <v>533</v>
      </c>
      <c r="F804" t="s">
        <v>534</v>
      </c>
      <c r="G804" t="s">
        <v>535</v>
      </c>
      <c r="H804" t="s">
        <v>25</v>
      </c>
      <c r="I804" t="s">
        <v>536</v>
      </c>
      <c r="J804" t="s">
        <v>537</v>
      </c>
      <c r="K804" t="s">
        <v>538</v>
      </c>
      <c r="L804" t="s">
        <v>539</v>
      </c>
      <c r="T804" t="s">
        <v>80</v>
      </c>
      <c r="U804" t="s">
        <v>53</v>
      </c>
      <c r="V804" t="s">
        <v>257</v>
      </c>
    </row>
    <row r="805" spans="1:22" hidden="1" x14ac:dyDescent="0.2">
      <c r="A805" t="s">
        <v>531</v>
      </c>
      <c r="B805" t="s">
        <v>23</v>
      </c>
      <c r="C805" t="s">
        <v>76</v>
      </c>
      <c r="D805" t="s">
        <v>542</v>
      </c>
      <c r="E805" t="s">
        <v>533</v>
      </c>
      <c r="F805" t="s">
        <v>534</v>
      </c>
      <c r="G805" t="s">
        <v>535</v>
      </c>
      <c r="H805" t="s">
        <v>25</v>
      </c>
      <c r="I805" t="s">
        <v>536</v>
      </c>
      <c r="J805" t="s">
        <v>537</v>
      </c>
      <c r="K805" t="s">
        <v>538</v>
      </c>
      <c r="L805" t="s">
        <v>539</v>
      </c>
      <c r="T805" t="s">
        <v>80</v>
      </c>
      <c r="U805" t="s">
        <v>53</v>
      </c>
      <c r="V805" t="s">
        <v>64</v>
      </c>
    </row>
    <row r="806" spans="1:22" hidden="1" x14ac:dyDescent="0.2">
      <c r="A806" t="s">
        <v>531</v>
      </c>
      <c r="B806" t="s">
        <v>23</v>
      </c>
      <c r="C806" t="s">
        <v>76</v>
      </c>
      <c r="D806" t="s">
        <v>543</v>
      </c>
      <c r="E806" t="s">
        <v>533</v>
      </c>
      <c r="F806" t="s">
        <v>534</v>
      </c>
      <c r="G806" t="s">
        <v>535</v>
      </c>
      <c r="H806" t="s">
        <v>25</v>
      </c>
      <c r="I806" t="s">
        <v>536</v>
      </c>
      <c r="J806" t="s">
        <v>537</v>
      </c>
      <c r="K806" t="s">
        <v>538</v>
      </c>
      <c r="L806" t="s">
        <v>539</v>
      </c>
      <c r="T806" t="s">
        <v>39</v>
      </c>
      <c r="U806" t="s">
        <v>53</v>
      </c>
      <c r="V806" t="s">
        <v>540</v>
      </c>
    </row>
    <row r="807" spans="1:22" hidden="1" x14ac:dyDescent="0.2">
      <c r="A807" t="s">
        <v>531</v>
      </c>
      <c r="B807" t="s">
        <v>23</v>
      </c>
      <c r="C807" t="s">
        <v>76</v>
      </c>
      <c r="D807" t="s">
        <v>543</v>
      </c>
      <c r="E807" t="s">
        <v>533</v>
      </c>
      <c r="F807" t="s">
        <v>534</v>
      </c>
      <c r="G807" t="s">
        <v>535</v>
      </c>
      <c r="H807" t="s">
        <v>25</v>
      </c>
      <c r="I807" t="s">
        <v>536</v>
      </c>
      <c r="J807" t="s">
        <v>537</v>
      </c>
      <c r="K807" t="s">
        <v>538</v>
      </c>
      <c r="L807" t="s">
        <v>539</v>
      </c>
      <c r="T807" t="s">
        <v>39</v>
      </c>
      <c r="U807" t="s">
        <v>157</v>
      </c>
      <c r="V807" t="s">
        <v>541</v>
      </c>
    </row>
    <row r="808" spans="1:22" hidden="1" x14ac:dyDescent="0.2">
      <c r="A808" t="s">
        <v>531</v>
      </c>
      <c r="B808" t="s">
        <v>23</v>
      </c>
      <c r="C808" t="s">
        <v>76</v>
      </c>
      <c r="D808" t="s">
        <v>543</v>
      </c>
      <c r="E808" t="s">
        <v>533</v>
      </c>
      <c r="F808" t="s">
        <v>534</v>
      </c>
      <c r="G808" t="s">
        <v>535</v>
      </c>
      <c r="H808" t="s">
        <v>25</v>
      </c>
      <c r="I808" t="s">
        <v>536</v>
      </c>
      <c r="J808" t="s">
        <v>537</v>
      </c>
      <c r="K808" t="s">
        <v>538</v>
      </c>
      <c r="L808" t="s">
        <v>539</v>
      </c>
      <c r="T808" t="s">
        <v>39</v>
      </c>
      <c r="U808" t="s">
        <v>53</v>
      </c>
      <c r="V808" t="s">
        <v>396</v>
      </c>
    </row>
    <row r="809" spans="1:22" hidden="1" x14ac:dyDescent="0.2">
      <c r="A809" t="s">
        <v>531</v>
      </c>
      <c r="B809" t="s">
        <v>23</v>
      </c>
      <c r="C809" t="s">
        <v>76</v>
      </c>
      <c r="D809" t="s">
        <v>543</v>
      </c>
      <c r="E809" t="s">
        <v>533</v>
      </c>
      <c r="F809" t="s">
        <v>534</v>
      </c>
      <c r="G809" t="s">
        <v>535</v>
      </c>
      <c r="H809" t="s">
        <v>25</v>
      </c>
      <c r="I809" t="s">
        <v>536</v>
      </c>
      <c r="J809" t="s">
        <v>537</v>
      </c>
      <c r="K809" t="s">
        <v>538</v>
      </c>
      <c r="L809" t="s">
        <v>539</v>
      </c>
      <c r="T809" t="s">
        <v>39</v>
      </c>
      <c r="U809" t="s">
        <v>53</v>
      </c>
      <c r="V809" t="s">
        <v>257</v>
      </c>
    </row>
    <row r="810" spans="1:22" hidden="1" x14ac:dyDescent="0.2">
      <c r="A810" t="s">
        <v>531</v>
      </c>
      <c r="B810" t="s">
        <v>23</v>
      </c>
      <c r="C810" t="s">
        <v>76</v>
      </c>
      <c r="D810" t="s">
        <v>543</v>
      </c>
      <c r="E810" t="s">
        <v>533</v>
      </c>
      <c r="F810" t="s">
        <v>534</v>
      </c>
      <c r="G810" t="s">
        <v>535</v>
      </c>
      <c r="H810" t="s">
        <v>25</v>
      </c>
      <c r="I810" t="s">
        <v>536</v>
      </c>
      <c r="J810" t="s">
        <v>537</v>
      </c>
      <c r="K810" t="s">
        <v>538</v>
      </c>
      <c r="L810" t="s">
        <v>539</v>
      </c>
      <c r="T810" t="s">
        <v>39</v>
      </c>
      <c r="U810" t="s">
        <v>53</v>
      </c>
      <c r="V810" t="s">
        <v>64</v>
      </c>
    </row>
    <row r="811" spans="1:22" hidden="1" x14ac:dyDescent="0.2">
      <c r="A811" t="s">
        <v>531</v>
      </c>
      <c r="B811" t="s">
        <v>23</v>
      </c>
      <c r="C811" t="s">
        <v>76</v>
      </c>
      <c r="D811" t="s">
        <v>543</v>
      </c>
      <c r="E811" t="s">
        <v>533</v>
      </c>
      <c r="F811" t="s">
        <v>534</v>
      </c>
      <c r="G811" t="s">
        <v>535</v>
      </c>
      <c r="H811" t="s">
        <v>25</v>
      </c>
      <c r="I811" t="s">
        <v>536</v>
      </c>
      <c r="J811" t="s">
        <v>537</v>
      </c>
      <c r="K811" t="s">
        <v>538</v>
      </c>
      <c r="L811" t="s">
        <v>539</v>
      </c>
      <c r="T811" t="s">
        <v>57</v>
      </c>
      <c r="U811" t="s">
        <v>53</v>
      </c>
      <c r="V811" t="s">
        <v>540</v>
      </c>
    </row>
    <row r="812" spans="1:22" hidden="1" x14ac:dyDescent="0.2">
      <c r="A812" t="s">
        <v>531</v>
      </c>
      <c r="B812" t="s">
        <v>23</v>
      </c>
      <c r="C812" t="s">
        <v>76</v>
      </c>
      <c r="D812" t="s">
        <v>543</v>
      </c>
      <c r="E812" t="s">
        <v>533</v>
      </c>
      <c r="F812" t="s">
        <v>534</v>
      </c>
      <c r="G812" t="s">
        <v>535</v>
      </c>
      <c r="H812" t="s">
        <v>25</v>
      </c>
      <c r="I812" t="s">
        <v>536</v>
      </c>
      <c r="J812" t="s">
        <v>537</v>
      </c>
      <c r="K812" t="s">
        <v>538</v>
      </c>
      <c r="L812" t="s">
        <v>539</v>
      </c>
      <c r="T812" t="s">
        <v>57</v>
      </c>
      <c r="U812" t="s">
        <v>157</v>
      </c>
      <c r="V812" t="s">
        <v>541</v>
      </c>
    </row>
    <row r="813" spans="1:22" hidden="1" x14ac:dyDescent="0.2">
      <c r="A813" t="s">
        <v>531</v>
      </c>
      <c r="B813" t="s">
        <v>23</v>
      </c>
      <c r="C813" t="s">
        <v>76</v>
      </c>
      <c r="D813" t="s">
        <v>543</v>
      </c>
      <c r="E813" t="s">
        <v>533</v>
      </c>
      <c r="F813" t="s">
        <v>534</v>
      </c>
      <c r="G813" t="s">
        <v>535</v>
      </c>
      <c r="H813" t="s">
        <v>25</v>
      </c>
      <c r="I813" t="s">
        <v>536</v>
      </c>
      <c r="J813" t="s">
        <v>537</v>
      </c>
      <c r="K813" t="s">
        <v>538</v>
      </c>
      <c r="L813" t="s">
        <v>539</v>
      </c>
      <c r="T813" t="s">
        <v>57</v>
      </c>
      <c r="U813" t="s">
        <v>53</v>
      </c>
      <c r="V813" t="s">
        <v>396</v>
      </c>
    </row>
    <row r="814" spans="1:22" hidden="1" x14ac:dyDescent="0.2">
      <c r="A814" t="s">
        <v>531</v>
      </c>
      <c r="B814" t="s">
        <v>23</v>
      </c>
      <c r="C814" t="s">
        <v>76</v>
      </c>
      <c r="D814" t="s">
        <v>543</v>
      </c>
      <c r="E814" t="s">
        <v>533</v>
      </c>
      <c r="F814" t="s">
        <v>534</v>
      </c>
      <c r="G814" t="s">
        <v>535</v>
      </c>
      <c r="H814" t="s">
        <v>25</v>
      </c>
      <c r="I814" t="s">
        <v>536</v>
      </c>
      <c r="J814" t="s">
        <v>537</v>
      </c>
      <c r="K814" t="s">
        <v>538</v>
      </c>
      <c r="L814" t="s">
        <v>539</v>
      </c>
      <c r="T814" t="s">
        <v>57</v>
      </c>
      <c r="U814" t="s">
        <v>53</v>
      </c>
      <c r="V814" t="s">
        <v>257</v>
      </c>
    </row>
    <row r="815" spans="1:22" hidden="1" x14ac:dyDescent="0.2">
      <c r="A815" t="s">
        <v>531</v>
      </c>
      <c r="B815" t="s">
        <v>23</v>
      </c>
      <c r="C815" t="s">
        <v>76</v>
      </c>
      <c r="D815" t="s">
        <v>543</v>
      </c>
      <c r="E815" t="s">
        <v>533</v>
      </c>
      <c r="F815" t="s">
        <v>534</v>
      </c>
      <c r="G815" t="s">
        <v>535</v>
      </c>
      <c r="H815" t="s">
        <v>25</v>
      </c>
      <c r="I815" t="s">
        <v>536</v>
      </c>
      <c r="J815" t="s">
        <v>537</v>
      </c>
      <c r="K815" t="s">
        <v>538</v>
      </c>
      <c r="L815" t="s">
        <v>539</v>
      </c>
      <c r="T815" t="s">
        <v>57</v>
      </c>
      <c r="U815" t="s">
        <v>53</v>
      </c>
      <c r="V815" t="s">
        <v>64</v>
      </c>
    </row>
    <row r="816" spans="1:22" hidden="1" x14ac:dyDescent="0.2">
      <c r="A816" t="s">
        <v>531</v>
      </c>
      <c r="B816" t="s">
        <v>23</v>
      </c>
      <c r="C816" t="s">
        <v>76</v>
      </c>
      <c r="D816" t="s">
        <v>543</v>
      </c>
      <c r="E816" t="s">
        <v>533</v>
      </c>
      <c r="F816" t="s">
        <v>534</v>
      </c>
      <c r="G816" t="s">
        <v>535</v>
      </c>
      <c r="H816" t="s">
        <v>25</v>
      </c>
      <c r="I816" t="s">
        <v>536</v>
      </c>
      <c r="J816" t="s">
        <v>537</v>
      </c>
      <c r="K816" t="s">
        <v>538</v>
      </c>
      <c r="L816" t="s">
        <v>539</v>
      </c>
      <c r="T816" t="s">
        <v>58</v>
      </c>
      <c r="U816" t="s">
        <v>53</v>
      </c>
      <c r="V816" t="s">
        <v>540</v>
      </c>
    </row>
    <row r="817" spans="1:22" hidden="1" x14ac:dyDescent="0.2">
      <c r="A817" t="s">
        <v>531</v>
      </c>
      <c r="B817" t="s">
        <v>23</v>
      </c>
      <c r="C817" t="s">
        <v>76</v>
      </c>
      <c r="D817" t="s">
        <v>543</v>
      </c>
      <c r="E817" t="s">
        <v>533</v>
      </c>
      <c r="F817" t="s">
        <v>534</v>
      </c>
      <c r="G817" t="s">
        <v>535</v>
      </c>
      <c r="H817" t="s">
        <v>25</v>
      </c>
      <c r="I817" t="s">
        <v>536</v>
      </c>
      <c r="J817" t="s">
        <v>537</v>
      </c>
      <c r="K817" t="s">
        <v>538</v>
      </c>
      <c r="L817" t="s">
        <v>539</v>
      </c>
      <c r="T817" t="s">
        <v>58</v>
      </c>
      <c r="U817" t="s">
        <v>157</v>
      </c>
      <c r="V817" t="s">
        <v>541</v>
      </c>
    </row>
    <row r="818" spans="1:22" hidden="1" x14ac:dyDescent="0.2">
      <c r="A818" t="s">
        <v>531</v>
      </c>
      <c r="B818" t="s">
        <v>23</v>
      </c>
      <c r="C818" t="s">
        <v>76</v>
      </c>
      <c r="D818" t="s">
        <v>543</v>
      </c>
      <c r="E818" t="s">
        <v>533</v>
      </c>
      <c r="F818" t="s">
        <v>534</v>
      </c>
      <c r="G818" t="s">
        <v>535</v>
      </c>
      <c r="H818" t="s">
        <v>25</v>
      </c>
      <c r="I818" t="s">
        <v>536</v>
      </c>
      <c r="J818" t="s">
        <v>537</v>
      </c>
      <c r="K818" t="s">
        <v>538</v>
      </c>
      <c r="L818" t="s">
        <v>539</v>
      </c>
      <c r="T818" t="s">
        <v>58</v>
      </c>
      <c r="U818" t="s">
        <v>53</v>
      </c>
      <c r="V818" t="s">
        <v>396</v>
      </c>
    </row>
    <row r="819" spans="1:22" hidden="1" x14ac:dyDescent="0.2">
      <c r="A819" t="s">
        <v>531</v>
      </c>
      <c r="B819" t="s">
        <v>23</v>
      </c>
      <c r="C819" t="s">
        <v>76</v>
      </c>
      <c r="D819" t="s">
        <v>543</v>
      </c>
      <c r="E819" t="s">
        <v>533</v>
      </c>
      <c r="F819" t="s">
        <v>534</v>
      </c>
      <c r="G819" t="s">
        <v>535</v>
      </c>
      <c r="H819" t="s">
        <v>25</v>
      </c>
      <c r="I819" t="s">
        <v>536</v>
      </c>
      <c r="J819" t="s">
        <v>537</v>
      </c>
      <c r="K819" t="s">
        <v>538</v>
      </c>
      <c r="L819" t="s">
        <v>539</v>
      </c>
      <c r="T819" t="s">
        <v>58</v>
      </c>
      <c r="U819" t="s">
        <v>53</v>
      </c>
      <c r="V819" t="s">
        <v>257</v>
      </c>
    </row>
    <row r="820" spans="1:22" hidden="1" x14ac:dyDescent="0.2">
      <c r="A820" t="s">
        <v>531</v>
      </c>
      <c r="B820" t="s">
        <v>23</v>
      </c>
      <c r="C820" t="s">
        <v>76</v>
      </c>
      <c r="D820" t="s">
        <v>543</v>
      </c>
      <c r="E820" t="s">
        <v>533</v>
      </c>
      <c r="F820" t="s">
        <v>534</v>
      </c>
      <c r="G820" t="s">
        <v>535</v>
      </c>
      <c r="H820" t="s">
        <v>25</v>
      </c>
      <c r="I820" t="s">
        <v>536</v>
      </c>
      <c r="J820" t="s">
        <v>537</v>
      </c>
      <c r="K820" t="s">
        <v>538</v>
      </c>
      <c r="L820" t="s">
        <v>539</v>
      </c>
      <c r="T820" t="s">
        <v>58</v>
      </c>
      <c r="U820" t="s">
        <v>53</v>
      </c>
      <c r="V820" t="s">
        <v>64</v>
      </c>
    </row>
    <row r="821" spans="1:22" x14ac:dyDescent="0.2">
      <c r="A821" t="s">
        <v>531</v>
      </c>
      <c r="B821" t="s">
        <v>23</v>
      </c>
      <c r="C821" t="s">
        <v>76</v>
      </c>
      <c r="D821" t="s">
        <v>543</v>
      </c>
      <c r="E821" t="s">
        <v>533</v>
      </c>
      <c r="F821" t="s">
        <v>534</v>
      </c>
      <c r="G821" t="s">
        <v>535</v>
      </c>
      <c r="H821" t="s">
        <v>25</v>
      </c>
      <c r="I821" t="s">
        <v>536</v>
      </c>
      <c r="J821" t="s">
        <v>537</v>
      </c>
      <c r="K821" t="s">
        <v>538</v>
      </c>
      <c r="L821" t="s">
        <v>539</v>
      </c>
      <c r="T821" t="s">
        <v>59</v>
      </c>
      <c r="U821" t="s">
        <v>53</v>
      </c>
      <c r="V821" t="s">
        <v>540</v>
      </c>
    </row>
    <row r="822" spans="1:22" x14ac:dyDescent="0.2">
      <c r="A822" t="s">
        <v>531</v>
      </c>
      <c r="B822" t="s">
        <v>23</v>
      </c>
      <c r="C822" t="s">
        <v>76</v>
      </c>
      <c r="D822" t="s">
        <v>543</v>
      </c>
      <c r="E822" t="s">
        <v>533</v>
      </c>
      <c r="F822" t="s">
        <v>534</v>
      </c>
      <c r="G822" t="s">
        <v>535</v>
      </c>
      <c r="H822" t="s">
        <v>25</v>
      </c>
      <c r="I822" t="s">
        <v>536</v>
      </c>
      <c r="J822" t="s">
        <v>537</v>
      </c>
      <c r="K822" t="s">
        <v>538</v>
      </c>
      <c r="L822" t="s">
        <v>539</v>
      </c>
      <c r="T822" t="s">
        <v>59</v>
      </c>
      <c r="U822" t="s">
        <v>157</v>
      </c>
      <c r="V822" t="s">
        <v>541</v>
      </c>
    </row>
    <row r="823" spans="1:22" x14ac:dyDescent="0.2">
      <c r="A823" t="s">
        <v>531</v>
      </c>
      <c r="B823" t="s">
        <v>23</v>
      </c>
      <c r="C823" t="s">
        <v>76</v>
      </c>
      <c r="D823" t="s">
        <v>543</v>
      </c>
      <c r="E823" t="s">
        <v>533</v>
      </c>
      <c r="F823" t="s">
        <v>534</v>
      </c>
      <c r="G823" t="s">
        <v>535</v>
      </c>
      <c r="H823" t="s">
        <v>25</v>
      </c>
      <c r="I823" t="s">
        <v>536</v>
      </c>
      <c r="J823" t="s">
        <v>537</v>
      </c>
      <c r="K823" t="s">
        <v>538</v>
      </c>
      <c r="L823" t="s">
        <v>539</v>
      </c>
      <c r="T823" t="s">
        <v>59</v>
      </c>
      <c r="U823" t="s">
        <v>53</v>
      </c>
      <c r="V823" t="s">
        <v>396</v>
      </c>
    </row>
    <row r="824" spans="1:22" x14ac:dyDescent="0.2">
      <c r="A824" t="s">
        <v>531</v>
      </c>
      <c r="B824" t="s">
        <v>23</v>
      </c>
      <c r="C824" t="s">
        <v>76</v>
      </c>
      <c r="D824" t="s">
        <v>543</v>
      </c>
      <c r="E824" t="s">
        <v>533</v>
      </c>
      <c r="F824" t="s">
        <v>534</v>
      </c>
      <c r="G824" t="s">
        <v>535</v>
      </c>
      <c r="H824" t="s">
        <v>25</v>
      </c>
      <c r="I824" t="s">
        <v>536</v>
      </c>
      <c r="J824" t="s">
        <v>537</v>
      </c>
      <c r="K824" t="s">
        <v>538</v>
      </c>
      <c r="L824" t="s">
        <v>539</v>
      </c>
      <c r="T824" t="s">
        <v>59</v>
      </c>
      <c r="U824" t="s">
        <v>53</v>
      </c>
      <c r="V824" t="s">
        <v>257</v>
      </c>
    </row>
    <row r="825" spans="1:22" x14ac:dyDescent="0.2">
      <c r="A825" t="s">
        <v>531</v>
      </c>
      <c r="B825" t="s">
        <v>23</v>
      </c>
      <c r="C825" t="s">
        <v>76</v>
      </c>
      <c r="D825" t="s">
        <v>543</v>
      </c>
      <c r="E825" t="s">
        <v>533</v>
      </c>
      <c r="F825" t="s">
        <v>534</v>
      </c>
      <c r="G825" t="s">
        <v>535</v>
      </c>
      <c r="H825" t="s">
        <v>25</v>
      </c>
      <c r="I825" t="s">
        <v>536</v>
      </c>
      <c r="J825" t="s">
        <v>537</v>
      </c>
      <c r="K825" t="s">
        <v>538</v>
      </c>
      <c r="L825" t="s">
        <v>539</v>
      </c>
      <c r="T825" t="s">
        <v>59</v>
      </c>
      <c r="U825" t="s">
        <v>53</v>
      </c>
      <c r="V825" t="s">
        <v>64</v>
      </c>
    </row>
    <row r="826" spans="1:22" hidden="1" x14ac:dyDescent="0.2">
      <c r="A826" t="s">
        <v>531</v>
      </c>
      <c r="B826" t="s">
        <v>23</v>
      </c>
      <c r="C826" t="s">
        <v>76</v>
      </c>
      <c r="D826" t="s">
        <v>543</v>
      </c>
      <c r="E826" t="s">
        <v>533</v>
      </c>
      <c r="F826" t="s">
        <v>534</v>
      </c>
      <c r="G826" t="s">
        <v>535</v>
      </c>
      <c r="H826" t="s">
        <v>25</v>
      </c>
      <c r="I826" t="s">
        <v>536</v>
      </c>
      <c r="J826" t="s">
        <v>537</v>
      </c>
      <c r="K826" t="s">
        <v>538</v>
      </c>
      <c r="L826" t="s">
        <v>539</v>
      </c>
      <c r="T826" t="s">
        <v>60</v>
      </c>
      <c r="U826" t="s">
        <v>53</v>
      </c>
      <c r="V826" t="s">
        <v>540</v>
      </c>
    </row>
    <row r="827" spans="1:22" hidden="1" x14ac:dyDescent="0.2">
      <c r="A827" t="s">
        <v>531</v>
      </c>
      <c r="B827" t="s">
        <v>23</v>
      </c>
      <c r="C827" t="s">
        <v>76</v>
      </c>
      <c r="D827" t="s">
        <v>543</v>
      </c>
      <c r="E827" t="s">
        <v>533</v>
      </c>
      <c r="F827" t="s">
        <v>534</v>
      </c>
      <c r="G827" t="s">
        <v>535</v>
      </c>
      <c r="H827" t="s">
        <v>25</v>
      </c>
      <c r="I827" t="s">
        <v>536</v>
      </c>
      <c r="J827" t="s">
        <v>537</v>
      </c>
      <c r="K827" t="s">
        <v>538</v>
      </c>
      <c r="L827" t="s">
        <v>539</v>
      </c>
      <c r="T827" t="s">
        <v>60</v>
      </c>
      <c r="U827" t="s">
        <v>157</v>
      </c>
      <c r="V827" t="s">
        <v>541</v>
      </c>
    </row>
    <row r="828" spans="1:22" hidden="1" x14ac:dyDescent="0.2">
      <c r="A828" t="s">
        <v>531</v>
      </c>
      <c r="B828" t="s">
        <v>23</v>
      </c>
      <c r="C828" t="s">
        <v>76</v>
      </c>
      <c r="D828" t="s">
        <v>543</v>
      </c>
      <c r="E828" t="s">
        <v>533</v>
      </c>
      <c r="F828" t="s">
        <v>534</v>
      </c>
      <c r="G828" t="s">
        <v>535</v>
      </c>
      <c r="H828" t="s">
        <v>25</v>
      </c>
      <c r="I828" t="s">
        <v>536</v>
      </c>
      <c r="J828" t="s">
        <v>537</v>
      </c>
      <c r="K828" t="s">
        <v>538</v>
      </c>
      <c r="L828" t="s">
        <v>539</v>
      </c>
      <c r="T828" t="s">
        <v>60</v>
      </c>
      <c r="U828" t="s">
        <v>53</v>
      </c>
      <c r="V828" t="s">
        <v>396</v>
      </c>
    </row>
    <row r="829" spans="1:22" hidden="1" x14ac:dyDescent="0.2">
      <c r="A829" t="s">
        <v>531</v>
      </c>
      <c r="B829" t="s">
        <v>23</v>
      </c>
      <c r="C829" t="s">
        <v>76</v>
      </c>
      <c r="D829" t="s">
        <v>543</v>
      </c>
      <c r="E829" t="s">
        <v>533</v>
      </c>
      <c r="F829" t="s">
        <v>534</v>
      </c>
      <c r="G829" t="s">
        <v>535</v>
      </c>
      <c r="H829" t="s">
        <v>25</v>
      </c>
      <c r="I829" t="s">
        <v>536</v>
      </c>
      <c r="J829" t="s">
        <v>537</v>
      </c>
      <c r="K829" t="s">
        <v>538</v>
      </c>
      <c r="L829" t="s">
        <v>539</v>
      </c>
      <c r="T829" t="s">
        <v>60</v>
      </c>
      <c r="U829" t="s">
        <v>53</v>
      </c>
      <c r="V829" t="s">
        <v>257</v>
      </c>
    </row>
    <row r="830" spans="1:22" hidden="1" x14ac:dyDescent="0.2">
      <c r="A830" t="s">
        <v>531</v>
      </c>
      <c r="B830" t="s">
        <v>23</v>
      </c>
      <c r="C830" t="s">
        <v>76</v>
      </c>
      <c r="D830" t="s">
        <v>543</v>
      </c>
      <c r="E830" t="s">
        <v>533</v>
      </c>
      <c r="F830" t="s">
        <v>534</v>
      </c>
      <c r="G830" t="s">
        <v>535</v>
      </c>
      <c r="H830" t="s">
        <v>25</v>
      </c>
      <c r="I830" t="s">
        <v>536</v>
      </c>
      <c r="J830" t="s">
        <v>537</v>
      </c>
      <c r="K830" t="s">
        <v>538</v>
      </c>
      <c r="L830" t="s">
        <v>539</v>
      </c>
      <c r="T830" t="s">
        <v>60</v>
      </c>
      <c r="U830" t="s">
        <v>53</v>
      </c>
      <c r="V830" t="s">
        <v>64</v>
      </c>
    </row>
    <row r="831" spans="1:22" hidden="1" x14ac:dyDescent="0.2">
      <c r="A831" t="s">
        <v>531</v>
      </c>
      <c r="B831" t="s">
        <v>23</v>
      </c>
      <c r="C831" t="s">
        <v>76</v>
      </c>
      <c r="D831" t="s">
        <v>543</v>
      </c>
      <c r="E831" t="s">
        <v>533</v>
      </c>
      <c r="F831" t="s">
        <v>534</v>
      </c>
      <c r="G831" t="s">
        <v>535</v>
      </c>
      <c r="H831" t="s">
        <v>25</v>
      </c>
      <c r="I831" t="s">
        <v>536</v>
      </c>
      <c r="J831" t="s">
        <v>537</v>
      </c>
      <c r="K831" t="s">
        <v>538</v>
      </c>
      <c r="L831" t="s">
        <v>539</v>
      </c>
      <c r="T831" t="s">
        <v>198</v>
      </c>
      <c r="U831" t="s">
        <v>53</v>
      </c>
      <c r="V831" t="s">
        <v>540</v>
      </c>
    </row>
    <row r="832" spans="1:22" hidden="1" x14ac:dyDescent="0.2">
      <c r="A832" t="s">
        <v>531</v>
      </c>
      <c r="B832" t="s">
        <v>23</v>
      </c>
      <c r="C832" t="s">
        <v>76</v>
      </c>
      <c r="D832" t="s">
        <v>543</v>
      </c>
      <c r="E832" t="s">
        <v>533</v>
      </c>
      <c r="F832" t="s">
        <v>534</v>
      </c>
      <c r="G832" t="s">
        <v>535</v>
      </c>
      <c r="H832" t="s">
        <v>25</v>
      </c>
      <c r="I832" t="s">
        <v>536</v>
      </c>
      <c r="J832" t="s">
        <v>537</v>
      </c>
      <c r="K832" t="s">
        <v>538</v>
      </c>
      <c r="L832" t="s">
        <v>539</v>
      </c>
      <c r="T832" t="s">
        <v>198</v>
      </c>
      <c r="U832" t="s">
        <v>157</v>
      </c>
      <c r="V832" t="s">
        <v>541</v>
      </c>
    </row>
    <row r="833" spans="1:22" hidden="1" x14ac:dyDescent="0.2">
      <c r="A833" t="s">
        <v>531</v>
      </c>
      <c r="B833" t="s">
        <v>23</v>
      </c>
      <c r="C833" t="s">
        <v>76</v>
      </c>
      <c r="D833" t="s">
        <v>543</v>
      </c>
      <c r="E833" t="s">
        <v>533</v>
      </c>
      <c r="F833" t="s">
        <v>534</v>
      </c>
      <c r="G833" t="s">
        <v>535</v>
      </c>
      <c r="H833" t="s">
        <v>25</v>
      </c>
      <c r="I833" t="s">
        <v>536</v>
      </c>
      <c r="J833" t="s">
        <v>537</v>
      </c>
      <c r="K833" t="s">
        <v>538</v>
      </c>
      <c r="L833" t="s">
        <v>539</v>
      </c>
      <c r="T833" t="s">
        <v>198</v>
      </c>
      <c r="U833" t="s">
        <v>53</v>
      </c>
      <c r="V833" t="s">
        <v>396</v>
      </c>
    </row>
    <row r="834" spans="1:22" hidden="1" x14ac:dyDescent="0.2">
      <c r="A834" t="s">
        <v>531</v>
      </c>
      <c r="B834" t="s">
        <v>23</v>
      </c>
      <c r="C834" t="s">
        <v>76</v>
      </c>
      <c r="D834" t="s">
        <v>543</v>
      </c>
      <c r="E834" t="s">
        <v>533</v>
      </c>
      <c r="F834" t="s">
        <v>534</v>
      </c>
      <c r="G834" t="s">
        <v>535</v>
      </c>
      <c r="H834" t="s">
        <v>25</v>
      </c>
      <c r="I834" t="s">
        <v>536</v>
      </c>
      <c r="J834" t="s">
        <v>537</v>
      </c>
      <c r="K834" t="s">
        <v>538</v>
      </c>
      <c r="L834" t="s">
        <v>539</v>
      </c>
      <c r="T834" t="s">
        <v>198</v>
      </c>
      <c r="U834" t="s">
        <v>53</v>
      </c>
      <c r="V834" t="s">
        <v>257</v>
      </c>
    </row>
    <row r="835" spans="1:22" hidden="1" x14ac:dyDescent="0.2">
      <c r="A835" t="s">
        <v>531</v>
      </c>
      <c r="B835" t="s">
        <v>23</v>
      </c>
      <c r="C835" t="s">
        <v>76</v>
      </c>
      <c r="D835" t="s">
        <v>543</v>
      </c>
      <c r="E835" t="s">
        <v>533</v>
      </c>
      <c r="F835" t="s">
        <v>534</v>
      </c>
      <c r="G835" t="s">
        <v>535</v>
      </c>
      <c r="H835" t="s">
        <v>25</v>
      </c>
      <c r="I835" t="s">
        <v>536</v>
      </c>
      <c r="J835" t="s">
        <v>537</v>
      </c>
      <c r="K835" t="s">
        <v>538</v>
      </c>
      <c r="L835" t="s">
        <v>539</v>
      </c>
      <c r="T835" t="s">
        <v>198</v>
      </c>
      <c r="U835" t="s">
        <v>53</v>
      </c>
      <c r="V835" t="s">
        <v>64</v>
      </c>
    </row>
    <row r="836" spans="1:22" hidden="1" x14ac:dyDescent="0.2">
      <c r="A836" t="s">
        <v>531</v>
      </c>
      <c r="B836" t="s">
        <v>23</v>
      </c>
      <c r="C836" t="s">
        <v>76</v>
      </c>
      <c r="D836" t="s">
        <v>543</v>
      </c>
      <c r="E836" t="s">
        <v>533</v>
      </c>
      <c r="F836" t="s">
        <v>534</v>
      </c>
      <c r="G836" t="s">
        <v>535</v>
      </c>
      <c r="H836" t="s">
        <v>25</v>
      </c>
      <c r="I836" t="s">
        <v>536</v>
      </c>
      <c r="J836" t="s">
        <v>537</v>
      </c>
      <c r="K836" t="s">
        <v>538</v>
      </c>
      <c r="L836" t="s">
        <v>539</v>
      </c>
      <c r="T836" t="s">
        <v>79</v>
      </c>
      <c r="U836" t="s">
        <v>53</v>
      </c>
      <c r="V836" t="s">
        <v>540</v>
      </c>
    </row>
    <row r="837" spans="1:22" hidden="1" x14ac:dyDescent="0.2">
      <c r="A837" t="s">
        <v>531</v>
      </c>
      <c r="B837" t="s">
        <v>23</v>
      </c>
      <c r="C837" t="s">
        <v>76</v>
      </c>
      <c r="D837" t="s">
        <v>543</v>
      </c>
      <c r="E837" t="s">
        <v>533</v>
      </c>
      <c r="F837" t="s">
        <v>534</v>
      </c>
      <c r="G837" t="s">
        <v>535</v>
      </c>
      <c r="H837" t="s">
        <v>25</v>
      </c>
      <c r="I837" t="s">
        <v>536</v>
      </c>
      <c r="J837" t="s">
        <v>537</v>
      </c>
      <c r="K837" t="s">
        <v>538</v>
      </c>
      <c r="L837" t="s">
        <v>539</v>
      </c>
      <c r="T837" t="s">
        <v>79</v>
      </c>
      <c r="U837" t="s">
        <v>157</v>
      </c>
      <c r="V837" t="s">
        <v>541</v>
      </c>
    </row>
    <row r="838" spans="1:22" hidden="1" x14ac:dyDescent="0.2">
      <c r="A838" t="s">
        <v>531</v>
      </c>
      <c r="B838" t="s">
        <v>23</v>
      </c>
      <c r="C838" t="s">
        <v>76</v>
      </c>
      <c r="D838" t="s">
        <v>543</v>
      </c>
      <c r="E838" t="s">
        <v>533</v>
      </c>
      <c r="F838" t="s">
        <v>534</v>
      </c>
      <c r="G838" t="s">
        <v>535</v>
      </c>
      <c r="H838" t="s">
        <v>25</v>
      </c>
      <c r="I838" t="s">
        <v>536</v>
      </c>
      <c r="J838" t="s">
        <v>537</v>
      </c>
      <c r="K838" t="s">
        <v>538</v>
      </c>
      <c r="L838" t="s">
        <v>539</v>
      </c>
      <c r="T838" t="s">
        <v>79</v>
      </c>
      <c r="U838" t="s">
        <v>53</v>
      </c>
      <c r="V838" t="s">
        <v>396</v>
      </c>
    </row>
    <row r="839" spans="1:22" hidden="1" x14ac:dyDescent="0.2">
      <c r="A839" t="s">
        <v>531</v>
      </c>
      <c r="B839" t="s">
        <v>23</v>
      </c>
      <c r="C839" t="s">
        <v>76</v>
      </c>
      <c r="D839" t="s">
        <v>543</v>
      </c>
      <c r="E839" t="s">
        <v>533</v>
      </c>
      <c r="F839" t="s">
        <v>534</v>
      </c>
      <c r="G839" t="s">
        <v>535</v>
      </c>
      <c r="H839" t="s">
        <v>25</v>
      </c>
      <c r="I839" t="s">
        <v>536</v>
      </c>
      <c r="J839" t="s">
        <v>537</v>
      </c>
      <c r="K839" t="s">
        <v>538</v>
      </c>
      <c r="L839" t="s">
        <v>539</v>
      </c>
      <c r="T839" t="s">
        <v>79</v>
      </c>
      <c r="U839" t="s">
        <v>53</v>
      </c>
      <c r="V839" t="s">
        <v>257</v>
      </c>
    </row>
    <row r="840" spans="1:22" hidden="1" x14ac:dyDescent="0.2">
      <c r="A840" t="s">
        <v>531</v>
      </c>
      <c r="B840" t="s">
        <v>23</v>
      </c>
      <c r="C840" t="s">
        <v>76</v>
      </c>
      <c r="D840" t="s">
        <v>543</v>
      </c>
      <c r="E840" t="s">
        <v>533</v>
      </c>
      <c r="F840" t="s">
        <v>534</v>
      </c>
      <c r="G840" t="s">
        <v>535</v>
      </c>
      <c r="H840" t="s">
        <v>25</v>
      </c>
      <c r="I840" t="s">
        <v>536</v>
      </c>
      <c r="J840" t="s">
        <v>537</v>
      </c>
      <c r="K840" t="s">
        <v>538</v>
      </c>
      <c r="L840" t="s">
        <v>539</v>
      </c>
      <c r="T840" t="s">
        <v>79</v>
      </c>
      <c r="U840" t="s">
        <v>53</v>
      </c>
      <c r="V840" t="s">
        <v>64</v>
      </c>
    </row>
    <row r="841" spans="1:22" hidden="1" x14ac:dyDescent="0.2">
      <c r="A841" t="s">
        <v>531</v>
      </c>
      <c r="B841" t="s">
        <v>23</v>
      </c>
      <c r="C841" t="s">
        <v>76</v>
      </c>
      <c r="D841" t="s">
        <v>543</v>
      </c>
      <c r="E841" t="s">
        <v>533</v>
      </c>
      <c r="F841" t="s">
        <v>534</v>
      </c>
      <c r="G841" t="s">
        <v>535</v>
      </c>
      <c r="H841" t="s">
        <v>25</v>
      </c>
      <c r="I841" t="s">
        <v>536</v>
      </c>
      <c r="J841" t="s">
        <v>537</v>
      </c>
      <c r="K841" t="s">
        <v>538</v>
      </c>
      <c r="L841" t="s">
        <v>539</v>
      </c>
      <c r="T841" t="s">
        <v>80</v>
      </c>
      <c r="U841" t="s">
        <v>53</v>
      </c>
      <c r="V841" t="s">
        <v>540</v>
      </c>
    </row>
    <row r="842" spans="1:22" hidden="1" x14ac:dyDescent="0.2">
      <c r="A842" t="s">
        <v>531</v>
      </c>
      <c r="B842" t="s">
        <v>23</v>
      </c>
      <c r="C842" t="s">
        <v>76</v>
      </c>
      <c r="D842" t="s">
        <v>543</v>
      </c>
      <c r="E842" t="s">
        <v>533</v>
      </c>
      <c r="F842" t="s">
        <v>534</v>
      </c>
      <c r="G842" t="s">
        <v>535</v>
      </c>
      <c r="H842" t="s">
        <v>25</v>
      </c>
      <c r="I842" t="s">
        <v>536</v>
      </c>
      <c r="J842" t="s">
        <v>537</v>
      </c>
      <c r="K842" t="s">
        <v>538</v>
      </c>
      <c r="L842" t="s">
        <v>539</v>
      </c>
      <c r="T842" t="s">
        <v>80</v>
      </c>
      <c r="U842" t="s">
        <v>157</v>
      </c>
      <c r="V842" t="s">
        <v>541</v>
      </c>
    </row>
    <row r="843" spans="1:22" hidden="1" x14ac:dyDescent="0.2">
      <c r="A843" t="s">
        <v>531</v>
      </c>
      <c r="B843" t="s">
        <v>23</v>
      </c>
      <c r="C843" t="s">
        <v>76</v>
      </c>
      <c r="D843" t="s">
        <v>543</v>
      </c>
      <c r="E843" t="s">
        <v>533</v>
      </c>
      <c r="F843" t="s">
        <v>534</v>
      </c>
      <c r="G843" t="s">
        <v>535</v>
      </c>
      <c r="H843" t="s">
        <v>25</v>
      </c>
      <c r="I843" t="s">
        <v>536</v>
      </c>
      <c r="J843" t="s">
        <v>537</v>
      </c>
      <c r="K843" t="s">
        <v>538</v>
      </c>
      <c r="L843" t="s">
        <v>539</v>
      </c>
      <c r="T843" t="s">
        <v>80</v>
      </c>
      <c r="U843" t="s">
        <v>53</v>
      </c>
      <c r="V843" t="s">
        <v>396</v>
      </c>
    </row>
    <row r="844" spans="1:22" hidden="1" x14ac:dyDescent="0.2">
      <c r="A844" t="s">
        <v>531</v>
      </c>
      <c r="B844" t="s">
        <v>23</v>
      </c>
      <c r="C844" t="s">
        <v>76</v>
      </c>
      <c r="D844" t="s">
        <v>543</v>
      </c>
      <c r="E844" t="s">
        <v>533</v>
      </c>
      <c r="F844" t="s">
        <v>534</v>
      </c>
      <c r="G844" t="s">
        <v>535</v>
      </c>
      <c r="H844" t="s">
        <v>25</v>
      </c>
      <c r="I844" t="s">
        <v>536</v>
      </c>
      <c r="J844" t="s">
        <v>537</v>
      </c>
      <c r="K844" t="s">
        <v>538</v>
      </c>
      <c r="L844" t="s">
        <v>539</v>
      </c>
      <c r="T844" t="s">
        <v>80</v>
      </c>
      <c r="U844" t="s">
        <v>53</v>
      </c>
      <c r="V844" t="s">
        <v>257</v>
      </c>
    </row>
    <row r="845" spans="1:22" hidden="1" x14ac:dyDescent="0.2">
      <c r="A845" t="s">
        <v>531</v>
      </c>
      <c r="B845" t="s">
        <v>23</v>
      </c>
      <c r="C845" t="s">
        <v>76</v>
      </c>
      <c r="D845" t="s">
        <v>543</v>
      </c>
      <c r="E845" t="s">
        <v>533</v>
      </c>
      <c r="F845" t="s">
        <v>534</v>
      </c>
      <c r="G845" t="s">
        <v>535</v>
      </c>
      <c r="H845" t="s">
        <v>25</v>
      </c>
      <c r="I845" t="s">
        <v>536</v>
      </c>
      <c r="J845" t="s">
        <v>537</v>
      </c>
      <c r="K845" t="s">
        <v>538</v>
      </c>
      <c r="L845" t="s">
        <v>539</v>
      </c>
      <c r="T845" t="s">
        <v>80</v>
      </c>
      <c r="U845" t="s">
        <v>53</v>
      </c>
      <c r="V845" t="s">
        <v>64</v>
      </c>
    </row>
    <row r="846" spans="1:22" hidden="1" x14ac:dyDescent="0.2">
      <c r="A846" t="s">
        <v>531</v>
      </c>
      <c r="B846" t="s">
        <v>23</v>
      </c>
      <c r="C846" t="s">
        <v>76</v>
      </c>
      <c r="D846" t="s">
        <v>544</v>
      </c>
      <c r="E846" t="s">
        <v>533</v>
      </c>
      <c r="F846" t="s">
        <v>534</v>
      </c>
      <c r="G846" t="s">
        <v>535</v>
      </c>
      <c r="H846" t="s">
        <v>25</v>
      </c>
      <c r="I846" t="s">
        <v>536</v>
      </c>
      <c r="J846" t="s">
        <v>537</v>
      </c>
      <c r="K846" t="s">
        <v>538</v>
      </c>
      <c r="L846" t="s">
        <v>539</v>
      </c>
      <c r="T846" t="s">
        <v>39</v>
      </c>
      <c r="U846" t="s">
        <v>53</v>
      </c>
      <c r="V846" t="s">
        <v>540</v>
      </c>
    </row>
    <row r="847" spans="1:22" hidden="1" x14ac:dyDescent="0.2">
      <c r="A847" t="s">
        <v>531</v>
      </c>
      <c r="B847" t="s">
        <v>23</v>
      </c>
      <c r="C847" t="s">
        <v>76</v>
      </c>
      <c r="D847" t="s">
        <v>544</v>
      </c>
      <c r="E847" t="s">
        <v>533</v>
      </c>
      <c r="F847" t="s">
        <v>534</v>
      </c>
      <c r="G847" t="s">
        <v>535</v>
      </c>
      <c r="H847" t="s">
        <v>25</v>
      </c>
      <c r="I847" t="s">
        <v>536</v>
      </c>
      <c r="J847" t="s">
        <v>537</v>
      </c>
      <c r="K847" t="s">
        <v>538</v>
      </c>
      <c r="L847" t="s">
        <v>539</v>
      </c>
      <c r="T847" t="s">
        <v>39</v>
      </c>
      <c r="U847" t="s">
        <v>157</v>
      </c>
      <c r="V847" t="s">
        <v>541</v>
      </c>
    </row>
    <row r="848" spans="1:22" hidden="1" x14ac:dyDescent="0.2">
      <c r="A848" t="s">
        <v>531</v>
      </c>
      <c r="B848" t="s">
        <v>23</v>
      </c>
      <c r="C848" t="s">
        <v>76</v>
      </c>
      <c r="D848" t="s">
        <v>544</v>
      </c>
      <c r="E848" t="s">
        <v>533</v>
      </c>
      <c r="F848" t="s">
        <v>534</v>
      </c>
      <c r="G848" t="s">
        <v>535</v>
      </c>
      <c r="H848" t="s">
        <v>25</v>
      </c>
      <c r="I848" t="s">
        <v>536</v>
      </c>
      <c r="J848" t="s">
        <v>537</v>
      </c>
      <c r="K848" t="s">
        <v>538</v>
      </c>
      <c r="L848" t="s">
        <v>539</v>
      </c>
      <c r="T848" t="s">
        <v>39</v>
      </c>
      <c r="U848" t="s">
        <v>53</v>
      </c>
      <c r="V848" t="s">
        <v>396</v>
      </c>
    </row>
    <row r="849" spans="1:22" hidden="1" x14ac:dyDescent="0.2">
      <c r="A849" t="s">
        <v>531</v>
      </c>
      <c r="B849" t="s">
        <v>23</v>
      </c>
      <c r="C849" t="s">
        <v>76</v>
      </c>
      <c r="D849" t="s">
        <v>544</v>
      </c>
      <c r="E849" t="s">
        <v>533</v>
      </c>
      <c r="F849" t="s">
        <v>534</v>
      </c>
      <c r="G849" t="s">
        <v>535</v>
      </c>
      <c r="H849" t="s">
        <v>25</v>
      </c>
      <c r="I849" t="s">
        <v>536</v>
      </c>
      <c r="J849" t="s">
        <v>537</v>
      </c>
      <c r="K849" t="s">
        <v>538</v>
      </c>
      <c r="L849" t="s">
        <v>539</v>
      </c>
      <c r="T849" t="s">
        <v>39</v>
      </c>
      <c r="U849" t="s">
        <v>53</v>
      </c>
      <c r="V849" t="s">
        <v>257</v>
      </c>
    </row>
    <row r="850" spans="1:22" hidden="1" x14ac:dyDescent="0.2">
      <c r="A850" t="s">
        <v>531</v>
      </c>
      <c r="B850" t="s">
        <v>23</v>
      </c>
      <c r="C850" t="s">
        <v>76</v>
      </c>
      <c r="D850" t="s">
        <v>544</v>
      </c>
      <c r="E850" t="s">
        <v>533</v>
      </c>
      <c r="F850" t="s">
        <v>534</v>
      </c>
      <c r="G850" t="s">
        <v>535</v>
      </c>
      <c r="H850" t="s">
        <v>25</v>
      </c>
      <c r="I850" t="s">
        <v>536</v>
      </c>
      <c r="J850" t="s">
        <v>537</v>
      </c>
      <c r="K850" t="s">
        <v>538</v>
      </c>
      <c r="L850" t="s">
        <v>539</v>
      </c>
      <c r="T850" t="s">
        <v>39</v>
      </c>
      <c r="U850" t="s">
        <v>53</v>
      </c>
      <c r="V850" t="s">
        <v>64</v>
      </c>
    </row>
    <row r="851" spans="1:22" hidden="1" x14ac:dyDescent="0.2">
      <c r="A851" t="s">
        <v>531</v>
      </c>
      <c r="B851" t="s">
        <v>23</v>
      </c>
      <c r="C851" t="s">
        <v>76</v>
      </c>
      <c r="D851" t="s">
        <v>544</v>
      </c>
      <c r="E851" t="s">
        <v>533</v>
      </c>
      <c r="F851" t="s">
        <v>534</v>
      </c>
      <c r="G851" t="s">
        <v>535</v>
      </c>
      <c r="H851" t="s">
        <v>25</v>
      </c>
      <c r="I851" t="s">
        <v>536</v>
      </c>
      <c r="J851" t="s">
        <v>537</v>
      </c>
      <c r="K851" t="s">
        <v>538</v>
      </c>
      <c r="L851" t="s">
        <v>539</v>
      </c>
      <c r="T851" t="s">
        <v>57</v>
      </c>
      <c r="U851" t="s">
        <v>53</v>
      </c>
      <c r="V851" t="s">
        <v>540</v>
      </c>
    </row>
    <row r="852" spans="1:22" hidden="1" x14ac:dyDescent="0.2">
      <c r="A852" t="s">
        <v>531</v>
      </c>
      <c r="B852" t="s">
        <v>23</v>
      </c>
      <c r="C852" t="s">
        <v>76</v>
      </c>
      <c r="D852" t="s">
        <v>544</v>
      </c>
      <c r="E852" t="s">
        <v>533</v>
      </c>
      <c r="F852" t="s">
        <v>534</v>
      </c>
      <c r="G852" t="s">
        <v>535</v>
      </c>
      <c r="H852" t="s">
        <v>25</v>
      </c>
      <c r="I852" t="s">
        <v>536</v>
      </c>
      <c r="J852" t="s">
        <v>537</v>
      </c>
      <c r="K852" t="s">
        <v>538</v>
      </c>
      <c r="L852" t="s">
        <v>539</v>
      </c>
      <c r="T852" t="s">
        <v>57</v>
      </c>
      <c r="U852" t="s">
        <v>157</v>
      </c>
      <c r="V852" t="s">
        <v>541</v>
      </c>
    </row>
    <row r="853" spans="1:22" hidden="1" x14ac:dyDescent="0.2">
      <c r="A853" t="s">
        <v>531</v>
      </c>
      <c r="B853" t="s">
        <v>23</v>
      </c>
      <c r="C853" t="s">
        <v>76</v>
      </c>
      <c r="D853" t="s">
        <v>544</v>
      </c>
      <c r="E853" t="s">
        <v>533</v>
      </c>
      <c r="F853" t="s">
        <v>534</v>
      </c>
      <c r="G853" t="s">
        <v>535</v>
      </c>
      <c r="H853" t="s">
        <v>25</v>
      </c>
      <c r="I853" t="s">
        <v>536</v>
      </c>
      <c r="J853" t="s">
        <v>537</v>
      </c>
      <c r="K853" t="s">
        <v>538</v>
      </c>
      <c r="L853" t="s">
        <v>539</v>
      </c>
      <c r="T853" t="s">
        <v>57</v>
      </c>
      <c r="U853" t="s">
        <v>53</v>
      </c>
      <c r="V853" t="s">
        <v>396</v>
      </c>
    </row>
    <row r="854" spans="1:22" hidden="1" x14ac:dyDescent="0.2">
      <c r="A854" t="s">
        <v>531</v>
      </c>
      <c r="B854" t="s">
        <v>23</v>
      </c>
      <c r="C854" t="s">
        <v>76</v>
      </c>
      <c r="D854" t="s">
        <v>544</v>
      </c>
      <c r="E854" t="s">
        <v>533</v>
      </c>
      <c r="F854" t="s">
        <v>534</v>
      </c>
      <c r="G854" t="s">
        <v>535</v>
      </c>
      <c r="H854" t="s">
        <v>25</v>
      </c>
      <c r="I854" t="s">
        <v>536</v>
      </c>
      <c r="J854" t="s">
        <v>537</v>
      </c>
      <c r="K854" t="s">
        <v>538</v>
      </c>
      <c r="L854" t="s">
        <v>539</v>
      </c>
      <c r="T854" t="s">
        <v>57</v>
      </c>
      <c r="U854" t="s">
        <v>53</v>
      </c>
      <c r="V854" t="s">
        <v>257</v>
      </c>
    </row>
    <row r="855" spans="1:22" hidden="1" x14ac:dyDescent="0.2">
      <c r="A855" t="s">
        <v>531</v>
      </c>
      <c r="B855" t="s">
        <v>23</v>
      </c>
      <c r="C855" t="s">
        <v>76</v>
      </c>
      <c r="D855" t="s">
        <v>544</v>
      </c>
      <c r="E855" t="s">
        <v>533</v>
      </c>
      <c r="F855" t="s">
        <v>534</v>
      </c>
      <c r="G855" t="s">
        <v>535</v>
      </c>
      <c r="H855" t="s">
        <v>25</v>
      </c>
      <c r="I855" t="s">
        <v>536</v>
      </c>
      <c r="J855" t="s">
        <v>537</v>
      </c>
      <c r="K855" t="s">
        <v>538</v>
      </c>
      <c r="L855" t="s">
        <v>539</v>
      </c>
      <c r="T855" t="s">
        <v>57</v>
      </c>
      <c r="U855" t="s">
        <v>53</v>
      </c>
      <c r="V855" t="s">
        <v>64</v>
      </c>
    </row>
    <row r="856" spans="1:22" hidden="1" x14ac:dyDescent="0.2">
      <c r="A856" t="s">
        <v>531</v>
      </c>
      <c r="B856" t="s">
        <v>23</v>
      </c>
      <c r="C856" t="s">
        <v>76</v>
      </c>
      <c r="D856" t="s">
        <v>544</v>
      </c>
      <c r="E856" t="s">
        <v>533</v>
      </c>
      <c r="F856" t="s">
        <v>534</v>
      </c>
      <c r="G856" t="s">
        <v>535</v>
      </c>
      <c r="H856" t="s">
        <v>25</v>
      </c>
      <c r="I856" t="s">
        <v>536</v>
      </c>
      <c r="J856" t="s">
        <v>537</v>
      </c>
      <c r="K856" t="s">
        <v>538</v>
      </c>
      <c r="L856" t="s">
        <v>539</v>
      </c>
      <c r="T856" t="s">
        <v>58</v>
      </c>
      <c r="U856" t="s">
        <v>53</v>
      </c>
      <c r="V856" t="s">
        <v>540</v>
      </c>
    </row>
    <row r="857" spans="1:22" hidden="1" x14ac:dyDescent="0.2">
      <c r="A857" t="s">
        <v>531</v>
      </c>
      <c r="B857" t="s">
        <v>23</v>
      </c>
      <c r="C857" t="s">
        <v>76</v>
      </c>
      <c r="D857" t="s">
        <v>544</v>
      </c>
      <c r="E857" t="s">
        <v>533</v>
      </c>
      <c r="F857" t="s">
        <v>534</v>
      </c>
      <c r="G857" t="s">
        <v>535</v>
      </c>
      <c r="H857" t="s">
        <v>25</v>
      </c>
      <c r="I857" t="s">
        <v>536</v>
      </c>
      <c r="J857" t="s">
        <v>537</v>
      </c>
      <c r="K857" t="s">
        <v>538</v>
      </c>
      <c r="L857" t="s">
        <v>539</v>
      </c>
      <c r="T857" t="s">
        <v>58</v>
      </c>
      <c r="U857" t="s">
        <v>157</v>
      </c>
      <c r="V857" t="s">
        <v>541</v>
      </c>
    </row>
    <row r="858" spans="1:22" hidden="1" x14ac:dyDescent="0.2">
      <c r="A858" t="s">
        <v>531</v>
      </c>
      <c r="B858" t="s">
        <v>23</v>
      </c>
      <c r="C858" t="s">
        <v>76</v>
      </c>
      <c r="D858" t="s">
        <v>544</v>
      </c>
      <c r="E858" t="s">
        <v>533</v>
      </c>
      <c r="F858" t="s">
        <v>534</v>
      </c>
      <c r="G858" t="s">
        <v>535</v>
      </c>
      <c r="H858" t="s">
        <v>25</v>
      </c>
      <c r="I858" t="s">
        <v>536</v>
      </c>
      <c r="J858" t="s">
        <v>537</v>
      </c>
      <c r="K858" t="s">
        <v>538</v>
      </c>
      <c r="L858" t="s">
        <v>539</v>
      </c>
      <c r="T858" t="s">
        <v>58</v>
      </c>
      <c r="U858" t="s">
        <v>53</v>
      </c>
      <c r="V858" t="s">
        <v>396</v>
      </c>
    </row>
    <row r="859" spans="1:22" hidden="1" x14ac:dyDescent="0.2">
      <c r="A859" t="s">
        <v>531</v>
      </c>
      <c r="B859" t="s">
        <v>23</v>
      </c>
      <c r="C859" t="s">
        <v>76</v>
      </c>
      <c r="D859" t="s">
        <v>544</v>
      </c>
      <c r="E859" t="s">
        <v>533</v>
      </c>
      <c r="F859" t="s">
        <v>534</v>
      </c>
      <c r="G859" t="s">
        <v>535</v>
      </c>
      <c r="H859" t="s">
        <v>25</v>
      </c>
      <c r="I859" t="s">
        <v>536</v>
      </c>
      <c r="J859" t="s">
        <v>537</v>
      </c>
      <c r="K859" t="s">
        <v>538</v>
      </c>
      <c r="L859" t="s">
        <v>539</v>
      </c>
      <c r="T859" t="s">
        <v>58</v>
      </c>
      <c r="U859" t="s">
        <v>53</v>
      </c>
      <c r="V859" t="s">
        <v>257</v>
      </c>
    </row>
    <row r="860" spans="1:22" hidden="1" x14ac:dyDescent="0.2">
      <c r="A860" t="s">
        <v>531</v>
      </c>
      <c r="B860" t="s">
        <v>23</v>
      </c>
      <c r="C860" t="s">
        <v>76</v>
      </c>
      <c r="D860" t="s">
        <v>544</v>
      </c>
      <c r="E860" t="s">
        <v>533</v>
      </c>
      <c r="F860" t="s">
        <v>534</v>
      </c>
      <c r="G860" t="s">
        <v>535</v>
      </c>
      <c r="H860" t="s">
        <v>25</v>
      </c>
      <c r="I860" t="s">
        <v>536</v>
      </c>
      <c r="J860" t="s">
        <v>537</v>
      </c>
      <c r="K860" t="s">
        <v>538</v>
      </c>
      <c r="L860" t="s">
        <v>539</v>
      </c>
      <c r="T860" t="s">
        <v>58</v>
      </c>
      <c r="U860" t="s">
        <v>53</v>
      </c>
      <c r="V860" t="s">
        <v>64</v>
      </c>
    </row>
    <row r="861" spans="1:22" x14ac:dyDescent="0.2">
      <c r="A861" t="s">
        <v>531</v>
      </c>
      <c r="B861" t="s">
        <v>23</v>
      </c>
      <c r="C861" t="s">
        <v>76</v>
      </c>
      <c r="D861" t="s">
        <v>544</v>
      </c>
      <c r="E861" t="s">
        <v>533</v>
      </c>
      <c r="F861" t="s">
        <v>534</v>
      </c>
      <c r="G861" t="s">
        <v>535</v>
      </c>
      <c r="H861" t="s">
        <v>25</v>
      </c>
      <c r="I861" t="s">
        <v>536</v>
      </c>
      <c r="J861" t="s">
        <v>537</v>
      </c>
      <c r="K861" t="s">
        <v>538</v>
      </c>
      <c r="L861" t="s">
        <v>539</v>
      </c>
      <c r="T861" t="s">
        <v>59</v>
      </c>
      <c r="U861" t="s">
        <v>53</v>
      </c>
      <c r="V861" t="s">
        <v>540</v>
      </c>
    </row>
    <row r="862" spans="1:22" x14ac:dyDescent="0.2">
      <c r="A862" t="s">
        <v>531</v>
      </c>
      <c r="B862" t="s">
        <v>23</v>
      </c>
      <c r="C862" t="s">
        <v>76</v>
      </c>
      <c r="D862" t="s">
        <v>544</v>
      </c>
      <c r="E862" t="s">
        <v>533</v>
      </c>
      <c r="F862" t="s">
        <v>534</v>
      </c>
      <c r="G862" t="s">
        <v>535</v>
      </c>
      <c r="H862" t="s">
        <v>25</v>
      </c>
      <c r="I862" t="s">
        <v>536</v>
      </c>
      <c r="J862" t="s">
        <v>537</v>
      </c>
      <c r="K862" t="s">
        <v>538</v>
      </c>
      <c r="L862" t="s">
        <v>539</v>
      </c>
      <c r="T862" t="s">
        <v>59</v>
      </c>
      <c r="U862" t="s">
        <v>157</v>
      </c>
      <c r="V862" t="s">
        <v>541</v>
      </c>
    </row>
    <row r="863" spans="1:22" x14ac:dyDescent="0.2">
      <c r="A863" t="s">
        <v>531</v>
      </c>
      <c r="B863" t="s">
        <v>23</v>
      </c>
      <c r="C863" t="s">
        <v>76</v>
      </c>
      <c r="D863" t="s">
        <v>544</v>
      </c>
      <c r="E863" t="s">
        <v>533</v>
      </c>
      <c r="F863" t="s">
        <v>534</v>
      </c>
      <c r="G863" t="s">
        <v>535</v>
      </c>
      <c r="H863" t="s">
        <v>25</v>
      </c>
      <c r="I863" t="s">
        <v>536</v>
      </c>
      <c r="J863" t="s">
        <v>537</v>
      </c>
      <c r="K863" t="s">
        <v>538</v>
      </c>
      <c r="L863" t="s">
        <v>539</v>
      </c>
      <c r="T863" t="s">
        <v>59</v>
      </c>
      <c r="U863" t="s">
        <v>53</v>
      </c>
      <c r="V863" t="s">
        <v>396</v>
      </c>
    </row>
    <row r="864" spans="1:22" x14ac:dyDescent="0.2">
      <c r="A864" t="s">
        <v>531</v>
      </c>
      <c r="B864" t="s">
        <v>23</v>
      </c>
      <c r="C864" t="s">
        <v>76</v>
      </c>
      <c r="D864" t="s">
        <v>544</v>
      </c>
      <c r="E864" t="s">
        <v>533</v>
      </c>
      <c r="F864" t="s">
        <v>534</v>
      </c>
      <c r="G864" t="s">
        <v>535</v>
      </c>
      <c r="H864" t="s">
        <v>25</v>
      </c>
      <c r="I864" t="s">
        <v>536</v>
      </c>
      <c r="J864" t="s">
        <v>537</v>
      </c>
      <c r="K864" t="s">
        <v>538</v>
      </c>
      <c r="L864" t="s">
        <v>539</v>
      </c>
      <c r="T864" t="s">
        <v>59</v>
      </c>
      <c r="U864" t="s">
        <v>53</v>
      </c>
      <c r="V864" t="s">
        <v>257</v>
      </c>
    </row>
    <row r="865" spans="1:22" x14ac:dyDescent="0.2">
      <c r="A865" t="s">
        <v>531</v>
      </c>
      <c r="B865" t="s">
        <v>23</v>
      </c>
      <c r="C865" t="s">
        <v>76</v>
      </c>
      <c r="D865" t="s">
        <v>544</v>
      </c>
      <c r="E865" t="s">
        <v>533</v>
      </c>
      <c r="F865" t="s">
        <v>534</v>
      </c>
      <c r="G865" t="s">
        <v>535</v>
      </c>
      <c r="H865" t="s">
        <v>25</v>
      </c>
      <c r="I865" t="s">
        <v>536</v>
      </c>
      <c r="J865" t="s">
        <v>537</v>
      </c>
      <c r="K865" t="s">
        <v>538</v>
      </c>
      <c r="L865" t="s">
        <v>539</v>
      </c>
      <c r="T865" t="s">
        <v>59</v>
      </c>
      <c r="U865" t="s">
        <v>53</v>
      </c>
      <c r="V865" t="s">
        <v>64</v>
      </c>
    </row>
    <row r="866" spans="1:22" hidden="1" x14ac:dyDescent="0.2">
      <c r="A866" t="s">
        <v>531</v>
      </c>
      <c r="B866" t="s">
        <v>23</v>
      </c>
      <c r="C866" t="s">
        <v>76</v>
      </c>
      <c r="D866" t="s">
        <v>544</v>
      </c>
      <c r="E866" t="s">
        <v>533</v>
      </c>
      <c r="F866" t="s">
        <v>534</v>
      </c>
      <c r="G866" t="s">
        <v>535</v>
      </c>
      <c r="H866" t="s">
        <v>25</v>
      </c>
      <c r="I866" t="s">
        <v>536</v>
      </c>
      <c r="J866" t="s">
        <v>537</v>
      </c>
      <c r="K866" t="s">
        <v>538</v>
      </c>
      <c r="L866" t="s">
        <v>539</v>
      </c>
      <c r="T866" t="s">
        <v>60</v>
      </c>
      <c r="U866" t="s">
        <v>53</v>
      </c>
      <c r="V866" t="s">
        <v>540</v>
      </c>
    </row>
    <row r="867" spans="1:22" hidden="1" x14ac:dyDescent="0.2">
      <c r="A867" t="s">
        <v>531</v>
      </c>
      <c r="B867" t="s">
        <v>23</v>
      </c>
      <c r="C867" t="s">
        <v>76</v>
      </c>
      <c r="D867" t="s">
        <v>544</v>
      </c>
      <c r="E867" t="s">
        <v>533</v>
      </c>
      <c r="F867" t="s">
        <v>534</v>
      </c>
      <c r="G867" t="s">
        <v>535</v>
      </c>
      <c r="H867" t="s">
        <v>25</v>
      </c>
      <c r="I867" t="s">
        <v>536</v>
      </c>
      <c r="J867" t="s">
        <v>537</v>
      </c>
      <c r="K867" t="s">
        <v>538</v>
      </c>
      <c r="L867" t="s">
        <v>539</v>
      </c>
      <c r="T867" t="s">
        <v>60</v>
      </c>
      <c r="U867" t="s">
        <v>157</v>
      </c>
      <c r="V867" t="s">
        <v>541</v>
      </c>
    </row>
    <row r="868" spans="1:22" hidden="1" x14ac:dyDescent="0.2">
      <c r="A868" t="s">
        <v>531</v>
      </c>
      <c r="B868" t="s">
        <v>23</v>
      </c>
      <c r="C868" t="s">
        <v>76</v>
      </c>
      <c r="D868" t="s">
        <v>544</v>
      </c>
      <c r="E868" t="s">
        <v>533</v>
      </c>
      <c r="F868" t="s">
        <v>534</v>
      </c>
      <c r="G868" t="s">
        <v>535</v>
      </c>
      <c r="H868" t="s">
        <v>25</v>
      </c>
      <c r="I868" t="s">
        <v>536</v>
      </c>
      <c r="J868" t="s">
        <v>537</v>
      </c>
      <c r="K868" t="s">
        <v>538</v>
      </c>
      <c r="L868" t="s">
        <v>539</v>
      </c>
      <c r="T868" t="s">
        <v>60</v>
      </c>
      <c r="U868" t="s">
        <v>53</v>
      </c>
      <c r="V868" t="s">
        <v>396</v>
      </c>
    </row>
    <row r="869" spans="1:22" hidden="1" x14ac:dyDescent="0.2">
      <c r="A869" t="s">
        <v>531</v>
      </c>
      <c r="B869" t="s">
        <v>23</v>
      </c>
      <c r="C869" t="s">
        <v>76</v>
      </c>
      <c r="D869" t="s">
        <v>544</v>
      </c>
      <c r="E869" t="s">
        <v>533</v>
      </c>
      <c r="F869" t="s">
        <v>534</v>
      </c>
      <c r="G869" t="s">
        <v>535</v>
      </c>
      <c r="H869" t="s">
        <v>25</v>
      </c>
      <c r="I869" t="s">
        <v>536</v>
      </c>
      <c r="J869" t="s">
        <v>537</v>
      </c>
      <c r="K869" t="s">
        <v>538</v>
      </c>
      <c r="L869" t="s">
        <v>539</v>
      </c>
      <c r="T869" t="s">
        <v>60</v>
      </c>
      <c r="U869" t="s">
        <v>53</v>
      </c>
      <c r="V869" t="s">
        <v>257</v>
      </c>
    </row>
    <row r="870" spans="1:22" hidden="1" x14ac:dyDescent="0.2">
      <c r="A870" t="s">
        <v>531</v>
      </c>
      <c r="B870" t="s">
        <v>23</v>
      </c>
      <c r="C870" t="s">
        <v>76</v>
      </c>
      <c r="D870" t="s">
        <v>544</v>
      </c>
      <c r="E870" t="s">
        <v>533</v>
      </c>
      <c r="F870" t="s">
        <v>534</v>
      </c>
      <c r="G870" t="s">
        <v>535</v>
      </c>
      <c r="H870" t="s">
        <v>25</v>
      </c>
      <c r="I870" t="s">
        <v>536</v>
      </c>
      <c r="J870" t="s">
        <v>537</v>
      </c>
      <c r="K870" t="s">
        <v>538</v>
      </c>
      <c r="L870" t="s">
        <v>539</v>
      </c>
      <c r="T870" t="s">
        <v>60</v>
      </c>
      <c r="U870" t="s">
        <v>53</v>
      </c>
      <c r="V870" t="s">
        <v>64</v>
      </c>
    </row>
    <row r="871" spans="1:22" hidden="1" x14ac:dyDescent="0.2">
      <c r="A871" t="s">
        <v>531</v>
      </c>
      <c r="B871" t="s">
        <v>23</v>
      </c>
      <c r="C871" t="s">
        <v>76</v>
      </c>
      <c r="D871" t="s">
        <v>544</v>
      </c>
      <c r="E871" t="s">
        <v>533</v>
      </c>
      <c r="F871" t="s">
        <v>534</v>
      </c>
      <c r="G871" t="s">
        <v>535</v>
      </c>
      <c r="H871" t="s">
        <v>25</v>
      </c>
      <c r="I871" t="s">
        <v>536</v>
      </c>
      <c r="J871" t="s">
        <v>537</v>
      </c>
      <c r="K871" t="s">
        <v>538</v>
      </c>
      <c r="L871" t="s">
        <v>539</v>
      </c>
      <c r="T871" t="s">
        <v>198</v>
      </c>
      <c r="U871" t="s">
        <v>53</v>
      </c>
      <c r="V871" t="s">
        <v>540</v>
      </c>
    </row>
    <row r="872" spans="1:22" hidden="1" x14ac:dyDescent="0.2">
      <c r="A872" t="s">
        <v>531</v>
      </c>
      <c r="B872" t="s">
        <v>23</v>
      </c>
      <c r="C872" t="s">
        <v>76</v>
      </c>
      <c r="D872" t="s">
        <v>544</v>
      </c>
      <c r="E872" t="s">
        <v>533</v>
      </c>
      <c r="F872" t="s">
        <v>534</v>
      </c>
      <c r="G872" t="s">
        <v>535</v>
      </c>
      <c r="H872" t="s">
        <v>25</v>
      </c>
      <c r="I872" t="s">
        <v>536</v>
      </c>
      <c r="J872" t="s">
        <v>537</v>
      </c>
      <c r="K872" t="s">
        <v>538</v>
      </c>
      <c r="L872" t="s">
        <v>539</v>
      </c>
      <c r="T872" t="s">
        <v>198</v>
      </c>
      <c r="U872" t="s">
        <v>157</v>
      </c>
      <c r="V872" t="s">
        <v>541</v>
      </c>
    </row>
    <row r="873" spans="1:22" hidden="1" x14ac:dyDescent="0.2">
      <c r="A873" t="s">
        <v>531</v>
      </c>
      <c r="B873" t="s">
        <v>23</v>
      </c>
      <c r="C873" t="s">
        <v>76</v>
      </c>
      <c r="D873" t="s">
        <v>544</v>
      </c>
      <c r="E873" t="s">
        <v>533</v>
      </c>
      <c r="F873" t="s">
        <v>534</v>
      </c>
      <c r="G873" t="s">
        <v>535</v>
      </c>
      <c r="H873" t="s">
        <v>25</v>
      </c>
      <c r="I873" t="s">
        <v>536</v>
      </c>
      <c r="J873" t="s">
        <v>537</v>
      </c>
      <c r="K873" t="s">
        <v>538</v>
      </c>
      <c r="L873" t="s">
        <v>539</v>
      </c>
      <c r="T873" t="s">
        <v>198</v>
      </c>
      <c r="U873" t="s">
        <v>53</v>
      </c>
      <c r="V873" t="s">
        <v>396</v>
      </c>
    </row>
    <row r="874" spans="1:22" hidden="1" x14ac:dyDescent="0.2">
      <c r="A874" t="s">
        <v>531</v>
      </c>
      <c r="B874" t="s">
        <v>23</v>
      </c>
      <c r="C874" t="s">
        <v>76</v>
      </c>
      <c r="D874" t="s">
        <v>544</v>
      </c>
      <c r="E874" t="s">
        <v>533</v>
      </c>
      <c r="F874" t="s">
        <v>534</v>
      </c>
      <c r="G874" t="s">
        <v>535</v>
      </c>
      <c r="H874" t="s">
        <v>25</v>
      </c>
      <c r="I874" t="s">
        <v>536</v>
      </c>
      <c r="J874" t="s">
        <v>537</v>
      </c>
      <c r="K874" t="s">
        <v>538</v>
      </c>
      <c r="L874" t="s">
        <v>539</v>
      </c>
      <c r="T874" t="s">
        <v>198</v>
      </c>
      <c r="U874" t="s">
        <v>53</v>
      </c>
      <c r="V874" t="s">
        <v>257</v>
      </c>
    </row>
    <row r="875" spans="1:22" hidden="1" x14ac:dyDescent="0.2">
      <c r="A875" t="s">
        <v>531</v>
      </c>
      <c r="B875" t="s">
        <v>23</v>
      </c>
      <c r="C875" t="s">
        <v>76</v>
      </c>
      <c r="D875" t="s">
        <v>544</v>
      </c>
      <c r="E875" t="s">
        <v>533</v>
      </c>
      <c r="F875" t="s">
        <v>534</v>
      </c>
      <c r="G875" t="s">
        <v>535</v>
      </c>
      <c r="H875" t="s">
        <v>25</v>
      </c>
      <c r="I875" t="s">
        <v>536</v>
      </c>
      <c r="J875" t="s">
        <v>537</v>
      </c>
      <c r="K875" t="s">
        <v>538</v>
      </c>
      <c r="L875" t="s">
        <v>539</v>
      </c>
      <c r="T875" t="s">
        <v>198</v>
      </c>
      <c r="U875" t="s">
        <v>53</v>
      </c>
      <c r="V875" t="s">
        <v>64</v>
      </c>
    </row>
    <row r="876" spans="1:22" hidden="1" x14ac:dyDescent="0.2">
      <c r="A876" t="s">
        <v>531</v>
      </c>
      <c r="B876" t="s">
        <v>23</v>
      </c>
      <c r="C876" t="s">
        <v>76</v>
      </c>
      <c r="D876" t="s">
        <v>544</v>
      </c>
      <c r="E876" t="s">
        <v>533</v>
      </c>
      <c r="F876" t="s">
        <v>534</v>
      </c>
      <c r="G876" t="s">
        <v>535</v>
      </c>
      <c r="H876" t="s">
        <v>25</v>
      </c>
      <c r="I876" t="s">
        <v>536</v>
      </c>
      <c r="J876" t="s">
        <v>537</v>
      </c>
      <c r="K876" t="s">
        <v>538</v>
      </c>
      <c r="L876" t="s">
        <v>539</v>
      </c>
      <c r="T876" t="s">
        <v>79</v>
      </c>
      <c r="U876" t="s">
        <v>53</v>
      </c>
      <c r="V876" t="s">
        <v>540</v>
      </c>
    </row>
    <row r="877" spans="1:22" hidden="1" x14ac:dyDescent="0.2">
      <c r="A877" t="s">
        <v>531</v>
      </c>
      <c r="B877" t="s">
        <v>23</v>
      </c>
      <c r="C877" t="s">
        <v>76</v>
      </c>
      <c r="D877" t="s">
        <v>544</v>
      </c>
      <c r="E877" t="s">
        <v>533</v>
      </c>
      <c r="F877" t="s">
        <v>534</v>
      </c>
      <c r="G877" t="s">
        <v>535</v>
      </c>
      <c r="H877" t="s">
        <v>25</v>
      </c>
      <c r="I877" t="s">
        <v>536</v>
      </c>
      <c r="J877" t="s">
        <v>537</v>
      </c>
      <c r="K877" t="s">
        <v>538</v>
      </c>
      <c r="L877" t="s">
        <v>539</v>
      </c>
      <c r="T877" t="s">
        <v>79</v>
      </c>
      <c r="U877" t="s">
        <v>157</v>
      </c>
      <c r="V877" t="s">
        <v>541</v>
      </c>
    </row>
    <row r="878" spans="1:22" hidden="1" x14ac:dyDescent="0.2">
      <c r="A878" t="s">
        <v>531</v>
      </c>
      <c r="B878" t="s">
        <v>23</v>
      </c>
      <c r="C878" t="s">
        <v>76</v>
      </c>
      <c r="D878" t="s">
        <v>544</v>
      </c>
      <c r="E878" t="s">
        <v>533</v>
      </c>
      <c r="F878" t="s">
        <v>534</v>
      </c>
      <c r="G878" t="s">
        <v>535</v>
      </c>
      <c r="H878" t="s">
        <v>25</v>
      </c>
      <c r="I878" t="s">
        <v>536</v>
      </c>
      <c r="J878" t="s">
        <v>537</v>
      </c>
      <c r="K878" t="s">
        <v>538</v>
      </c>
      <c r="L878" t="s">
        <v>539</v>
      </c>
      <c r="T878" t="s">
        <v>79</v>
      </c>
      <c r="U878" t="s">
        <v>53</v>
      </c>
      <c r="V878" t="s">
        <v>396</v>
      </c>
    </row>
    <row r="879" spans="1:22" hidden="1" x14ac:dyDescent="0.2">
      <c r="A879" t="s">
        <v>531</v>
      </c>
      <c r="B879" t="s">
        <v>23</v>
      </c>
      <c r="C879" t="s">
        <v>76</v>
      </c>
      <c r="D879" t="s">
        <v>544</v>
      </c>
      <c r="E879" t="s">
        <v>533</v>
      </c>
      <c r="F879" t="s">
        <v>534</v>
      </c>
      <c r="G879" t="s">
        <v>535</v>
      </c>
      <c r="H879" t="s">
        <v>25</v>
      </c>
      <c r="I879" t="s">
        <v>536</v>
      </c>
      <c r="J879" t="s">
        <v>537</v>
      </c>
      <c r="K879" t="s">
        <v>538</v>
      </c>
      <c r="L879" t="s">
        <v>539</v>
      </c>
      <c r="T879" t="s">
        <v>79</v>
      </c>
      <c r="U879" t="s">
        <v>53</v>
      </c>
      <c r="V879" t="s">
        <v>257</v>
      </c>
    </row>
    <row r="880" spans="1:22" hidden="1" x14ac:dyDescent="0.2">
      <c r="A880" t="s">
        <v>531</v>
      </c>
      <c r="B880" t="s">
        <v>23</v>
      </c>
      <c r="C880" t="s">
        <v>76</v>
      </c>
      <c r="D880" t="s">
        <v>544</v>
      </c>
      <c r="E880" t="s">
        <v>533</v>
      </c>
      <c r="F880" t="s">
        <v>534</v>
      </c>
      <c r="G880" t="s">
        <v>535</v>
      </c>
      <c r="H880" t="s">
        <v>25</v>
      </c>
      <c r="I880" t="s">
        <v>536</v>
      </c>
      <c r="J880" t="s">
        <v>537</v>
      </c>
      <c r="K880" t="s">
        <v>538</v>
      </c>
      <c r="L880" t="s">
        <v>539</v>
      </c>
      <c r="T880" t="s">
        <v>79</v>
      </c>
      <c r="U880" t="s">
        <v>53</v>
      </c>
      <c r="V880" t="s">
        <v>64</v>
      </c>
    </row>
    <row r="881" spans="1:22" hidden="1" x14ac:dyDescent="0.2">
      <c r="A881" t="s">
        <v>531</v>
      </c>
      <c r="B881" t="s">
        <v>23</v>
      </c>
      <c r="C881" t="s">
        <v>76</v>
      </c>
      <c r="D881" t="s">
        <v>544</v>
      </c>
      <c r="E881" t="s">
        <v>533</v>
      </c>
      <c r="F881" t="s">
        <v>534</v>
      </c>
      <c r="G881" t="s">
        <v>535</v>
      </c>
      <c r="H881" t="s">
        <v>25</v>
      </c>
      <c r="I881" t="s">
        <v>536</v>
      </c>
      <c r="J881" t="s">
        <v>537</v>
      </c>
      <c r="K881" t="s">
        <v>538</v>
      </c>
      <c r="L881" t="s">
        <v>539</v>
      </c>
      <c r="T881" t="s">
        <v>80</v>
      </c>
      <c r="U881" t="s">
        <v>53</v>
      </c>
      <c r="V881" t="s">
        <v>540</v>
      </c>
    </row>
    <row r="882" spans="1:22" hidden="1" x14ac:dyDescent="0.2">
      <c r="A882" t="s">
        <v>531</v>
      </c>
      <c r="B882" t="s">
        <v>23</v>
      </c>
      <c r="C882" t="s">
        <v>76</v>
      </c>
      <c r="D882" t="s">
        <v>544</v>
      </c>
      <c r="E882" t="s">
        <v>533</v>
      </c>
      <c r="F882" t="s">
        <v>534</v>
      </c>
      <c r="G882" t="s">
        <v>535</v>
      </c>
      <c r="H882" t="s">
        <v>25</v>
      </c>
      <c r="I882" t="s">
        <v>536</v>
      </c>
      <c r="J882" t="s">
        <v>537</v>
      </c>
      <c r="K882" t="s">
        <v>538</v>
      </c>
      <c r="L882" t="s">
        <v>539</v>
      </c>
      <c r="T882" t="s">
        <v>80</v>
      </c>
      <c r="U882" t="s">
        <v>157</v>
      </c>
      <c r="V882" t="s">
        <v>541</v>
      </c>
    </row>
    <row r="883" spans="1:22" hidden="1" x14ac:dyDescent="0.2">
      <c r="A883" t="s">
        <v>531</v>
      </c>
      <c r="B883" t="s">
        <v>23</v>
      </c>
      <c r="C883" t="s">
        <v>76</v>
      </c>
      <c r="D883" t="s">
        <v>544</v>
      </c>
      <c r="E883" t="s">
        <v>533</v>
      </c>
      <c r="F883" t="s">
        <v>534</v>
      </c>
      <c r="G883" t="s">
        <v>535</v>
      </c>
      <c r="H883" t="s">
        <v>25</v>
      </c>
      <c r="I883" t="s">
        <v>536</v>
      </c>
      <c r="J883" t="s">
        <v>537</v>
      </c>
      <c r="K883" t="s">
        <v>538</v>
      </c>
      <c r="L883" t="s">
        <v>539</v>
      </c>
      <c r="T883" t="s">
        <v>80</v>
      </c>
      <c r="U883" t="s">
        <v>53</v>
      </c>
      <c r="V883" t="s">
        <v>396</v>
      </c>
    </row>
    <row r="884" spans="1:22" hidden="1" x14ac:dyDescent="0.2">
      <c r="A884" t="s">
        <v>531</v>
      </c>
      <c r="B884" t="s">
        <v>23</v>
      </c>
      <c r="C884" t="s">
        <v>76</v>
      </c>
      <c r="D884" t="s">
        <v>544</v>
      </c>
      <c r="E884" t="s">
        <v>533</v>
      </c>
      <c r="F884" t="s">
        <v>534</v>
      </c>
      <c r="G884" t="s">
        <v>535</v>
      </c>
      <c r="H884" t="s">
        <v>25</v>
      </c>
      <c r="I884" t="s">
        <v>536</v>
      </c>
      <c r="J884" t="s">
        <v>537</v>
      </c>
      <c r="K884" t="s">
        <v>538</v>
      </c>
      <c r="L884" t="s">
        <v>539</v>
      </c>
      <c r="T884" t="s">
        <v>80</v>
      </c>
      <c r="U884" t="s">
        <v>53</v>
      </c>
      <c r="V884" t="s">
        <v>257</v>
      </c>
    </row>
    <row r="885" spans="1:22" hidden="1" x14ac:dyDescent="0.2">
      <c r="A885" t="s">
        <v>531</v>
      </c>
      <c r="B885" t="s">
        <v>23</v>
      </c>
      <c r="C885" t="s">
        <v>76</v>
      </c>
      <c r="D885" t="s">
        <v>544</v>
      </c>
      <c r="E885" t="s">
        <v>533</v>
      </c>
      <c r="F885" t="s">
        <v>534</v>
      </c>
      <c r="G885" t="s">
        <v>535</v>
      </c>
      <c r="H885" t="s">
        <v>25</v>
      </c>
      <c r="I885" t="s">
        <v>536</v>
      </c>
      <c r="J885" t="s">
        <v>537</v>
      </c>
      <c r="K885" t="s">
        <v>538</v>
      </c>
      <c r="L885" t="s">
        <v>539</v>
      </c>
      <c r="T885" t="s">
        <v>80</v>
      </c>
      <c r="U885" t="s">
        <v>53</v>
      </c>
      <c r="V885" t="s">
        <v>64</v>
      </c>
    </row>
    <row r="886" spans="1:22" hidden="1" x14ac:dyDescent="0.2">
      <c r="A886" t="s">
        <v>545</v>
      </c>
      <c r="B886" t="s">
        <v>23</v>
      </c>
      <c r="C886" t="s">
        <v>336</v>
      </c>
      <c r="D886" t="s">
        <v>25</v>
      </c>
      <c r="E886" t="s">
        <v>546</v>
      </c>
      <c r="F886" t="s">
        <v>547</v>
      </c>
      <c r="G886" t="s">
        <v>25</v>
      </c>
      <c r="H886" t="s">
        <v>548</v>
      </c>
      <c r="I886" t="s">
        <v>25</v>
      </c>
      <c r="J886" t="s">
        <v>549</v>
      </c>
      <c r="K886" t="s">
        <v>550</v>
      </c>
      <c r="T886" t="s">
        <v>57</v>
      </c>
      <c r="U886" t="s">
        <v>53</v>
      </c>
      <c r="V886" t="s">
        <v>329</v>
      </c>
    </row>
    <row r="887" spans="1:22" hidden="1" x14ac:dyDescent="0.2">
      <c r="A887" t="s">
        <v>545</v>
      </c>
      <c r="B887" t="s">
        <v>23</v>
      </c>
      <c r="C887" t="s">
        <v>336</v>
      </c>
      <c r="D887" t="s">
        <v>25</v>
      </c>
      <c r="E887" t="s">
        <v>546</v>
      </c>
      <c r="F887" t="s">
        <v>547</v>
      </c>
      <c r="G887" t="s">
        <v>25</v>
      </c>
      <c r="H887" t="s">
        <v>548</v>
      </c>
      <c r="I887" t="s">
        <v>25</v>
      </c>
      <c r="J887" t="s">
        <v>549</v>
      </c>
      <c r="K887" t="s">
        <v>550</v>
      </c>
      <c r="T887" t="s">
        <v>39</v>
      </c>
      <c r="U887" t="s">
        <v>53</v>
      </c>
      <c r="V887" t="s">
        <v>329</v>
      </c>
    </row>
    <row r="888" spans="1:22" hidden="1" x14ac:dyDescent="0.2">
      <c r="A888" t="s">
        <v>545</v>
      </c>
      <c r="B888" t="s">
        <v>23</v>
      </c>
      <c r="C888" t="s">
        <v>336</v>
      </c>
      <c r="D888" t="s">
        <v>25</v>
      </c>
      <c r="E888" t="s">
        <v>546</v>
      </c>
      <c r="F888" t="s">
        <v>547</v>
      </c>
      <c r="G888" t="s">
        <v>25</v>
      </c>
      <c r="H888" t="s">
        <v>548</v>
      </c>
      <c r="I888" t="s">
        <v>25</v>
      </c>
      <c r="J888" t="s">
        <v>549</v>
      </c>
      <c r="K888" t="s">
        <v>550</v>
      </c>
      <c r="T888" t="s">
        <v>58</v>
      </c>
      <c r="U888" t="s">
        <v>53</v>
      </c>
      <c r="V888" t="s">
        <v>329</v>
      </c>
    </row>
    <row r="889" spans="1:22" hidden="1" x14ac:dyDescent="0.2">
      <c r="A889" t="s">
        <v>545</v>
      </c>
      <c r="B889" t="s">
        <v>23</v>
      </c>
      <c r="C889" t="s">
        <v>336</v>
      </c>
      <c r="D889" t="s">
        <v>25</v>
      </c>
      <c r="E889" t="s">
        <v>546</v>
      </c>
      <c r="F889" t="s">
        <v>547</v>
      </c>
      <c r="G889" t="s">
        <v>25</v>
      </c>
      <c r="H889" t="s">
        <v>548</v>
      </c>
      <c r="I889" t="s">
        <v>25</v>
      </c>
      <c r="J889" t="s">
        <v>549</v>
      </c>
      <c r="K889" t="s">
        <v>550</v>
      </c>
      <c r="T889" t="s">
        <v>59</v>
      </c>
      <c r="U889" t="s">
        <v>53</v>
      </c>
      <c r="V889" t="s">
        <v>329</v>
      </c>
    </row>
    <row r="890" spans="1:22" hidden="1" x14ac:dyDescent="0.2">
      <c r="A890" t="s">
        <v>545</v>
      </c>
      <c r="B890" t="s">
        <v>23</v>
      </c>
      <c r="C890" t="s">
        <v>336</v>
      </c>
      <c r="D890" t="s">
        <v>25</v>
      </c>
      <c r="E890" t="s">
        <v>546</v>
      </c>
      <c r="F890" t="s">
        <v>547</v>
      </c>
      <c r="G890" t="s">
        <v>25</v>
      </c>
      <c r="H890" t="s">
        <v>548</v>
      </c>
      <c r="I890" t="s">
        <v>25</v>
      </c>
      <c r="J890" t="s">
        <v>549</v>
      </c>
      <c r="K890" t="s">
        <v>550</v>
      </c>
      <c r="T890" t="s">
        <v>60</v>
      </c>
      <c r="U890" t="s">
        <v>53</v>
      </c>
      <c r="V890" t="s">
        <v>329</v>
      </c>
    </row>
    <row r="891" spans="1:22" hidden="1" x14ac:dyDescent="0.2">
      <c r="A891" t="s">
        <v>545</v>
      </c>
      <c r="B891" t="s">
        <v>23</v>
      </c>
      <c r="C891" t="s">
        <v>336</v>
      </c>
      <c r="D891" t="s">
        <v>25</v>
      </c>
      <c r="E891" t="s">
        <v>546</v>
      </c>
      <c r="F891" t="s">
        <v>547</v>
      </c>
      <c r="G891" t="s">
        <v>25</v>
      </c>
      <c r="H891" t="s">
        <v>548</v>
      </c>
      <c r="I891" t="s">
        <v>25</v>
      </c>
      <c r="J891" t="s">
        <v>549</v>
      </c>
      <c r="K891" t="s">
        <v>550</v>
      </c>
      <c r="T891" t="s">
        <v>326</v>
      </c>
      <c r="U891" t="s">
        <v>53</v>
      </c>
      <c r="V891" t="s">
        <v>329</v>
      </c>
    </row>
    <row r="892" spans="1:22" hidden="1" x14ac:dyDescent="0.2">
      <c r="A892" t="s">
        <v>551</v>
      </c>
      <c r="B892" t="s">
        <v>23</v>
      </c>
      <c r="C892" t="s">
        <v>195</v>
      </c>
      <c r="D892" t="s">
        <v>25</v>
      </c>
      <c r="E892" t="s">
        <v>552</v>
      </c>
      <c r="F892" t="s">
        <v>553</v>
      </c>
      <c r="G892" t="s">
        <v>554</v>
      </c>
      <c r="H892" t="s">
        <v>555</v>
      </c>
      <c r="I892" t="s">
        <v>25</v>
      </c>
      <c r="J892" t="s">
        <v>556</v>
      </c>
      <c r="K892" t="s">
        <v>25</v>
      </c>
      <c r="L892" t="s">
        <v>557</v>
      </c>
      <c r="M892" t="s">
        <v>558</v>
      </c>
      <c r="O892" t="s">
        <v>559</v>
      </c>
      <c r="P892" t="s">
        <v>560</v>
      </c>
      <c r="Q892" t="s">
        <v>37</v>
      </c>
      <c r="R892">
        <v>3</v>
      </c>
      <c r="S892" t="s">
        <v>561</v>
      </c>
      <c r="T892" t="s">
        <v>57</v>
      </c>
      <c r="U892" t="s">
        <v>157</v>
      </c>
      <c r="V892" t="s">
        <v>56</v>
      </c>
    </row>
    <row r="893" spans="1:22" hidden="1" x14ac:dyDescent="0.2">
      <c r="A893" t="s">
        <v>551</v>
      </c>
      <c r="B893" t="s">
        <v>23</v>
      </c>
      <c r="C893" t="s">
        <v>195</v>
      </c>
      <c r="D893" t="s">
        <v>25</v>
      </c>
      <c r="E893" t="s">
        <v>552</v>
      </c>
      <c r="F893" t="s">
        <v>553</v>
      </c>
      <c r="G893" t="s">
        <v>554</v>
      </c>
      <c r="H893" t="s">
        <v>555</v>
      </c>
      <c r="I893" t="s">
        <v>25</v>
      </c>
      <c r="J893" t="s">
        <v>556</v>
      </c>
      <c r="K893" t="s">
        <v>25</v>
      </c>
      <c r="L893" t="s">
        <v>557</v>
      </c>
      <c r="M893" t="s">
        <v>558</v>
      </c>
      <c r="O893" t="s">
        <v>559</v>
      </c>
      <c r="P893" t="s">
        <v>560</v>
      </c>
      <c r="Q893" t="s">
        <v>37</v>
      </c>
      <c r="R893">
        <v>3</v>
      </c>
      <c r="S893" t="s">
        <v>561</v>
      </c>
      <c r="T893" t="s">
        <v>57</v>
      </c>
      <c r="U893" t="s">
        <v>53</v>
      </c>
      <c r="V893" t="s">
        <v>257</v>
      </c>
    </row>
    <row r="894" spans="1:22" hidden="1" x14ac:dyDescent="0.2">
      <c r="A894" t="s">
        <v>551</v>
      </c>
      <c r="B894" t="s">
        <v>23</v>
      </c>
      <c r="C894" t="s">
        <v>195</v>
      </c>
      <c r="D894" t="s">
        <v>25</v>
      </c>
      <c r="E894" t="s">
        <v>552</v>
      </c>
      <c r="F894" t="s">
        <v>553</v>
      </c>
      <c r="G894" t="s">
        <v>554</v>
      </c>
      <c r="H894" t="s">
        <v>555</v>
      </c>
      <c r="I894" t="s">
        <v>25</v>
      </c>
      <c r="J894" t="s">
        <v>556</v>
      </c>
      <c r="K894" t="s">
        <v>25</v>
      </c>
      <c r="L894" t="s">
        <v>557</v>
      </c>
      <c r="M894" t="s">
        <v>558</v>
      </c>
      <c r="O894" t="s">
        <v>559</v>
      </c>
      <c r="P894" t="s">
        <v>560</v>
      </c>
      <c r="Q894" t="s">
        <v>37</v>
      </c>
      <c r="R894">
        <v>3</v>
      </c>
      <c r="S894" t="s">
        <v>561</v>
      </c>
      <c r="T894" t="s">
        <v>57</v>
      </c>
      <c r="U894" t="s">
        <v>157</v>
      </c>
      <c r="V894" t="s">
        <v>183</v>
      </c>
    </row>
    <row r="895" spans="1:22" hidden="1" x14ac:dyDescent="0.2">
      <c r="A895" t="s">
        <v>551</v>
      </c>
      <c r="B895" t="s">
        <v>23</v>
      </c>
      <c r="C895" t="s">
        <v>195</v>
      </c>
      <c r="D895" t="s">
        <v>25</v>
      </c>
      <c r="E895" t="s">
        <v>552</v>
      </c>
      <c r="F895" t="s">
        <v>553</v>
      </c>
      <c r="G895" t="s">
        <v>554</v>
      </c>
      <c r="H895" t="s">
        <v>555</v>
      </c>
      <c r="I895" t="s">
        <v>25</v>
      </c>
      <c r="J895" t="s">
        <v>556</v>
      </c>
      <c r="K895" t="s">
        <v>25</v>
      </c>
      <c r="L895" t="s">
        <v>557</v>
      </c>
      <c r="M895" t="s">
        <v>558</v>
      </c>
      <c r="O895" t="s">
        <v>559</v>
      </c>
      <c r="P895" t="s">
        <v>560</v>
      </c>
      <c r="Q895" t="s">
        <v>37</v>
      </c>
      <c r="R895">
        <v>3</v>
      </c>
      <c r="S895" t="s">
        <v>561</v>
      </c>
      <c r="T895" t="s">
        <v>57</v>
      </c>
      <c r="U895" t="s">
        <v>53</v>
      </c>
      <c r="V895" t="s">
        <v>508</v>
      </c>
    </row>
    <row r="896" spans="1:22" hidden="1" x14ac:dyDescent="0.2">
      <c r="A896" t="s">
        <v>551</v>
      </c>
      <c r="B896" t="s">
        <v>23</v>
      </c>
      <c r="C896" t="s">
        <v>195</v>
      </c>
      <c r="D896" t="s">
        <v>25</v>
      </c>
      <c r="E896" t="s">
        <v>552</v>
      </c>
      <c r="F896" t="s">
        <v>553</v>
      </c>
      <c r="G896" t="s">
        <v>554</v>
      </c>
      <c r="H896" t="s">
        <v>555</v>
      </c>
      <c r="I896" t="s">
        <v>25</v>
      </c>
      <c r="J896" t="s">
        <v>556</v>
      </c>
      <c r="K896" t="s">
        <v>25</v>
      </c>
      <c r="L896" t="s">
        <v>557</v>
      </c>
      <c r="M896" t="s">
        <v>558</v>
      </c>
      <c r="O896" t="s">
        <v>559</v>
      </c>
      <c r="P896" t="s">
        <v>560</v>
      </c>
      <c r="Q896" t="s">
        <v>37</v>
      </c>
      <c r="R896">
        <v>3</v>
      </c>
      <c r="S896" t="s">
        <v>561</v>
      </c>
      <c r="T896" t="s">
        <v>57</v>
      </c>
      <c r="U896" t="s">
        <v>157</v>
      </c>
      <c r="V896" t="s">
        <v>197</v>
      </c>
    </row>
    <row r="897" spans="1:22" hidden="1" x14ac:dyDescent="0.2">
      <c r="A897" t="s">
        <v>551</v>
      </c>
      <c r="B897" t="s">
        <v>23</v>
      </c>
      <c r="C897" t="s">
        <v>195</v>
      </c>
      <c r="D897" t="s">
        <v>25</v>
      </c>
      <c r="E897" t="s">
        <v>552</v>
      </c>
      <c r="F897" t="s">
        <v>553</v>
      </c>
      <c r="G897" t="s">
        <v>554</v>
      </c>
      <c r="H897" t="s">
        <v>555</v>
      </c>
      <c r="I897" t="s">
        <v>25</v>
      </c>
      <c r="J897" t="s">
        <v>556</v>
      </c>
      <c r="K897" t="s">
        <v>25</v>
      </c>
      <c r="L897" t="s">
        <v>557</v>
      </c>
      <c r="M897" t="s">
        <v>558</v>
      </c>
      <c r="O897" t="s">
        <v>559</v>
      </c>
      <c r="P897" t="s">
        <v>560</v>
      </c>
      <c r="Q897" t="s">
        <v>37</v>
      </c>
      <c r="R897">
        <v>3</v>
      </c>
      <c r="S897" t="s">
        <v>561</v>
      </c>
      <c r="T897" t="s">
        <v>39</v>
      </c>
      <c r="U897" t="s">
        <v>157</v>
      </c>
      <c r="V897" t="s">
        <v>56</v>
      </c>
    </row>
    <row r="898" spans="1:22" hidden="1" x14ac:dyDescent="0.2">
      <c r="A898" t="s">
        <v>551</v>
      </c>
      <c r="B898" t="s">
        <v>23</v>
      </c>
      <c r="C898" t="s">
        <v>195</v>
      </c>
      <c r="D898" t="s">
        <v>25</v>
      </c>
      <c r="E898" t="s">
        <v>552</v>
      </c>
      <c r="F898" t="s">
        <v>553</v>
      </c>
      <c r="G898" t="s">
        <v>554</v>
      </c>
      <c r="H898" t="s">
        <v>555</v>
      </c>
      <c r="I898" t="s">
        <v>25</v>
      </c>
      <c r="J898" t="s">
        <v>556</v>
      </c>
      <c r="K898" t="s">
        <v>25</v>
      </c>
      <c r="L898" t="s">
        <v>557</v>
      </c>
      <c r="M898" t="s">
        <v>558</v>
      </c>
      <c r="O898" t="s">
        <v>559</v>
      </c>
      <c r="P898" t="s">
        <v>560</v>
      </c>
      <c r="Q898" t="s">
        <v>37</v>
      </c>
      <c r="R898">
        <v>3</v>
      </c>
      <c r="S898" t="s">
        <v>561</v>
      </c>
      <c r="T898" t="s">
        <v>39</v>
      </c>
      <c r="U898" t="s">
        <v>53</v>
      </c>
      <c r="V898" t="s">
        <v>257</v>
      </c>
    </row>
    <row r="899" spans="1:22" hidden="1" x14ac:dyDescent="0.2">
      <c r="A899" t="s">
        <v>551</v>
      </c>
      <c r="B899" t="s">
        <v>23</v>
      </c>
      <c r="C899" t="s">
        <v>195</v>
      </c>
      <c r="D899" t="s">
        <v>25</v>
      </c>
      <c r="E899" t="s">
        <v>552</v>
      </c>
      <c r="F899" t="s">
        <v>553</v>
      </c>
      <c r="G899" t="s">
        <v>554</v>
      </c>
      <c r="H899" t="s">
        <v>555</v>
      </c>
      <c r="I899" t="s">
        <v>25</v>
      </c>
      <c r="J899" t="s">
        <v>556</v>
      </c>
      <c r="K899" t="s">
        <v>25</v>
      </c>
      <c r="L899" t="s">
        <v>557</v>
      </c>
      <c r="M899" t="s">
        <v>558</v>
      </c>
      <c r="O899" t="s">
        <v>559</v>
      </c>
      <c r="P899" t="s">
        <v>560</v>
      </c>
      <c r="Q899" t="s">
        <v>37</v>
      </c>
      <c r="R899">
        <v>3</v>
      </c>
      <c r="S899" t="s">
        <v>561</v>
      </c>
      <c r="T899" t="s">
        <v>39</v>
      </c>
      <c r="U899" t="s">
        <v>157</v>
      </c>
      <c r="V899" t="s">
        <v>183</v>
      </c>
    </row>
    <row r="900" spans="1:22" hidden="1" x14ac:dyDescent="0.2">
      <c r="A900" t="s">
        <v>551</v>
      </c>
      <c r="B900" t="s">
        <v>23</v>
      </c>
      <c r="C900" t="s">
        <v>195</v>
      </c>
      <c r="D900" t="s">
        <v>25</v>
      </c>
      <c r="E900" t="s">
        <v>552</v>
      </c>
      <c r="F900" t="s">
        <v>553</v>
      </c>
      <c r="G900" t="s">
        <v>554</v>
      </c>
      <c r="H900" t="s">
        <v>555</v>
      </c>
      <c r="I900" t="s">
        <v>25</v>
      </c>
      <c r="J900" t="s">
        <v>556</v>
      </c>
      <c r="K900" t="s">
        <v>25</v>
      </c>
      <c r="L900" t="s">
        <v>557</v>
      </c>
      <c r="M900" t="s">
        <v>558</v>
      </c>
      <c r="O900" t="s">
        <v>559</v>
      </c>
      <c r="P900" t="s">
        <v>560</v>
      </c>
      <c r="Q900" t="s">
        <v>37</v>
      </c>
      <c r="R900">
        <v>3</v>
      </c>
      <c r="S900" t="s">
        <v>561</v>
      </c>
      <c r="T900" t="s">
        <v>39</v>
      </c>
      <c r="U900" t="s">
        <v>53</v>
      </c>
      <c r="V900" t="s">
        <v>508</v>
      </c>
    </row>
    <row r="901" spans="1:22" hidden="1" x14ac:dyDescent="0.2">
      <c r="A901" t="s">
        <v>551</v>
      </c>
      <c r="B901" t="s">
        <v>23</v>
      </c>
      <c r="C901" t="s">
        <v>195</v>
      </c>
      <c r="D901" t="s">
        <v>25</v>
      </c>
      <c r="E901" t="s">
        <v>552</v>
      </c>
      <c r="F901" t="s">
        <v>553</v>
      </c>
      <c r="G901" t="s">
        <v>554</v>
      </c>
      <c r="H901" t="s">
        <v>555</v>
      </c>
      <c r="I901" t="s">
        <v>25</v>
      </c>
      <c r="J901" t="s">
        <v>556</v>
      </c>
      <c r="K901" t="s">
        <v>25</v>
      </c>
      <c r="L901" t="s">
        <v>557</v>
      </c>
      <c r="M901" t="s">
        <v>558</v>
      </c>
      <c r="O901" t="s">
        <v>559</v>
      </c>
      <c r="P901" t="s">
        <v>560</v>
      </c>
      <c r="Q901" t="s">
        <v>37</v>
      </c>
      <c r="R901">
        <v>3</v>
      </c>
      <c r="S901" t="s">
        <v>561</v>
      </c>
      <c r="T901" t="s">
        <v>39</v>
      </c>
      <c r="U901" t="s">
        <v>157</v>
      </c>
      <c r="V901" t="s">
        <v>197</v>
      </c>
    </row>
    <row r="902" spans="1:22" hidden="1" x14ac:dyDescent="0.2">
      <c r="A902" t="s">
        <v>551</v>
      </c>
      <c r="B902" t="s">
        <v>23</v>
      </c>
      <c r="C902" t="s">
        <v>195</v>
      </c>
      <c r="D902" t="s">
        <v>25</v>
      </c>
      <c r="E902" t="s">
        <v>552</v>
      </c>
      <c r="F902" t="s">
        <v>553</v>
      </c>
      <c r="G902" t="s">
        <v>554</v>
      </c>
      <c r="H902" t="s">
        <v>555</v>
      </c>
      <c r="I902" t="s">
        <v>25</v>
      </c>
      <c r="J902" t="s">
        <v>556</v>
      </c>
      <c r="K902" t="s">
        <v>25</v>
      </c>
      <c r="L902" t="s">
        <v>557</v>
      </c>
      <c r="M902" t="s">
        <v>558</v>
      </c>
      <c r="O902" t="s">
        <v>559</v>
      </c>
      <c r="P902" t="s">
        <v>560</v>
      </c>
      <c r="Q902" t="s">
        <v>37</v>
      </c>
      <c r="R902">
        <v>3</v>
      </c>
      <c r="S902" t="s">
        <v>561</v>
      </c>
      <c r="T902" t="s">
        <v>58</v>
      </c>
      <c r="U902" t="s">
        <v>157</v>
      </c>
      <c r="V902" t="s">
        <v>56</v>
      </c>
    </row>
    <row r="903" spans="1:22" hidden="1" x14ac:dyDescent="0.2">
      <c r="A903" t="s">
        <v>551</v>
      </c>
      <c r="B903" t="s">
        <v>23</v>
      </c>
      <c r="C903" t="s">
        <v>195</v>
      </c>
      <c r="D903" t="s">
        <v>25</v>
      </c>
      <c r="E903" t="s">
        <v>552</v>
      </c>
      <c r="F903" t="s">
        <v>553</v>
      </c>
      <c r="G903" t="s">
        <v>554</v>
      </c>
      <c r="H903" t="s">
        <v>555</v>
      </c>
      <c r="I903" t="s">
        <v>25</v>
      </c>
      <c r="J903" t="s">
        <v>556</v>
      </c>
      <c r="K903" t="s">
        <v>25</v>
      </c>
      <c r="L903" t="s">
        <v>557</v>
      </c>
      <c r="M903" t="s">
        <v>558</v>
      </c>
      <c r="O903" t="s">
        <v>559</v>
      </c>
      <c r="P903" t="s">
        <v>560</v>
      </c>
      <c r="Q903" t="s">
        <v>37</v>
      </c>
      <c r="R903">
        <v>3</v>
      </c>
      <c r="S903" t="s">
        <v>561</v>
      </c>
      <c r="T903" t="s">
        <v>58</v>
      </c>
      <c r="U903" t="s">
        <v>53</v>
      </c>
      <c r="V903" t="s">
        <v>257</v>
      </c>
    </row>
    <row r="904" spans="1:22" hidden="1" x14ac:dyDescent="0.2">
      <c r="A904" t="s">
        <v>551</v>
      </c>
      <c r="B904" t="s">
        <v>23</v>
      </c>
      <c r="C904" t="s">
        <v>195</v>
      </c>
      <c r="D904" t="s">
        <v>25</v>
      </c>
      <c r="E904" t="s">
        <v>552</v>
      </c>
      <c r="F904" t="s">
        <v>553</v>
      </c>
      <c r="G904" t="s">
        <v>554</v>
      </c>
      <c r="H904" t="s">
        <v>555</v>
      </c>
      <c r="I904" t="s">
        <v>25</v>
      </c>
      <c r="J904" t="s">
        <v>556</v>
      </c>
      <c r="K904" t="s">
        <v>25</v>
      </c>
      <c r="L904" t="s">
        <v>557</v>
      </c>
      <c r="M904" t="s">
        <v>558</v>
      </c>
      <c r="O904" t="s">
        <v>559</v>
      </c>
      <c r="P904" t="s">
        <v>560</v>
      </c>
      <c r="Q904" t="s">
        <v>37</v>
      </c>
      <c r="R904">
        <v>3</v>
      </c>
      <c r="S904" t="s">
        <v>561</v>
      </c>
      <c r="T904" t="s">
        <v>58</v>
      </c>
      <c r="U904" t="s">
        <v>157</v>
      </c>
      <c r="V904" t="s">
        <v>183</v>
      </c>
    </row>
    <row r="905" spans="1:22" hidden="1" x14ac:dyDescent="0.2">
      <c r="A905" t="s">
        <v>551</v>
      </c>
      <c r="B905" t="s">
        <v>23</v>
      </c>
      <c r="C905" t="s">
        <v>195</v>
      </c>
      <c r="D905" t="s">
        <v>25</v>
      </c>
      <c r="E905" t="s">
        <v>552</v>
      </c>
      <c r="F905" t="s">
        <v>553</v>
      </c>
      <c r="G905" t="s">
        <v>554</v>
      </c>
      <c r="H905" t="s">
        <v>555</v>
      </c>
      <c r="I905" t="s">
        <v>25</v>
      </c>
      <c r="J905" t="s">
        <v>556</v>
      </c>
      <c r="K905" t="s">
        <v>25</v>
      </c>
      <c r="L905" t="s">
        <v>557</v>
      </c>
      <c r="M905" t="s">
        <v>558</v>
      </c>
      <c r="O905" t="s">
        <v>559</v>
      </c>
      <c r="P905" t="s">
        <v>560</v>
      </c>
      <c r="Q905" t="s">
        <v>37</v>
      </c>
      <c r="R905">
        <v>3</v>
      </c>
      <c r="S905" t="s">
        <v>561</v>
      </c>
      <c r="T905" t="s">
        <v>58</v>
      </c>
      <c r="U905" t="s">
        <v>53</v>
      </c>
      <c r="V905" t="s">
        <v>508</v>
      </c>
    </row>
    <row r="906" spans="1:22" hidden="1" x14ac:dyDescent="0.2">
      <c r="A906" t="s">
        <v>551</v>
      </c>
      <c r="B906" t="s">
        <v>23</v>
      </c>
      <c r="C906" t="s">
        <v>195</v>
      </c>
      <c r="D906" t="s">
        <v>25</v>
      </c>
      <c r="E906" t="s">
        <v>552</v>
      </c>
      <c r="F906" t="s">
        <v>553</v>
      </c>
      <c r="G906" t="s">
        <v>554</v>
      </c>
      <c r="H906" t="s">
        <v>555</v>
      </c>
      <c r="I906" t="s">
        <v>25</v>
      </c>
      <c r="J906" t="s">
        <v>556</v>
      </c>
      <c r="K906" t="s">
        <v>25</v>
      </c>
      <c r="L906" t="s">
        <v>557</v>
      </c>
      <c r="M906" t="s">
        <v>558</v>
      </c>
      <c r="O906" t="s">
        <v>559</v>
      </c>
      <c r="P906" t="s">
        <v>560</v>
      </c>
      <c r="Q906" t="s">
        <v>37</v>
      </c>
      <c r="R906">
        <v>3</v>
      </c>
      <c r="S906" t="s">
        <v>561</v>
      </c>
      <c r="T906" t="s">
        <v>58</v>
      </c>
      <c r="U906" t="s">
        <v>157</v>
      </c>
      <c r="V906" t="s">
        <v>197</v>
      </c>
    </row>
    <row r="907" spans="1:22" hidden="1" x14ac:dyDescent="0.2">
      <c r="A907" t="s">
        <v>551</v>
      </c>
      <c r="B907" t="s">
        <v>23</v>
      </c>
      <c r="C907" t="s">
        <v>195</v>
      </c>
      <c r="D907" t="s">
        <v>25</v>
      </c>
      <c r="E907" t="s">
        <v>552</v>
      </c>
      <c r="F907" t="s">
        <v>553</v>
      </c>
      <c r="G907" t="s">
        <v>554</v>
      </c>
      <c r="H907" t="s">
        <v>555</v>
      </c>
      <c r="I907" t="s">
        <v>25</v>
      </c>
      <c r="J907" t="s">
        <v>556</v>
      </c>
      <c r="K907" t="s">
        <v>25</v>
      </c>
      <c r="L907" t="s">
        <v>557</v>
      </c>
      <c r="M907" t="s">
        <v>558</v>
      </c>
      <c r="O907" t="s">
        <v>559</v>
      </c>
      <c r="P907" t="s">
        <v>560</v>
      </c>
      <c r="Q907" t="s">
        <v>37</v>
      </c>
      <c r="R907">
        <v>3</v>
      </c>
      <c r="S907" t="s">
        <v>561</v>
      </c>
      <c r="T907" t="s">
        <v>59</v>
      </c>
      <c r="U907" t="s">
        <v>157</v>
      </c>
      <c r="V907" t="s">
        <v>56</v>
      </c>
    </row>
    <row r="908" spans="1:22" hidden="1" x14ac:dyDescent="0.2">
      <c r="A908" t="s">
        <v>551</v>
      </c>
      <c r="B908" t="s">
        <v>23</v>
      </c>
      <c r="C908" t="s">
        <v>195</v>
      </c>
      <c r="D908" t="s">
        <v>25</v>
      </c>
      <c r="E908" t="s">
        <v>552</v>
      </c>
      <c r="F908" t="s">
        <v>553</v>
      </c>
      <c r="G908" t="s">
        <v>554</v>
      </c>
      <c r="H908" t="s">
        <v>555</v>
      </c>
      <c r="I908" t="s">
        <v>25</v>
      </c>
      <c r="J908" t="s">
        <v>556</v>
      </c>
      <c r="K908" t="s">
        <v>25</v>
      </c>
      <c r="L908" t="s">
        <v>557</v>
      </c>
      <c r="M908" t="s">
        <v>558</v>
      </c>
      <c r="O908" t="s">
        <v>559</v>
      </c>
      <c r="P908" t="s">
        <v>560</v>
      </c>
      <c r="Q908" t="s">
        <v>37</v>
      </c>
      <c r="R908">
        <v>3</v>
      </c>
      <c r="S908" t="s">
        <v>561</v>
      </c>
      <c r="T908" t="s">
        <v>59</v>
      </c>
      <c r="U908" t="s">
        <v>53</v>
      </c>
      <c r="V908" t="s">
        <v>257</v>
      </c>
    </row>
    <row r="909" spans="1:22" hidden="1" x14ac:dyDescent="0.2">
      <c r="A909" t="s">
        <v>551</v>
      </c>
      <c r="B909" t="s">
        <v>23</v>
      </c>
      <c r="C909" t="s">
        <v>195</v>
      </c>
      <c r="D909" t="s">
        <v>25</v>
      </c>
      <c r="E909" t="s">
        <v>552</v>
      </c>
      <c r="F909" t="s">
        <v>553</v>
      </c>
      <c r="G909" t="s">
        <v>554</v>
      </c>
      <c r="H909" t="s">
        <v>555</v>
      </c>
      <c r="I909" t="s">
        <v>25</v>
      </c>
      <c r="J909" t="s">
        <v>556</v>
      </c>
      <c r="K909" t="s">
        <v>25</v>
      </c>
      <c r="L909" t="s">
        <v>557</v>
      </c>
      <c r="M909" t="s">
        <v>558</v>
      </c>
      <c r="O909" t="s">
        <v>559</v>
      </c>
      <c r="P909" t="s">
        <v>560</v>
      </c>
      <c r="Q909" t="s">
        <v>37</v>
      </c>
      <c r="R909">
        <v>3</v>
      </c>
      <c r="S909" t="s">
        <v>561</v>
      </c>
      <c r="T909" t="s">
        <v>59</v>
      </c>
      <c r="U909" t="s">
        <v>157</v>
      </c>
      <c r="V909" t="s">
        <v>183</v>
      </c>
    </row>
    <row r="910" spans="1:22" hidden="1" x14ac:dyDescent="0.2">
      <c r="A910" t="s">
        <v>551</v>
      </c>
      <c r="B910" t="s">
        <v>23</v>
      </c>
      <c r="C910" t="s">
        <v>195</v>
      </c>
      <c r="D910" t="s">
        <v>25</v>
      </c>
      <c r="E910" t="s">
        <v>552</v>
      </c>
      <c r="F910" t="s">
        <v>553</v>
      </c>
      <c r="G910" t="s">
        <v>554</v>
      </c>
      <c r="H910" t="s">
        <v>555</v>
      </c>
      <c r="I910" t="s">
        <v>25</v>
      </c>
      <c r="J910" t="s">
        <v>556</v>
      </c>
      <c r="K910" t="s">
        <v>25</v>
      </c>
      <c r="L910" t="s">
        <v>557</v>
      </c>
      <c r="M910" t="s">
        <v>558</v>
      </c>
      <c r="O910" t="s">
        <v>559</v>
      </c>
      <c r="P910" t="s">
        <v>560</v>
      </c>
      <c r="Q910" t="s">
        <v>37</v>
      </c>
      <c r="R910">
        <v>3</v>
      </c>
      <c r="S910" t="s">
        <v>561</v>
      </c>
      <c r="T910" t="s">
        <v>59</v>
      </c>
      <c r="U910" t="s">
        <v>53</v>
      </c>
      <c r="V910" t="s">
        <v>508</v>
      </c>
    </row>
    <row r="911" spans="1:22" hidden="1" x14ac:dyDescent="0.2">
      <c r="A911" t="s">
        <v>551</v>
      </c>
      <c r="B911" t="s">
        <v>23</v>
      </c>
      <c r="C911" t="s">
        <v>195</v>
      </c>
      <c r="D911" t="s">
        <v>25</v>
      </c>
      <c r="E911" t="s">
        <v>552</v>
      </c>
      <c r="F911" t="s">
        <v>553</v>
      </c>
      <c r="G911" t="s">
        <v>554</v>
      </c>
      <c r="H911" t="s">
        <v>555</v>
      </c>
      <c r="I911" t="s">
        <v>25</v>
      </c>
      <c r="J911" t="s">
        <v>556</v>
      </c>
      <c r="K911" t="s">
        <v>25</v>
      </c>
      <c r="L911" t="s">
        <v>557</v>
      </c>
      <c r="M911" t="s">
        <v>558</v>
      </c>
      <c r="O911" t="s">
        <v>559</v>
      </c>
      <c r="P911" t="s">
        <v>560</v>
      </c>
      <c r="Q911" t="s">
        <v>37</v>
      </c>
      <c r="R911">
        <v>3</v>
      </c>
      <c r="S911" t="s">
        <v>561</v>
      </c>
      <c r="T911" t="s">
        <v>59</v>
      </c>
      <c r="U911" t="s">
        <v>157</v>
      </c>
      <c r="V911" t="s">
        <v>197</v>
      </c>
    </row>
    <row r="912" spans="1:22" hidden="1" x14ac:dyDescent="0.2">
      <c r="A912" t="s">
        <v>551</v>
      </c>
      <c r="B912" t="s">
        <v>23</v>
      </c>
      <c r="C912" t="s">
        <v>195</v>
      </c>
      <c r="D912" t="s">
        <v>25</v>
      </c>
      <c r="E912" t="s">
        <v>552</v>
      </c>
      <c r="F912" t="s">
        <v>553</v>
      </c>
      <c r="G912" t="s">
        <v>554</v>
      </c>
      <c r="H912" t="s">
        <v>555</v>
      </c>
      <c r="I912" t="s">
        <v>25</v>
      </c>
      <c r="J912" t="s">
        <v>556</v>
      </c>
      <c r="K912" t="s">
        <v>25</v>
      </c>
      <c r="L912" t="s">
        <v>557</v>
      </c>
      <c r="M912" t="s">
        <v>558</v>
      </c>
      <c r="O912" t="s">
        <v>559</v>
      </c>
      <c r="P912" t="s">
        <v>560</v>
      </c>
      <c r="Q912" t="s">
        <v>37</v>
      </c>
      <c r="R912">
        <v>3</v>
      </c>
      <c r="S912" t="s">
        <v>561</v>
      </c>
      <c r="T912" t="s">
        <v>60</v>
      </c>
      <c r="U912" t="s">
        <v>157</v>
      </c>
      <c r="V912" t="s">
        <v>56</v>
      </c>
    </row>
    <row r="913" spans="1:22" hidden="1" x14ac:dyDescent="0.2">
      <c r="A913" t="s">
        <v>551</v>
      </c>
      <c r="B913" t="s">
        <v>23</v>
      </c>
      <c r="C913" t="s">
        <v>195</v>
      </c>
      <c r="D913" t="s">
        <v>25</v>
      </c>
      <c r="E913" t="s">
        <v>552</v>
      </c>
      <c r="F913" t="s">
        <v>553</v>
      </c>
      <c r="G913" t="s">
        <v>554</v>
      </c>
      <c r="H913" t="s">
        <v>555</v>
      </c>
      <c r="I913" t="s">
        <v>25</v>
      </c>
      <c r="J913" t="s">
        <v>556</v>
      </c>
      <c r="K913" t="s">
        <v>25</v>
      </c>
      <c r="L913" t="s">
        <v>557</v>
      </c>
      <c r="M913" t="s">
        <v>558</v>
      </c>
      <c r="O913" t="s">
        <v>559</v>
      </c>
      <c r="P913" t="s">
        <v>560</v>
      </c>
      <c r="Q913" t="s">
        <v>37</v>
      </c>
      <c r="R913">
        <v>3</v>
      </c>
      <c r="S913" t="s">
        <v>561</v>
      </c>
      <c r="T913" t="s">
        <v>60</v>
      </c>
      <c r="U913" t="s">
        <v>53</v>
      </c>
      <c r="V913" t="s">
        <v>257</v>
      </c>
    </row>
    <row r="914" spans="1:22" hidden="1" x14ac:dyDescent="0.2">
      <c r="A914" t="s">
        <v>551</v>
      </c>
      <c r="B914" t="s">
        <v>23</v>
      </c>
      <c r="C914" t="s">
        <v>195</v>
      </c>
      <c r="D914" t="s">
        <v>25</v>
      </c>
      <c r="E914" t="s">
        <v>552</v>
      </c>
      <c r="F914" t="s">
        <v>553</v>
      </c>
      <c r="G914" t="s">
        <v>554</v>
      </c>
      <c r="H914" t="s">
        <v>555</v>
      </c>
      <c r="I914" t="s">
        <v>25</v>
      </c>
      <c r="J914" t="s">
        <v>556</v>
      </c>
      <c r="K914" t="s">
        <v>25</v>
      </c>
      <c r="L914" t="s">
        <v>557</v>
      </c>
      <c r="M914" t="s">
        <v>558</v>
      </c>
      <c r="O914" t="s">
        <v>559</v>
      </c>
      <c r="P914" t="s">
        <v>560</v>
      </c>
      <c r="Q914" t="s">
        <v>37</v>
      </c>
      <c r="R914">
        <v>3</v>
      </c>
      <c r="S914" t="s">
        <v>561</v>
      </c>
      <c r="T914" t="s">
        <v>60</v>
      </c>
      <c r="U914" t="s">
        <v>157</v>
      </c>
      <c r="V914" t="s">
        <v>183</v>
      </c>
    </row>
    <row r="915" spans="1:22" hidden="1" x14ac:dyDescent="0.2">
      <c r="A915" t="s">
        <v>551</v>
      </c>
      <c r="B915" t="s">
        <v>23</v>
      </c>
      <c r="C915" t="s">
        <v>195</v>
      </c>
      <c r="D915" t="s">
        <v>25</v>
      </c>
      <c r="E915" t="s">
        <v>552</v>
      </c>
      <c r="F915" t="s">
        <v>553</v>
      </c>
      <c r="G915" t="s">
        <v>554</v>
      </c>
      <c r="H915" t="s">
        <v>555</v>
      </c>
      <c r="I915" t="s">
        <v>25</v>
      </c>
      <c r="J915" t="s">
        <v>556</v>
      </c>
      <c r="K915" t="s">
        <v>25</v>
      </c>
      <c r="L915" t="s">
        <v>557</v>
      </c>
      <c r="M915" t="s">
        <v>558</v>
      </c>
      <c r="O915" t="s">
        <v>559</v>
      </c>
      <c r="P915" t="s">
        <v>560</v>
      </c>
      <c r="Q915" t="s">
        <v>37</v>
      </c>
      <c r="R915">
        <v>3</v>
      </c>
      <c r="S915" t="s">
        <v>561</v>
      </c>
      <c r="T915" t="s">
        <v>60</v>
      </c>
      <c r="U915" t="s">
        <v>53</v>
      </c>
      <c r="V915" t="s">
        <v>508</v>
      </c>
    </row>
    <row r="916" spans="1:22" hidden="1" x14ac:dyDescent="0.2">
      <c r="A916" t="s">
        <v>551</v>
      </c>
      <c r="B916" t="s">
        <v>23</v>
      </c>
      <c r="C916" t="s">
        <v>195</v>
      </c>
      <c r="D916" t="s">
        <v>25</v>
      </c>
      <c r="E916" t="s">
        <v>552</v>
      </c>
      <c r="F916" t="s">
        <v>553</v>
      </c>
      <c r="G916" t="s">
        <v>554</v>
      </c>
      <c r="H916" t="s">
        <v>555</v>
      </c>
      <c r="I916" t="s">
        <v>25</v>
      </c>
      <c r="J916" t="s">
        <v>556</v>
      </c>
      <c r="K916" t="s">
        <v>25</v>
      </c>
      <c r="L916" t="s">
        <v>557</v>
      </c>
      <c r="M916" t="s">
        <v>558</v>
      </c>
      <c r="O916" t="s">
        <v>559</v>
      </c>
      <c r="P916" t="s">
        <v>560</v>
      </c>
      <c r="Q916" t="s">
        <v>37</v>
      </c>
      <c r="R916">
        <v>3</v>
      </c>
      <c r="S916" t="s">
        <v>561</v>
      </c>
      <c r="T916" t="s">
        <v>60</v>
      </c>
      <c r="U916" t="s">
        <v>157</v>
      </c>
      <c r="V916" t="s">
        <v>197</v>
      </c>
    </row>
    <row r="917" spans="1:22" hidden="1" x14ac:dyDescent="0.2">
      <c r="A917" t="s">
        <v>551</v>
      </c>
      <c r="B917" t="s">
        <v>23</v>
      </c>
      <c r="C917" t="s">
        <v>195</v>
      </c>
      <c r="D917" t="s">
        <v>25</v>
      </c>
      <c r="E917" t="s">
        <v>552</v>
      </c>
      <c r="F917" t="s">
        <v>553</v>
      </c>
      <c r="G917" t="s">
        <v>554</v>
      </c>
      <c r="H917" t="s">
        <v>555</v>
      </c>
      <c r="I917" t="s">
        <v>25</v>
      </c>
      <c r="J917" t="s">
        <v>556</v>
      </c>
      <c r="K917" t="s">
        <v>25</v>
      </c>
      <c r="L917" t="s">
        <v>557</v>
      </c>
      <c r="M917" t="s">
        <v>558</v>
      </c>
      <c r="O917" t="s">
        <v>559</v>
      </c>
      <c r="P917" t="s">
        <v>560</v>
      </c>
      <c r="Q917" t="s">
        <v>37</v>
      </c>
      <c r="R917">
        <v>3</v>
      </c>
      <c r="S917" t="s">
        <v>561</v>
      </c>
      <c r="T917" t="s">
        <v>131</v>
      </c>
      <c r="U917" t="s">
        <v>157</v>
      </c>
      <c r="V917" t="s">
        <v>56</v>
      </c>
    </row>
    <row r="918" spans="1:22" hidden="1" x14ac:dyDescent="0.2">
      <c r="A918" t="s">
        <v>551</v>
      </c>
      <c r="B918" t="s">
        <v>23</v>
      </c>
      <c r="C918" t="s">
        <v>195</v>
      </c>
      <c r="D918" t="s">
        <v>25</v>
      </c>
      <c r="E918" t="s">
        <v>552</v>
      </c>
      <c r="F918" t="s">
        <v>553</v>
      </c>
      <c r="G918" t="s">
        <v>554</v>
      </c>
      <c r="H918" t="s">
        <v>555</v>
      </c>
      <c r="I918" t="s">
        <v>25</v>
      </c>
      <c r="J918" t="s">
        <v>556</v>
      </c>
      <c r="K918" t="s">
        <v>25</v>
      </c>
      <c r="L918" t="s">
        <v>557</v>
      </c>
      <c r="M918" t="s">
        <v>558</v>
      </c>
      <c r="O918" t="s">
        <v>559</v>
      </c>
      <c r="P918" t="s">
        <v>560</v>
      </c>
      <c r="Q918" t="s">
        <v>37</v>
      </c>
      <c r="R918">
        <v>3</v>
      </c>
      <c r="S918" t="s">
        <v>561</v>
      </c>
      <c r="T918" t="s">
        <v>131</v>
      </c>
      <c r="U918" t="s">
        <v>53</v>
      </c>
      <c r="V918" t="s">
        <v>257</v>
      </c>
    </row>
    <row r="919" spans="1:22" hidden="1" x14ac:dyDescent="0.2">
      <c r="A919" t="s">
        <v>551</v>
      </c>
      <c r="B919" t="s">
        <v>23</v>
      </c>
      <c r="C919" t="s">
        <v>195</v>
      </c>
      <c r="D919" t="s">
        <v>25</v>
      </c>
      <c r="E919" t="s">
        <v>552</v>
      </c>
      <c r="F919" t="s">
        <v>553</v>
      </c>
      <c r="G919" t="s">
        <v>554</v>
      </c>
      <c r="H919" t="s">
        <v>555</v>
      </c>
      <c r="I919" t="s">
        <v>25</v>
      </c>
      <c r="J919" t="s">
        <v>556</v>
      </c>
      <c r="K919" t="s">
        <v>25</v>
      </c>
      <c r="L919" t="s">
        <v>557</v>
      </c>
      <c r="M919" t="s">
        <v>558</v>
      </c>
      <c r="O919" t="s">
        <v>559</v>
      </c>
      <c r="P919" t="s">
        <v>560</v>
      </c>
      <c r="Q919" t="s">
        <v>37</v>
      </c>
      <c r="R919">
        <v>3</v>
      </c>
      <c r="S919" t="s">
        <v>561</v>
      </c>
      <c r="T919" t="s">
        <v>131</v>
      </c>
      <c r="U919" t="s">
        <v>157</v>
      </c>
      <c r="V919" t="s">
        <v>183</v>
      </c>
    </row>
    <row r="920" spans="1:22" hidden="1" x14ac:dyDescent="0.2">
      <c r="A920" t="s">
        <v>551</v>
      </c>
      <c r="B920" t="s">
        <v>23</v>
      </c>
      <c r="C920" t="s">
        <v>195</v>
      </c>
      <c r="D920" t="s">
        <v>25</v>
      </c>
      <c r="E920" t="s">
        <v>552</v>
      </c>
      <c r="F920" t="s">
        <v>553</v>
      </c>
      <c r="G920" t="s">
        <v>554</v>
      </c>
      <c r="H920" t="s">
        <v>555</v>
      </c>
      <c r="I920" t="s">
        <v>25</v>
      </c>
      <c r="J920" t="s">
        <v>556</v>
      </c>
      <c r="K920" t="s">
        <v>25</v>
      </c>
      <c r="L920" t="s">
        <v>557</v>
      </c>
      <c r="M920" t="s">
        <v>558</v>
      </c>
      <c r="O920" t="s">
        <v>559</v>
      </c>
      <c r="P920" t="s">
        <v>560</v>
      </c>
      <c r="Q920" t="s">
        <v>37</v>
      </c>
      <c r="R920">
        <v>3</v>
      </c>
      <c r="S920" t="s">
        <v>561</v>
      </c>
      <c r="T920" t="s">
        <v>131</v>
      </c>
      <c r="U920" t="s">
        <v>53</v>
      </c>
      <c r="V920" t="s">
        <v>508</v>
      </c>
    </row>
    <row r="921" spans="1:22" hidden="1" x14ac:dyDescent="0.2">
      <c r="A921" t="s">
        <v>551</v>
      </c>
      <c r="B921" t="s">
        <v>23</v>
      </c>
      <c r="C921" t="s">
        <v>195</v>
      </c>
      <c r="D921" t="s">
        <v>25</v>
      </c>
      <c r="E921" t="s">
        <v>552</v>
      </c>
      <c r="F921" t="s">
        <v>553</v>
      </c>
      <c r="G921" t="s">
        <v>554</v>
      </c>
      <c r="H921" t="s">
        <v>555</v>
      </c>
      <c r="I921" t="s">
        <v>25</v>
      </c>
      <c r="J921" t="s">
        <v>556</v>
      </c>
      <c r="K921" t="s">
        <v>25</v>
      </c>
      <c r="L921" t="s">
        <v>557</v>
      </c>
      <c r="M921" t="s">
        <v>558</v>
      </c>
      <c r="O921" t="s">
        <v>559</v>
      </c>
      <c r="P921" t="s">
        <v>560</v>
      </c>
      <c r="Q921" t="s">
        <v>37</v>
      </c>
      <c r="R921">
        <v>3</v>
      </c>
      <c r="S921" t="s">
        <v>561</v>
      </c>
      <c r="T921" t="s">
        <v>131</v>
      </c>
      <c r="U921" t="s">
        <v>157</v>
      </c>
      <c r="V921" t="s">
        <v>197</v>
      </c>
    </row>
    <row r="922" spans="1:22" hidden="1" x14ac:dyDescent="0.2">
      <c r="A922" t="s">
        <v>551</v>
      </c>
      <c r="B922" t="s">
        <v>23</v>
      </c>
      <c r="C922" t="s">
        <v>195</v>
      </c>
      <c r="D922" t="s">
        <v>25</v>
      </c>
      <c r="E922" t="s">
        <v>552</v>
      </c>
      <c r="F922" t="s">
        <v>553</v>
      </c>
      <c r="G922" t="s">
        <v>554</v>
      </c>
      <c r="H922" t="s">
        <v>555</v>
      </c>
      <c r="I922" t="s">
        <v>25</v>
      </c>
      <c r="J922" t="s">
        <v>556</v>
      </c>
      <c r="K922" t="s">
        <v>25</v>
      </c>
      <c r="L922" t="s">
        <v>557</v>
      </c>
      <c r="M922" t="s">
        <v>558</v>
      </c>
      <c r="O922" t="s">
        <v>559</v>
      </c>
      <c r="P922" t="s">
        <v>560</v>
      </c>
      <c r="Q922" t="s">
        <v>37</v>
      </c>
      <c r="R922">
        <v>3</v>
      </c>
      <c r="S922" t="s">
        <v>561</v>
      </c>
      <c r="T922" t="s">
        <v>141</v>
      </c>
      <c r="U922" t="s">
        <v>157</v>
      </c>
      <c r="V922" t="s">
        <v>56</v>
      </c>
    </row>
    <row r="923" spans="1:22" hidden="1" x14ac:dyDescent="0.2">
      <c r="A923" t="s">
        <v>551</v>
      </c>
      <c r="B923" t="s">
        <v>23</v>
      </c>
      <c r="C923" t="s">
        <v>195</v>
      </c>
      <c r="D923" t="s">
        <v>25</v>
      </c>
      <c r="E923" t="s">
        <v>552</v>
      </c>
      <c r="F923" t="s">
        <v>553</v>
      </c>
      <c r="G923" t="s">
        <v>554</v>
      </c>
      <c r="H923" t="s">
        <v>555</v>
      </c>
      <c r="I923" t="s">
        <v>25</v>
      </c>
      <c r="J923" t="s">
        <v>556</v>
      </c>
      <c r="K923" t="s">
        <v>25</v>
      </c>
      <c r="L923" t="s">
        <v>557</v>
      </c>
      <c r="M923" t="s">
        <v>558</v>
      </c>
      <c r="O923" t="s">
        <v>559</v>
      </c>
      <c r="P923" t="s">
        <v>560</v>
      </c>
      <c r="Q923" t="s">
        <v>37</v>
      </c>
      <c r="R923">
        <v>3</v>
      </c>
      <c r="S923" t="s">
        <v>561</v>
      </c>
      <c r="T923" t="s">
        <v>141</v>
      </c>
      <c r="U923" t="s">
        <v>53</v>
      </c>
      <c r="V923" t="s">
        <v>257</v>
      </c>
    </row>
    <row r="924" spans="1:22" hidden="1" x14ac:dyDescent="0.2">
      <c r="A924" t="s">
        <v>551</v>
      </c>
      <c r="B924" t="s">
        <v>23</v>
      </c>
      <c r="C924" t="s">
        <v>195</v>
      </c>
      <c r="D924" t="s">
        <v>25</v>
      </c>
      <c r="E924" t="s">
        <v>552</v>
      </c>
      <c r="F924" t="s">
        <v>553</v>
      </c>
      <c r="G924" t="s">
        <v>554</v>
      </c>
      <c r="H924" t="s">
        <v>555</v>
      </c>
      <c r="I924" t="s">
        <v>25</v>
      </c>
      <c r="J924" t="s">
        <v>556</v>
      </c>
      <c r="K924" t="s">
        <v>25</v>
      </c>
      <c r="L924" t="s">
        <v>557</v>
      </c>
      <c r="M924" t="s">
        <v>558</v>
      </c>
      <c r="O924" t="s">
        <v>559</v>
      </c>
      <c r="P924" t="s">
        <v>560</v>
      </c>
      <c r="Q924" t="s">
        <v>37</v>
      </c>
      <c r="R924">
        <v>3</v>
      </c>
      <c r="S924" t="s">
        <v>561</v>
      </c>
      <c r="T924" t="s">
        <v>141</v>
      </c>
      <c r="U924" t="s">
        <v>157</v>
      </c>
      <c r="V924" t="s">
        <v>183</v>
      </c>
    </row>
    <row r="925" spans="1:22" hidden="1" x14ac:dyDescent="0.2">
      <c r="A925" t="s">
        <v>551</v>
      </c>
      <c r="B925" t="s">
        <v>23</v>
      </c>
      <c r="C925" t="s">
        <v>195</v>
      </c>
      <c r="D925" t="s">
        <v>25</v>
      </c>
      <c r="E925" t="s">
        <v>552</v>
      </c>
      <c r="F925" t="s">
        <v>553</v>
      </c>
      <c r="G925" t="s">
        <v>554</v>
      </c>
      <c r="H925" t="s">
        <v>555</v>
      </c>
      <c r="I925" t="s">
        <v>25</v>
      </c>
      <c r="J925" t="s">
        <v>556</v>
      </c>
      <c r="K925" t="s">
        <v>25</v>
      </c>
      <c r="L925" t="s">
        <v>557</v>
      </c>
      <c r="M925" t="s">
        <v>558</v>
      </c>
      <c r="O925" t="s">
        <v>559</v>
      </c>
      <c r="P925" t="s">
        <v>560</v>
      </c>
      <c r="Q925" t="s">
        <v>37</v>
      </c>
      <c r="R925">
        <v>3</v>
      </c>
      <c r="S925" t="s">
        <v>561</v>
      </c>
      <c r="T925" t="s">
        <v>141</v>
      </c>
      <c r="U925" t="s">
        <v>53</v>
      </c>
      <c r="V925" t="s">
        <v>508</v>
      </c>
    </row>
    <row r="926" spans="1:22" hidden="1" x14ac:dyDescent="0.2">
      <c r="A926" t="s">
        <v>551</v>
      </c>
      <c r="B926" t="s">
        <v>23</v>
      </c>
      <c r="C926" t="s">
        <v>195</v>
      </c>
      <c r="D926" t="s">
        <v>25</v>
      </c>
      <c r="E926" t="s">
        <v>552</v>
      </c>
      <c r="F926" t="s">
        <v>553</v>
      </c>
      <c r="G926" t="s">
        <v>554</v>
      </c>
      <c r="H926" t="s">
        <v>555</v>
      </c>
      <c r="I926" t="s">
        <v>25</v>
      </c>
      <c r="J926" t="s">
        <v>556</v>
      </c>
      <c r="K926" t="s">
        <v>25</v>
      </c>
      <c r="L926" t="s">
        <v>557</v>
      </c>
      <c r="M926" t="s">
        <v>558</v>
      </c>
      <c r="O926" t="s">
        <v>559</v>
      </c>
      <c r="P926" t="s">
        <v>560</v>
      </c>
      <c r="Q926" t="s">
        <v>37</v>
      </c>
      <c r="R926">
        <v>3</v>
      </c>
      <c r="S926" t="s">
        <v>561</v>
      </c>
      <c r="T926" t="s">
        <v>141</v>
      </c>
      <c r="U926" t="s">
        <v>157</v>
      </c>
      <c r="V926" t="s">
        <v>197</v>
      </c>
    </row>
    <row r="927" spans="1:22" hidden="1" x14ac:dyDescent="0.2">
      <c r="A927" t="s">
        <v>551</v>
      </c>
      <c r="B927" t="s">
        <v>23</v>
      </c>
      <c r="C927" t="s">
        <v>195</v>
      </c>
      <c r="D927" t="s">
        <v>25</v>
      </c>
      <c r="E927" t="s">
        <v>552</v>
      </c>
      <c r="F927" t="s">
        <v>553</v>
      </c>
      <c r="G927" t="s">
        <v>554</v>
      </c>
      <c r="H927" t="s">
        <v>555</v>
      </c>
      <c r="I927" t="s">
        <v>25</v>
      </c>
      <c r="J927" t="s">
        <v>556</v>
      </c>
      <c r="K927" t="s">
        <v>25</v>
      </c>
      <c r="L927" t="s">
        <v>557</v>
      </c>
      <c r="M927" t="s">
        <v>558</v>
      </c>
      <c r="O927" t="s">
        <v>559</v>
      </c>
      <c r="P927" t="s">
        <v>560</v>
      </c>
      <c r="Q927" t="s">
        <v>37</v>
      </c>
      <c r="R927">
        <v>3</v>
      </c>
      <c r="S927" t="s">
        <v>561</v>
      </c>
      <c r="T927" t="s">
        <v>80</v>
      </c>
      <c r="U927" t="s">
        <v>157</v>
      </c>
      <c r="V927" t="s">
        <v>56</v>
      </c>
    </row>
    <row r="928" spans="1:22" hidden="1" x14ac:dyDescent="0.2">
      <c r="A928" t="s">
        <v>551</v>
      </c>
      <c r="B928" t="s">
        <v>23</v>
      </c>
      <c r="C928" t="s">
        <v>195</v>
      </c>
      <c r="D928" t="s">
        <v>25</v>
      </c>
      <c r="E928" t="s">
        <v>552</v>
      </c>
      <c r="F928" t="s">
        <v>553</v>
      </c>
      <c r="G928" t="s">
        <v>554</v>
      </c>
      <c r="H928" t="s">
        <v>555</v>
      </c>
      <c r="I928" t="s">
        <v>25</v>
      </c>
      <c r="J928" t="s">
        <v>556</v>
      </c>
      <c r="K928" t="s">
        <v>25</v>
      </c>
      <c r="L928" t="s">
        <v>557</v>
      </c>
      <c r="M928" t="s">
        <v>558</v>
      </c>
      <c r="O928" t="s">
        <v>559</v>
      </c>
      <c r="P928" t="s">
        <v>560</v>
      </c>
      <c r="Q928" t="s">
        <v>37</v>
      </c>
      <c r="R928">
        <v>3</v>
      </c>
      <c r="S928" t="s">
        <v>561</v>
      </c>
      <c r="T928" t="s">
        <v>80</v>
      </c>
      <c r="U928" t="s">
        <v>53</v>
      </c>
      <c r="V928" t="s">
        <v>257</v>
      </c>
    </row>
    <row r="929" spans="1:22" hidden="1" x14ac:dyDescent="0.2">
      <c r="A929" t="s">
        <v>551</v>
      </c>
      <c r="B929" t="s">
        <v>23</v>
      </c>
      <c r="C929" t="s">
        <v>195</v>
      </c>
      <c r="D929" t="s">
        <v>25</v>
      </c>
      <c r="E929" t="s">
        <v>552</v>
      </c>
      <c r="F929" t="s">
        <v>553</v>
      </c>
      <c r="G929" t="s">
        <v>554</v>
      </c>
      <c r="H929" t="s">
        <v>555</v>
      </c>
      <c r="I929" t="s">
        <v>25</v>
      </c>
      <c r="J929" t="s">
        <v>556</v>
      </c>
      <c r="K929" t="s">
        <v>25</v>
      </c>
      <c r="L929" t="s">
        <v>557</v>
      </c>
      <c r="M929" t="s">
        <v>558</v>
      </c>
      <c r="O929" t="s">
        <v>559</v>
      </c>
      <c r="P929" t="s">
        <v>560</v>
      </c>
      <c r="Q929" t="s">
        <v>37</v>
      </c>
      <c r="R929">
        <v>3</v>
      </c>
      <c r="S929" t="s">
        <v>561</v>
      </c>
      <c r="T929" t="s">
        <v>80</v>
      </c>
      <c r="U929" t="s">
        <v>157</v>
      </c>
      <c r="V929" t="s">
        <v>183</v>
      </c>
    </row>
    <row r="930" spans="1:22" hidden="1" x14ac:dyDescent="0.2">
      <c r="A930" t="s">
        <v>551</v>
      </c>
      <c r="B930" t="s">
        <v>23</v>
      </c>
      <c r="C930" t="s">
        <v>195</v>
      </c>
      <c r="D930" t="s">
        <v>25</v>
      </c>
      <c r="E930" t="s">
        <v>552</v>
      </c>
      <c r="F930" t="s">
        <v>553</v>
      </c>
      <c r="G930" t="s">
        <v>554</v>
      </c>
      <c r="H930" t="s">
        <v>555</v>
      </c>
      <c r="I930" t="s">
        <v>25</v>
      </c>
      <c r="J930" t="s">
        <v>556</v>
      </c>
      <c r="K930" t="s">
        <v>25</v>
      </c>
      <c r="L930" t="s">
        <v>557</v>
      </c>
      <c r="M930" t="s">
        <v>558</v>
      </c>
      <c r="O930" t="s">
        <v>559</v>
      </c>
      <c r="P930" t="s">
        <v>560</v>
      </c>
      <c r="Q930" t="s">
        <v>37</v>
      </c>
      <c r="R930">
        <v>3</v>
      </c>
      <c r="S930" t="s">
        <v>561</v>
      </c>
      <c r="T930" t="s">
        <v>80</v>
      </c>
      <c r="U930" t="s">
        <v>53</v>
      </c>
      <c r="V930" t="s">
        <v>508</v>
      </c>
    </row>
    <row r="931" spans="1:22" hidden="1" x14ac:dyDescent="0.2">
      <c r="A931" t="s">
        <v>551</v>
      </c>
      <c r="B931" t="s">
        <v>23</v>
      </c>
      <c r="C931" t="s">
        <v>195</v>
      </c>
      <c r="D931" t="s">
        <v>25</v>
      </c>
      <c r="E931" t="s">
        <v>552</v>
      </c>
      <c r="F931" t="s">
        <v>553</v>
      </c>
      <c r="G931" t="s">
        <v>554</v>
      </c>
      <c r="H931" t="s">
        <v>555</v>
      </c>
      <c r="I931" t="s">
        <v>25</v>
      </c>
      <c r="J931" t="s">
        <v>556</v>
      </c>
      <c r="K931" t="s">
        <v>25</v>
      </c>
      <c r="L931" t="s">
        <v>557</v>
      </c>
      <c r="M931" t="s">
        <v>558</v>
      </c>
      <c r="O931" t="s">
        <v>559</v>
      </c>
      <c r="P931" t="s">
        <v>560</v>
      </c>
      <c r="Q931" t="s">
        <v>37</v>
      </c>
      <c r="R931">
        <v>3</v>
      </c>
      <c r="S931" t="s">
        <v>561</v>
      </c>
      <c r="T931" t="s">
        <v>80</v>
      </c>
      <c r="U931" t="s">
        <v>157</v>
      </c>
      <c r="V931" t="s">
        <v>197</v>
      </c>
    </row>
    <row r="932" spans="1:22" hidden="1" x14ac:dyDescent="0.2">
      <c r="A932" t="s">
        <v>562</v>
      </c>
      <c r="B932" t="s">
        <v>23</v>
      </c>
      <c r="C932" t="s">
        <v>277</v>
      </c>
      <c r="D932" t="s">
        <v>563</v>
      </c>
      <c r="E932" t="s">
        <v>564</v>
      </c>
      <c r="F932" t="s">
        <v>565</v>
      </c>
      <c r="G932" t="s">
        <v>566</v>
      </c>
      <c r="H932" t="s">
        <v>567</v>
      </c>
      <c r="I932" t="s">
        <v>568</v>
      </c>
      <c r="J932" t="s">
        <v>569</v>
      </c>
      <c r="K932" t="s">
        <v>25</v>
      </c>
      <c r="L932" t="s">
        <v>570</v>
      </c>
      <c r="M932" t="s">
        <v>571</v>
      </c>
      <c r="O932" t="s">
        <v>572</v>
      </c>
      <c r="P932" t="s">
        <v>573</v>
      </c>
      <c r="Q932" t="s">
        <v>176</v>
      </c>
      <c r="R932" t="s">
        <v>177</v>
      </c>
      <c r="S932" t="s">
        <v>574</v>
      </c>
      <c r="T932" t="s">
        <v>39</v>
      </c>
      <c r="U932" t="s">
        <v>53</v>
      </c>
      <c r="V932" t="s">
        <v>114</v>
      </c>
    </row>
    <row r="933" spans="1:22" hidden="1" x14ac:dyDescent="0.2">
      <c r="A933" t="s">
        <v>562</v>
      </c>
      <c r="B933" t="s">
        <v>23</v>
      </c>
      <c r="C933" t="s">
        <v>277</v>
      </c>
      <c r="D933" t="s">
        <v>563</v>
      </c>
      <c r="E933" t="s">
        <v>564</v>
      </c>
      <c r="F933" t="s">
        <v>565</v>
      </c>
      <c r="G933" t="s">
        <v>566</v>
      </c>
      <c r="H933" t="s">
        <v>567</v>
      </c>
      <c r="I933" t="s">
        <v>568</v>
      </c>
      <c r="J933" t="s">
        <v>569</v>
      </c>
      <c r="K933" t="s">
        <v>25</v>
      </c>
      <c r="L933" t="s">
        <v>570</v>
      </c>
      <c r="M933" t="s">
        <v>571</v>
      </c>
      <c r="O933" t="s">
        <v>572</v>
      </c>
      <c r="P933" t="s">
        <v>573</v>
      </c>
      <c r="Q933" t="s">
        <v>176</v>
      </c>
      <c r="R933" t="s">
        <v>177</v>
      </c>
      <c r="S933" t="s">
        <v>574</v>
      </c>
      <c r="T933" t="s">
        <v>39</v>
      </c>
      <c r="U933" t="s">
        <v>55</v>
      </c>
      <c r="V933" t="s">
        <v>56</v>
      </c>
    </row>
    <row r="934" spans="1:22" hidden="1" x14ac:dyDescent="0.2">
      <c r="A934" t="s">
        <v>562</v>
      </c>
      <c r="B934" t="s">
        <v>23</v>
      </c>
      <c r="C934" t="s">
        <v>277</v>
      </c>
      <c r="D934" t="s">
        <v>563</v>
      </c>
      <c r="E934" t="s">
        <v>564</v>
      </c>
      <c r="F934" t="s">
        <v>565</v>
      </c>
      <c r="G934" t="s">
        <v>566</v>
      </c>
      <c r="H934" t="s">
        <v>567</v>
      </c>
      <c r="I934" t="s">
        <v>568</v>
      </c>
      <c r="J934" t="s">
        <v>569</v>
      </c>
      <c r="K934" t="s">
        <v>25</v>
      </c>
      <c r="L934" t="s">
        <v>570</v>
      </c>
      <c r="M934" t="s">
        <v>571</v>
      </c>
      <c r="O934" t="s">
        <v>572</v>
      </c>
      <c r="P934" t="s">
        <v>573</v>
      </c>
      <c r="Q934" t="s">
        <v>176</v>
      </c>
      <c r="R934" t="s">
        <v>177</v>
      </c>
      <c r="S934" t="s">
        <v>574</v>
      </c>
      <c r="T934" t="s">
        <v>39</v>
      </c>
      <c r="U934" t="s">
        <v>157</v>
      </c>
      <c r="V934" t="s">
        <v>541</v>
      </c>
    </row>
    <row r="935" spans="1:22" hidden="1" x14ac:dyDescent="0.2">
      <c r="A935" t="s">
        <v>562</v>
      </c>
      <c r="B935" t="s">
        <v>23</v>
      </c>
      <c r="C935" t="s">
        <v>277</v>
      </c>
      <c r="D935" t="s">
        <v>563</v>
      </c>
      <c r="E935" t="s">
        <v>564</v>
      </c>
      <c r="F935" t="s">
        <v>565</v>
      </c>
      <c r="G935" t="s">
        <v>566</v>
      </c>
      <c r="H935" t="s">
        <v>567</v>
      </c>
      <c r="I935" t="s">
        <v>568</v>
      </c>
      <c r="J935" t="s">
        <v>569</v>
      </c>
      <c r="K935" t="s">
        <v>25</v>
      </c>
      <c r="L935" t="s">
        <v>570</v>
      </c>
      <c r="M935" t="s">
        <v>571</v>
      </c>
      <c r="O935" t="s">
        <v>572</v>
      </c>
      <c r="P935" t="s">
        <v>573</v>
      </c>
      <c r="Q935" t="s">
        <v>176</v>
      </c>
      <c r="R935" t="s">
        <v>177</v>
      </c>
      <c r="S935" t="s">
        <v>574</v>
      </c>
      <c r="T935" t="s">
        <v>59</v>
      </c>
      <c r="U935" t="s">
        <v>53</v>
      </c>
      <c r="V935" t="s">
        <v>114</v>
      </c>
    </row>
    <row r="936" spans="1:22" hidden="1" x14ac:dyDescent="0.2">
      <c r="A936" t="s">
        <v>562</v>
      </c>
      <c r="B936" t="s">
        <v>23</v>
      </c>
      <c r="C936" t="s">
        <v>277</v>
      </c>
      <c r="D936" t="s">
        <v>563</v>
      </c>
      <c r="E936" t="s">
        <v>564</v>
      </c>
      <c r="F936" t="s">
        <v>565</v>
      </c>
      <c r="G936" t="s">
        <v>566</v>
      </c>
      <c r="H936" t="s">
        <v>567</v>
      </c>
      <c r="I936" t="s">
        <v>568</v>
      </c>
      <c r="J936" t="s">
        <v>569</v>
      </c>
      <c r="K936" t="s">
        <v>25</v>
      </c>
      <c r="L936" t="s">
        <v>570</v>
      </c>
      <c r="M936" t="s">
        <v>571</v>
      </c>
      <c r="O936" t="s">
        <v>572</v>
      </c>
      <c r="P936" t="s">
        <v>573</v>
      </c>
      <c r="Q936" t="s">
        <v>176</v>
      </c>
      <c r="R936" t="s">
        <v>177</v>
      </c>
      <c r="S936" t="s">
        <v>574</v>
      </c>
      <c r="T936" t="s">
        <v>59</v>
      </c>
      <c r="U936" t="s">
        <v>55</v>
      </c>
      <c r="V936" t="s">
        <v>56</v>
      </c>
    </row>
    <row r="937" spans="1:22" hidden="1" x14ac:dyDescent="0.2">
      <c r="A937" t="s">
        <v>562</v>
      </c>
      <c r="B937" t="s">
        <v>23</v>
      </c>
      <c r="C937" t="s">
        <v>277</v>
      </c>
      <c r="D937" t="s">
        <v>563</v>
      </c>
      <c r="E937" t="s">
        <v>564</v>
      </c>
      <c r="F937" t="s">
        <v>565</v>
      </c>
      <c r="G937" t="s">
        <v>566</v>
      </c>
      <c r="H937" t="s">
        <v>567</v>
      </c>
      <c r="I937" t="s">
        <v>568</v>
      </c>
      <c r="J937" t="s">
        <v>569</v>
      </c>
      <c r="K937" t="s">
        <v>25</v>
      </c>
      <c r="L937" t="s">
        <v>570</v>
      </c>
      <c r="M937" t="s">
        <v>571</v>
      </c>
      <c r="O937" t="s">
        <v>572</v>
      </c>
      <c r="P937" t="s">
        <v>573</v>
      </c>
      <c r="Q937" t="s">
        <v>176</v>
      </c>
      <c r="R937" t="s">
        <v>177</v>
      </c>
      <c r="S937" t="s">
        <v>574</v>
      </c>
      <c r="T937" t="s">
        <v>59</v>
      </c>
      <c r="U937" t="s">
        <v>157</v>
      </c>
      <c r="V937" t="s">
        <v>541</v>
      </c>
    </row>
    <row r="938" spans="1:22" hidden="1" x14ac:dyDescent="0.2">
      <c r="A938" t="s">
        <v>562</v>
      </c>
      <c r="B938" t="s">
        <v>23</v>
      </c>
      <c r="C938" t="s">
        <v>277</v>
      </c>
      <c r="D938" t="s">
        <v>563</v>
      </c>
      <c r="E938" t="s">
        <v>564</v>
      </c>
      <c r="F938" t="s">
        <v>565</v>
      </c>
      <c r="G938" t="s">
        <v>566</v>
      </c>
      <c r="H938" t="s">
        <v>567</v>
      </c>
      <c r="I938" t="s">
        <v>568</v>
      </c>
      <c r="J938" t="s">
        <v>569</v>
      </c>
      <c r="K938" t="s">
        <v>25</v>
      </c>
      <c r="L938" t="s">
        <v>570</v>
      </c>
      <c r="M938" t="s">
        <v>571</v>
      </c>
      <c r="O938" t="s">
        <v>572</v>
      </c>
      <c r="P938" t="s">
        <v>573</v>
      </c>
      <c r="Q938" t="s">
        <v>176</v>
      </c>
      <c r="R938" t="s">
        <v>177</v>
      </c>
      <c r="S938" t="s">
        <v>574</v>
      </c>
      <c r="T938" t="s">
        <v>60</v>
      </c>
      <c r="U938" t="s">
        <v>53</v>
      </c>
      <c r="V938" t="s">
        <v>114</v>
      </c>
    </row>
    <row r="939" spans="1:22" hidden="1" x14ac:dyDescent="0.2">
      <c r="A939" t="s">
        <v>562</v>
      </c>
      <c r="B939" t="s">
        <v>23</v>
      </c>
      <c r="C939" t="s">
        <v>277</v>
      </c>
      <c r="D939" t="s">
        <v>563</v>
      </c>
      <c r="E939" t="s">
        <v>564</v>
      </c>
      <c r="F939" t="s">
        <v>565</v>
      </c>
      <c r="G939" t="s">
        <v>566</v>
      </c>
      <c r="H939" t="s">
        <v>567</v>
      </c>
      <c r="I939" t="s">
        <v>568</v>
      </c>
      <c r="J939" t="s">
        <v>569</v>
      </c>
      <c r="K939" t="s">
        <v>25</v>
      </c>
      <c r="L939" t="s">
        <v>570</v>
      </c>
      <c r="M939" t="s">
        <v>571</v>
      </c>
      <c r="O939" t="s">
        <v>572</v>
      </c>
      <c r="P939" t="s">
        <v>573</v>
      </c>
      <c r="Q939" t="s">
        <v>176</v>
      </c>
      <c r="R939" t="s">
        <v>177</v>
      </c>
      <c r="S939" t="s">
        <v>574</v>
      </c>
      <c r="T939" t="s">
        <v>60</v>
      </c>
      <c r="U939" t="s">
        <v>55</v>
      </c>
      <c r="V939" t="s">
        <v>56</v>
      </c>
    </row>
    <row r="940" spans="1:22" hidden="1" x14ac:dyDescent="0.2">
      <c r="A940" t="s">
        <v>562</v>
      </c>
      <c r="B940" t="s">
        <v>23</v>
      </c>
      <c r="C940" t="s">
        <v>277</v>
      </c>
      <c r="D940" t="s">
        <v>563</v>
      </c>
      <c r="E940" t="s">
        <v>564</v>
      </c>
      <c r="F940" t="s">
        <v>565</v>
      </c>
      <c r="G940" t="s">
        <v>566</v>
      </c>
      <c r="H940" t="s">
        <v>567</v>
      </c>
      <c r="I940" t="s">
        <v>568</v>
      </c>
      <c r="J940" t="s">
        <v>569</v>
      </c>
      <c r="K940" t="s">
        <v>25</v>
      </c>
      <c r="L940" t="s">
        <v>570</v>
      </c>
      <c r="M940" t="s">
        <v>571</v>
      </c>
      <c r="O940" t="s">
        <v>572</v>
      </c>
      <c r="P940" t="s">
        <v>573</v>
      </c>
      <c r="Q940" t="s">
        <v>176</v>
      </c>
      <c r="R940" t="s">
        <v>177</v>
      </c>
      <c r="S940" t="s">
        <v>574</v>
      </c>
      <c r="T940" t="s">
        <v>60</v>
      </c>
      <c r="U940" t="s">
        <v>157</v>
      </c>
      <c r="V940" t="s">
        <v>541</v>
      </c>
    </row>
    <row r="941" spans="1:22" hidden="1" x14ac:dyDescent="0.2">
      <c r="A941" t="s">
        <v>562</v>
      </c>
      <c r="B941" t="s">
        <v>23</v>
      </c>
      <c r="C941" t="s">
        <v>277</v>
      </c>
      <c r="D941" t="s">
        <v>563</v>
      </c>
      <c r="E941" t="s">
        <v>564</v>
      </c>
      <c r="F941" t="s">
        <v>565</v>
      </c>
      <c r="G941" t="s">
        <v>566</v>
      </c>
      <c r="H941" t="s">
        <v>567</v>
      </c>
      <c r="I941" t="s">
        <v>568</v>
      </c>
      <c r="J941" t="s">
        <v>569</v>
      </c>
      <c r="K941" t="s">
        <v>25</v>
      </c>
      <c r="L941" t="s">
        <v>570</v>
      </c>
      <c r="M941" t="s">
        <v>571</v>
      </c>
      <c r="O941" t="s">
        <v>572</v>
      </c>
      <c r="P941" t="s">
        <v>573</v>
      </c>
      <c r="Q941" t="s">
        <v>176</v>
      </c>
      <c r="R941" t="s">
        <v>177</v>
      </c>
      <c r="S941" t="s">
        <v>574</v>
      </c>
      <c r="T941" t="s">
        <v>61</v>
      </c>
      <c r="U941" t="s">
        <v>53</v>
      </c>
      <c r="V941" t="s">
        <v>114</v>
      </c>
    </row>
    <row r="942" spans="1:22" hidden="1" x14ac:dyDescent="0.2">
      <c r="A942" t="s">
        <v>562</v>
      </c>
      <c r="B942" t="s">
        <v>23</v>
      </c>
      <c r="C942" t="s">
        <v>277</v>
      </c>
      <c r="D942" t="s">
        <v>563</v>
      </c>
      <c r="E942" t="s">
        <v>564</v>
      </c>
      <c r="F942" t="s">
        <v>565</v>
      </c>
      <c r="G942" t="s">
        <v>566</v>
      </c>
      <c r="H942" t="s">
        <v>567</v>
      </c>
      <c r="I942" t="s">
        <v>568</v>
      </c>
      <c r="J942" t="s">
        <v>569</v>
      </c>
      <c r="K942" t="s">
        <v>25</v>
      </c>
      <c r="L942" t="s">
        <v>570</v>
      </c>
      <c r="M942" t="s">
        <v>571</v>
      </c>
      <c r="O942" t="s">
        <v>572</v>
      </c>
      <c r="P942" t="s">
        <v>573</v>
      </c>
      <c r="Q942" t="s">
        <v>176</v>
      </c>
      <c r="R942" t="s">
        <v>177</v>
      </c>
      <c r="S942" t="s">
        <v>574</v>
      </c>
      <c r="T942" t="s">
        <v>61</v>
      </c>
      <c r="U942" t="s">
        <v>55</v>
      </c>
      <c r="V942" t="s">
        <v>56</v>
      </c>
    </row>
    <row r="943" spans="1:22" hidden="1" x14ac:dyDescent="0.2">
      <c r="A943" t="s">
        <v>562</v>
      </c>
      <c r="B943" t="s">
        <v>23</v>
      </c>
      <c r="C943" t="s">
        <v>277</v>
      </c>
      <c r="D943" t="s">
        <v>563</v>
      </c>
      <c r="E943" t="s">
        <v>564</v>
      </c>
      <c r="F943" t="s">
        <v>565</v>
      </c>
      <c r="G943" t="s">
        <v>566</v>
      </c>
      <c r="H943" t="s">
        <v>567</v>
      </c>
      <c r="I943" t="s">
        <v>568</v>
      </c>
      <c r="J943" t="s">
        <v>569</v>
      </c>
      <c r="K943" t="s">
        <v>25</v>
      </c>
      <c r="L943" t="s">
        <v>570</v>
      </c>
      <c r="M943" t="s">
        <v>571</v>
      </c>
      <c r="O943" t="s">
        <v>572</v>
      </c>
      <c r="P943" t="s">
        <v>573</v>
      </c>
      <c r="Q943" t="s">
        <v>176</v>
      </c>
      <c r="R943" t="s">
        <v>177</v>
      </c>
      <c r="S943" t="s">
        <v>574</v>
      </c>
      <c r="T943" t="s">
        <v>61</v>
      </c>
      <c r="U943" t="s">
        <v>157</v>
      </c>
      <c r="V943" t="s">
        <v>541</v>
      </c>
    </row>
    <row r="944" spans="1:22" hidden="1" x14ac:dyDescent="0.2">
      <c r="A944" t="s">
        <v>562</v>
      </c>
      <c r="B944" t="s">
        <v>23</v>
      </c>
      <c r="C944" t="s">
        <v>277</v>
      </c>
      <c r="D944" t="s">
        <v>563</v>
      </c>
      <c r="E944" t="s">
        <v>564</v>
      </c>
      <c r="F944" t="s">
        <v>565</v>
      </c>
      <c r="G944" t="s">
        <v>566</v>
      </c>
      <c r="H944" t="s">
        <v>567</v>
      </c>
      <c r="I944" t="s">
        <v>568</v>
      </c>
      <c r="J944" t="s">
        <v>569</v>
      </c>
      <c r="K944" t="s">
        <v>25</v>
      </c>
      <c r="L944" t="s">
        <v>570</v>
      </c>
      <c r="M944" t="s">
        <v>571</v>
      </c>
      <c r="O944" t="s">
        <v>572</v>
      </c>
      <c r="P944" t="s">
        <v>575</v>
      </c>
      <c r="Q944" t="s">
        <v>176</v>
      </c>
      <c r="R944" t="s">
        <v>177</v>
      </c>
      <c r="S944" t="s">
        <v>576</v>
      </c>
      <c r="T944" t="s">
        <v>39</v>
      </c>
      <c r="U944" t="s">
        <v>53</v>
      </c>
      <c r="V944" t="s">
        <v>114</v>
      </c>
    </row>
    <row r="945" spans="1:22" hidden="1" x14ac:dyDescent="0.2">
      <c r="A945" t="s">
        <v>562</v>
      </c>
      <c r="B945" t="s">
        <v>23</v>
      </c>
      <c r="C945" t="s">
        <v>277</v>
      </c>
      <c r="D945" t="s">
        <v>563</v>
      </c>
      <c r="E945" t="s">
        <v>564</v>
      </c>
      <c r="F945" t="s">
        <v>565</v>
      </c>
      <c r="G945" t="s">
        <v>566</v>
      </c>
      <c r="H945" t="s">
        <v>567</v>
      </c>
      <c r="I945" t="s">
        <v>568</v>
      </c>
      <c r="J945" t="s">
        <v>569</v>
      </c>
      <c r="K945" t="s">
        <v>25</v>
      </c>
      <c r="L945" t="s">
        <v>570</v>
      </c>
      <c r="M945" t="s">
        <v>571</v>
      </c>
      <c r="O945" t="s">
        <v>572</v>
      </c>
      <c r="P945" t="s">
        <v>575</v>
      </c>
      <c r="Q945" t="s">
        <v>176</v>
      </c>
      <c r="R945" t="s">
        <v>177</v>
      </c>
      <c r="S945" t="s">
        <v>576</v>
      </c>
      <c r="T945" t="s">
        <v>39</v>
      </c>
      <c r="U945" t="s">
        <v>55</v>
      </c>
      <c r="V945" t="s">
        <v>56</v>
      </c>
    </row>
    <row r="946" spans="1:22" hidden="1" x14ac:dyDescent="0.2">
      <c r="A946" t="s">
        <v>562</v>
      </c>
      <c r="B946" t="s">
        <v>23</v>
      </c>
      <c r="C946" t="s">
        <v>277</v>
      </c>
      <c r="D946" t="s">
        <v>563</v>
      </c>
      <c r="E946" t="s">
        <v>564</v>
      </c>
      <c r="F946" t="s">
        <v>565</v>
      </c>
      <c r="G946" t="s">
        <v>566</v>
      </c>
      <c r="H946" t="s">
        <v>567</v>
      </c>
      <c r="I946" t="s">
        <v>568</v>
      </c>
      <c r="J946" t="s">
        <v>569</v>
      </c>
      <c r="K946" t="s">
        <v>25</v>
      </c>
      <c r="L946" t="s">
        <v>570</v>
      </c>
      <c r="M946" t="s">
        <v>571</v>
      </c>
      <c r="O946" t="s">
        <v>572</v>
      </c>
      <c r="P946" t="s">
        <v>575</v>
      </c>
      <c r="Q946" t="s">
        <v>176</v>
      </c>
      <c r="R946" t="s">
        <v>177</v>
      </c>
      <c r="S946" t="s">
        <v>576</v>
      </c>
      <c r="T946" t="s">
        <v>39</v>
      </c>
      <c r="U946" t="s">
        <v>157</v>
      </c>
      <c r="V946" t="s">
        <v>541</v>
      </c>
    </row>
    <row r="947" spans="1:22" hidden="1" x14ac:dyDescent="0.2">
      <c r="A947" t="s">
        <v>562</v>
      </c>
      <c r="B947" t="s">
        <v>23</v>
      </c>
      <c r="C947" t="s">
        <v>277</v>
      </c>
      <c r="D947" t="s">
        <v>563</v>
      </c>
      <c r="E947" t="s">
        <v>564</v>
      </c>
      <c r="F947" t="s">
        <v>565</v>
      </c>
      <c r="G947" t="s">
        <v>566</v>
      </c>
      <c r="H947" t="s">
        <v>567</v>
      </c>
      <c r="I947" t="s">
        <v>568</v>
      </c>
      <c r="J947" t="s">
        <v>569</v>
      </c>
      <c r="K947" t="s">
        <v>25</v>
      </c>
      <c r="L947" t="s">
        <v>570</v>
      </c>
      <c r="M947" t="s">
        <v>571</v>
      </c>
      <c r="O947" t="s">
        <v>572</v>
      </c>
      <c r="P947" t="s">
        <v>575</v>
      </c>
      <c r="Q947" t="s">
        <v>176</v>
      </c>
      <c r="R947" t="s">
        <v>177</v>
      </c>
      <c r="S947" t="s">
        <v>576</v>
      </c>
      <c r="T947" t="s">
        <v>59</v>
      </c>
      <c r="U947" t="s">
        <v>53</v>
      </c>
      <c r="V947" t="s">
        <v>114</v>
      </c>
    </row>
    <row r="948" spans="1:22" hidden="1" x14ac:dyDescent="0.2">
      <c r="A948" t="s">
        <v>562</v>
      </c>
      <c r="B948" t="s">
        <v>23</v>
      </c>
      <c r="C948" t="s">
        <v>277</v>
      </c>
      <c r="D948" t="s">
        <v>563</v>
      </c>
      <c r="E948" t="s">
        <v>564</v>
      </c>
      <c r="F948" t="s">
        <v>565</v>
      </c>
      <c r="G948" t="s">
        <v>566</v>
      </c>
      <c r="H948" t="s">
        <v>567</v>
      </c>
      <c r="I948" t="s">
        <v>568</v>
      </c>
      <c r="J948" t="s">
        <v>569</v>
      </c>
      <c r="K948" t="s">
        <v>25</v>
      </c>
      <c r="L948" t="s">
        <v>570</v>
      </c>
      <c r="M948" t="s">
        <v>571</v>
      </c>
      <c r="O948" t="s">
        <v>572</v>
      </c>
      <c r="P948" t="s">
        <v>575</v>
      </c>
      <c r="Q948" t="s">
        <v>176</v>
      </c>
      <c r="R948" t="s">
        <v>177</v>
      </c>
      <c r="S948" t="s">
        <v>576</v>
      </c>
      <c r="T948" t="s">
        <v>59</v>
      </c>
      <c r="U948" t="s">
        <v>55</v>
      </c>
      <c r="V948" t="s">
        <v>56</v>
      </c>
    </row>
    <row r="949" spans="1:22" hidden="1" x14ac:dyDescent="0.2">
      <c r="A949" t="s">
        <v>562</v>
      </c>
      <c r="B949" t="s">
        <v>23</v>
      </c>
      <c r="C949" t="s">
        <v>277</v>
      </c>
      <c r="D949" t="s">
        <v>563</v>
      </c>
      <c r="E949" t="s">
        <v>564</v>
      </c>
      <c r="F949" t="s">
        <v>565</v>
      </c>
      <c r="G949" t="s">
        <v>566</v>
      </c>
      <c r="H949" t="s">
        <v>567</v>
      </c>
      <c r="I949" t="s">
        <v>568</v>
      </c>
      <c r="J949" t="s">
        <v>569</v>
      </c>
      <c r="K949" t="s">
        <v>25</v>
      </c>
      <c r="L949" t="s">
        <v>570</v>
      </c>
      <c r="M949" t="s">
        <v>571</v>
      </c>
      <c r="O949" t="s">
        <v>572</v>
      </c>
      <c r="P949" t="s">
        <v>575</v>
      </c>
      <c r="Q949" t="s">
        <v>176</v>
      </c>
      <c r="R949" t="s">
        <v>177</v>
      </c>
      <c r="S949" t="s">
        <v>576</v>
      </c>
      <c r="T949" t="s">
        <v>59</v>
      </c>
      <c r="U949" t="s">
        <v>157</v>
      </c>
      <c r="V949" t="s">
        <v>541</v>
      </c>
    </row>
    <row r="950" spans="1:22" hidden="1" x14ac:dyDescent="0.2">
      <c r="A950" t="s">
        <v>562</v>
      </c>
      <c r="B950" t="s">
        <v>23</v>
      </c>
      <c r="C950" t="s">
        <v>277</v>
      </c>
      <c r="D950" t="s">
        <v>563</v>
      </c>
      <c r="E950" t="s">
        <v>564</v>
      </c>
      <c r="F950" t="s">
        <v>565</v>
      </c>
      <c r="G950" t="s">
        <v>566</v>
      </c>
      <c r="H950" t="s">
        <v>567</v>
      </c>
      <c r="I950" t="s">
        <v>568</v>
      </c>
      <c r="J950" t="s">
        <v>569</v>
      </c>
      <c r="K950" t="s">
        <v>25</v>
      </c>
      <c r="L950" t="s">
        <v>570</v>
      </c>
      <c r="M950" t="s">
        <v>571</v>
      </c>
      <c r="O950" t="s">
        <v>572</v>
      </c>
      <c r="P950" t="s">
        <v>575</v>
      </c>
      <c r="Q950" t="s">
        <v>176</v>
      </c>
      <c r="R950" t="s">
        <v>177</v>
      </c>
      <c r="S950" t="s">
        <v>576</v>
      </c>
      <c r="T950" t="s">
        <v>60</v>
      </c>
      <c r="U950" t="s">
        <v>53</v>
      </c>
      <c r="V950" t="s">
        <v>114</v>
      </c>
    </row>
    <row r="951" spans="1:22" hidden="1" x14ac:dyDescent="0.2">
      <c r="A951" t="s">
        <v>562</v>
      </c>
      <c r="B951" t="s">
        <v>23</v>
      </c>
      <c r="C951" t="s">
        <v>277</v>
      </c>
      <c r="D951" t="s">
        <v>563</v>
      </c>
      <c r="E951" t="s">
        <v>564</v>
      </c>
      <c r="F951" t="s">
        <v>565</v>
      </c>
      <c r="G951" t="s">
        <v>566</v>
      </c>
      <c r="H951" t="s">
        <v>567</v>
      </c>
      <c r="I951" t="s">
        <v>568</v>
      </c>
      <c r="J951" t="s">
        <v>569</v>
      </c>
      <c r="K951" t="s">
        <v>25</v>
      </c>
      <c r="L951" t="s">
        <v>570</v>
      </c>
      <c r="M951" t="s">
        <v>571</v>
      </c>
      <c r="O951" t="s">
        <v>572</v>
      </c>
      <c r="P951" t="s">
        <v>575</v>
      </c>
      <c r="Q951" t="s">
        <v>176</v>
      </c>
      <c r="R951" t="s">
        <v>177</v>
      </c>
      <c r="S951" t="s">
        <v>576</v>
      </c>
      <c r="T951" t="s">
        <v>60</v>
      </c>
      <c r="U951" t="s">
        <v>55</v>
      </c>
      <c r="V951" t="s">
        <v>56</v>
      </c>
    </row>
    <row r="952" spans="1:22" hidden="1" x14ac:dyDescent="0.2">
      <c r="A952" t="s">
        <v>562</v>
      </c>
      <c r="B952" t="s">
        <v>23</v>
      </c>
      <c r="C952" t="s">
        <v>277</v>
      </c>
      <c r="D952" t="s">
        <v>563</v>
      </c>
      <c r="E952" t="s">
        <v>564</v>
      </c>
      <c r="F952" t="s">
        <v>565</v>
      </c>
      <c r="G952" t="s">
        <v>566</v>
      </c>
      <c r="H952" t="s">
        <v>567</v>
      </c>
      <c r="I952" t="s">
        <v>568</v>
      </c>
      <c r="J952" t="s">
        <v>569</v>
      </c>
      <c r="K952" t="s">
        <v>25</v>
      </c>
      <c r="L952" t="s">
        <v>570</v>
      </c>
      <c r="M952" t="s">
        <v>571</v>
      </c>
      <c r="O952" t="s">
        <v>572</v>
      </c>
      <c r="P952" t="s">
        <v>575</v>
      </c>
      <c r="Q952" t="s">
        <v>176</v>
      </c>
      <c r="R952" t="s">
        <v>177</v>
      </c>
      <c r="S952" t="s">
        <v>576</v>
      </c>
      <c r="T952" t="s">
        <v>60</v>
      </c>
      <c r="U952" t="s">
        <v>157</v>
      </c>
      <c r="V952" t="s">
        <v>541</v>
      </c>
    </row>
    <row r="953" spans="1:22" hidden="1" x14ac:dyDescent="0.2">
      <c r="A953" t="s">
        <v>562</v>
      </c>
      <c r="B953" t="s">
        <v>23</v>
      </c>
      <c r="C953" t="s">
        <v>277</v>
      </c>
      <c r="D953" t="s">
        <v>563</v>
      </c>
      <c r="E953" t="s">
        <v>564</v>
      </c>
      <c r="F953" t="s">
        <v>565</v>
      </c>
      <c r="G953" t="s">
        <v>566</v>
      </c>
      <c r="H953" t="s">
        <v>567</v>
      </c>
      <c r="I953" t="s">
        <v>568</v>
      </c>
      <c r="J953" t="s">
        <v>569</v>
      </c>
      <c r="K953" t="s">
        <v>25</v>
      </c>
      <c r="L953" t="s">
        <v>570</v>
      </c>
      <c r="M953" t="s">
        <v>571</v>
      </c>
      <c r="O953" t="s">
        <v>572</v>
      </c>
      <c r="P953" t="s">
        <v>575</v>
      </c>
      <c r="Q953" t="s">
        <v>176</v>
      </c>
      <c r="R953" t="s">
        <v>177</v>
      </c>
      <c r="S953" t="s">
        <v>576</v>
      </c>
      <c r="T953" t="s">
        <v>61</v>
      </c>
      <c r="U953" t="s">
        <v>53</v>
      </c>
      <c r="V953" t="s">
        <v>114</v>
      </c>
    </row>
    <row r="954" spans="1:22" hidden="1" x14ac:dyDescent="0.2">
      <c r="A954" t="s">
        <v>562</v>
      </c>
      <c r="B954" t="s">
        <v>23</v>
      </c>
      <c r="C954" t="s">
        <v>277</v>
      </c>
      <c r="D954" t="s">
        <v>563</v>
      </c>
      <c r="E954" t="s">
        <v>564</v>
      </c>
      <c r="F954" t="s">
        <v>565</v>
      </c>
      <c r="G954" t="s">
        <v>566</v>
      </c>
      <c r="H954" t="s">
        <v>567</v>
      </c>
      <c r="I954" t="s">
        <v>568</v>
      </c>
      <c r="J954" t="s">
        <v>569</v>
      </c>
      <c r="K954" t="s">
        <v>25</v>
      </c>
      <c r="L954" t="s">
        <v>570</v>
      </c>
      <c r="M954" t="s">
        <v>571</v>
      </c>
      <c r="O954" t="s">
        <v>572</v>
      </c>
      <c r="P954" t="s">
        <v>575</v>
      </c>
      <c r="Q954" t="s">
        <v>176</v>
      </c>
      <c r="R954" t="s">
        <v>177</v>
      </c>
      <c r="S954" t="s">
        <v>576</v>
      </c>
      <c r="T954" t="s">
        <v>61</v>
      </c>
      <c r="U954" t="s">
        <v>55</v>
      </c>
      <c r="V954" t="s">
        <v>56</v>
      </c>
    </row>
    <row r="955" spans="1:22" hidden="1" x14ac:dyDescent="0.2">
      <c r="A955" t="s">
        <v>562</v>
      </c>
      <c r="B955" t="s">
        <v>23</v>
      </c>
      <c r="C955" t="s">
        <v>277</v>
      </c>
      <c r="D955" t="s">
        <v>563</v>
      </c>
      <c r="E955" t="s">
        <v>564</v>
      </c>
      <c r="F955" t="s">
        <v>565</v>
      </c>
      <c r="G955" t="s">
        <v>566</v>
      </c>
      <c r="H955" t="s">
        <v>567</v>
      </c>
      <c r="I955" t="s">
        <v>568</v>
      </c>
      <c r="J955" t="s">
        <v>569</v>
      </c>
      <c r="K955" t="s">
        <v>25</v>
      </c>
      <c r="L955" t="s">
        <v>570</v>
      </c>
      <c r="M955" t="s">
        <v>571</v>
      </c>
      <c r="O955" t="s">
        <v>572</v>
      </c>
      <c r="P955" t="s">
        <v>575</v>
      </c>
      <c r="Q955" t="s">
        <v>176</v>
      </c>
      <c r="R955" t="s">
        <v>177</v>
      </c>
      <c r="S955" t="s">
        <v>576</v>
      </c>
      <c r="T955" t="s">
        <v>61</v>
      </c>
      <c r="U955" t="s">
        <v>157</v>
      </c>
      <c r="V955" t="s">
        <v>541</v>
      </c>
    </row>
    <row r="956" spans="1:22" hidden="1" x14ac:dyDescent="0.2">
      <c r="A956" t="s">
        <v>562</v>
      </c>
      <c r="B956" t="s">
        <v>23</v>
      </c>
      <c r="C956" t="s">
        <v>277</v>
      </c>
      <c r="D956" t="s">
        <v>577</v>
      </c>
      <c r="E956" t="s">
        <v>564</v>
      </c>
      <c r="F956" t="s">
        <v>565</v>
      </c>
      <c r="G956" t="s">
        <v>566</v>
      </c>
      <c r="H956" t="s">
        <v>567</v>
      </c>
      <c r="I956" t="s">
        <v>568</v>
      </c>
      <c r="J956" t="s">
        <v>569</v>
      </c>
      <c r="K956" t="s">
        <v>25</v>
      </c>
      <c r="L956" t="s">
        <v>570</v>
      </c>
      <c r="M956" t="s">
        <v>571</v>
      </c>
      <c r="O956" t="s">
        <v>572</v>
      </c>
      <c r="P956" t="s">
        <v>573</v>
      </c>
      <c r="Q956" t="s">
        <v>176</v>
      </c>
      <c r="R956" t="s">
        <v>177</v>
      </c>
      <c r="S956" t="s">
        <v>574</v>
      </c>
      <c r="T956" t="s">
        <v>39</v>
      </c>
      <c r="U956" t="s">
        <v>53</v>
      </c>
      <c r="V956" t="s">
        <v>114</v>
      </c>
    </row>
    <row r="957" spans="1:22" hidden="1" x14ac:dyDescent="0.2">
      <c r="A957" t="s">
        <v>562</v>
      </c>
      <c r="B957" t="s">
        <v>23</v>
      </c>
      <c r="C957" t="s">
        <v>277</v>
      </c>
      <c r="D957" t="s">
        <v>577</v>
      </c>
      <c r="E957" t="s">
        <v>564</v>
      </c>
      <c r="F957" t="s">
        <v>565</v>
      </c>
      <c r="G957" t="s">
        <v>566</v>
      </c>
      <c r="H957" t="s">
        <v>567</v>
      </c>
      <c r="I957" t="s">
        <v>568</v>
      </c>
      <c r="J957" t="s">
        <v>569</v>
      </c>
      <c r="K957" t="s">
        <v>25</v>
      </c>
      <c r="L957" t="s">
        <v>570</v>
      </c>
      <c r="M957" t="s">
        <v>571</v>
      </c>
      <c r="O957" t="s">
        <v>572</v>
      </c>
      <c r="P957" t="s">
        <v>573</v>
      </c>
      <c r="Q957" t="s">
        <v>176</v>
      </c>
      <c r="R957" t="s">
        <v>177</v>
      </c>
      <c r="S957" t="s">
        <v>574</v>
      </c>
      <c r="T957" t="s">
        <v>39</v>
      </c>
      <c r="U957" t="s">
        <v>55</v>
      </c>
      <c r="V957" t="s">
        <v>56</v>
      </c>
    </row>
    <row r="958" spans="1:22" hidden="1" x14ac:dyDescent="0.2">
      <c r="A958" t="s">
        <v>562</v>
      </c>
      <c r="B958" t="s">
        <v>23</v>
      </c>
      <c r="C958" t="s">
        <v>277</v>
      </c>
      <c r="D958" t="s">
        <v>577</v>
      </c>
      <c r="E958" t="s">
        <v>564</v>
      </c>
      <c r="F958" t="s">
        <v>565</v>
      </c>
      <c r="G958" t="s">
        <v>566</v>
      </c>
      <c r="H958" t="s">
        <v>567</v>
      </c>
      <c r="I958" t="s">
        <v>568</v>
      </c>
      <c r="J958" t="s">
        <v>569</v>
      </c>
      <c r="K958" t="s">
        <v>25</v>
      </c>
      <c r="L958" t="s">
        <v>570</v>
      </c>
      <c r="M958" t="s">
        <v>571</v>
      </c>
      <c r="O958" t="s">
        <v>572</v>
      </c>
      <c r="P958" t="s">
        <v>573</v>
      </c>
      <c r="Q958" t="s">
        <v>176</v>
      </c>
      <c r="R958" t="s">
        <v>177</v>
      </c>
      <c r="S958" t="s">
        <v>574</v>
      </c>
      <c r="T958" t="s">
        <v>39</v>
      </c>
      <c r="U958" t="s">
        <v>157</v>
      </c>
      <c r="V958" t="s">
        <v>541</v>
      </c>
    </row>
    <row r="959" spans="1:22" hidden="1" x14ac:dyDescent="0.2">
      <c r="A959" t="s">
        <v>562</v>
      </c>
      <c r="B959" t="s">
        <v>23</v>
      </c>
      <c r="C959" t="s">
        <v>277</v>
      </c>
      <c r="D959" t="s">
        <v>577</v>
      </c>
      <c r="E959" t="s">
        <v>564</v>
      </c>
      <c r="F959" t="s">
        <v>565</v>
      </c>
      <c r="G959" t="s">
        <v>566</v>
      </c>
      <c r="H959" t="s">
        <v>567</v>
      </c>
      <c r="I959" t="s">
        <v>568</v>
      </c>
      <c r="J959" t="s">
        <v>569</v>
      </c>
      <c r="K959" t="s">
        <v>25</v>
      </c>
      <c r="L959" t="s">
        <v>570</v>
      </c>
      <c r="M959" t="s">
        <v>571</v>
      </c>
      <c r="O959" t="s">
        <v>572</v>
      </c>
      <c r="P959" t="s">
        <v>573</v>
      </c>
      <c r="Q959" t="s">
        <v>176</v>
      </c>
      <c r="R959" t="s">
        <v>177</v>
      </c>
      <c r="S959" t="s">
        <v>574</v>
      </c>
      <c r="T959" t="s">
        <v>59</v>
      </c>
      <c r="U959" t="s">
        <v>53</v>
      </c>
      <c r="V959" t="s">
        <v>114</v>
      </c>
    </row>
    <row r="960" spans="1:22" hidden="1" x14ac:dyDescent="0.2">
      <c r="A960" t="s">
        <v>562</v>
      </c>
      <c r="B960" t="s">
        <v>23</v>
      </c>
      <c r="C960" t="s">
        <v>277</v>
      </c>
      <c r="D960" t="s">
        <v>577</v>
      </c>
      <c r="E960" t="s">
        <v>564</v>
      </c>
      <c r="F960" t="s">
        <v>565</v>
      </c>
      <c r="G960" t="s">
        <v>566</v>
      </c>
      <c r="H960" t="s">
        <v>567</v>
      </c>
      <c r="I960" t="s">
        <v>568</v>
      </c>
      <c r="J960" t="s">
        <v>569</v>
      </c>
      <c r="K960" t="s">
        <v>25</v>
      </c>
      <c r="L960" t="s">
        <v>570</v>
      </c>
      <c r="M960" t="s">
        <v>571</v>
      </c>
      <c r="O960" t="s">
        <v>572</v>
      </c>
      <c r="P960" t="s">
        <v>573</v>
      </c>
      <c r="Q960" t="s">
        <v>176</v>
      </c>
      <c r="R960" t="s">
        <v>177</v>
      </c>
      <c r="S960" t="s">
        <v>574</v>
      </c>
      <c r="T960" t="s">
        <v>59</v>
      </c>
      <c r="U960" t="s">
        <v>55</v>
      </c>
      <c r="V960" t="s">
        <v>56</v>
      </c>
    </row>
    <row r="961" spans="1:22" hidden="1" x14ac:dyDescent="0.2">
      <c r="A961" t="s">
        <v>562</v>
      </c>
      <c r="B961" t="s">
        <v>23</v>
      </c>
      <c r="C961" t="s">
        <v>277</v>
      </c>
      <c r="D961" t="s">
        <v>577</v>
      </c>
      <c r="E961" t="s">
        <v>564</v>
      </c>
      <c r="F961" t="s">
        <v>565</v>
      </c>
      <c r="G961" t="s">
        <v>566</v>
      </c>
      <c r="H961" t="s">
        <v>567</v>
      </c>
      <c r="I961" t="s">
        <v>568</v>
      </c>
      <c r="J961" t="s">
        <v>569</v>
      </c>
      <c r="K961" t="s">
        <v>25</v>
      </c>
      <c r="L961" t="s">
        <v>570</v>
      </c>
      <c r="M961" t="s">
        <v>571</v>
      </c>
      <c r="O961" t="s">
        <v>572</v>
      </c>
      <c r="P961" t="s">
        <v>573</v>
      </c>
      <c r="Q961" t="s">
        <v>176</v>
      </c>
      <c r="R961" t="s">
        <v>177</v>
      </c>
      <c r="S961" t="s">
        <v>574</v>
      </c>
      <c r="T961" t="s">
        <v>59</v>
      </c>
      <c r="U961" t="s">
        <v>157</v>
      </c>
      <c r="V961" t="s">
        <v>541</v>
      </c>
    </row>
    <row r="962" spans="1:22" hidden="1" x14ac:dyDescent="0.2">
      <c r="A962" t="s">
        <v>562</v>
      </c>
      <c r="B962" t="s">
        <v>23</v>
      </c>
      <c r="C962" t="s">
        <v>277</v>
      </c>
      <c r="D962" t="s">
        <v>577</v>
      </c>
      <c r="E962" t="s">
        <v>564</v>
      </c>
      <c r="F962" t="s">
        <v>565</v>
      </c>
      <c r="G962" t="s">
        <v>566</v>
      </c>
      <c r="H962" t="s">
        <v>567</v>
      </c>
      <c r="I962" t="s">
        <v>568</v>
      </c>
      <c r="J962" t="s">
        <v>569</v>
      </c>
      <c r="K962" t="s">
        <v>25</v>
      </c>
      <c r="L962" t="s">
        <v>570</v>
      </c>
      <c r="M962" t="s">
        <v>571</v>
      </c>
      <c r="O962" t="s">
        <v>572</v>
      </c>
      <c r="P962" t="s">
        <v>573</v>
      </c>
      <c r="Q962" t="s">
        <v>176</v>
      </c>
      <c r="R962" t="s">
        <v>177</v>
      </c>
      <c r="S962" t="s">
        <v>574</v>
      </c>
      <c r="T962" t="s">
        <v>60</v>
      </c>
      <c r="U962" t="s">
        <v>53</v>
      </c>
      <c r="V962" t="s">
        <v>114</v>
      </c>
    </row>
    <row r="963" spans="1:22" hidden="1" x14ac:dyDescent="0.2">
      <c r="A963" t="s">
        <v>562</v>
      </c>
      <c r="B963" t="s">
        <v>23</v>
      </c>
      <c r="C963" t="s">
        <v>277</v>
      </c>
      <c r="D963" t="s">
        <v>577</v>
      </c>
      <c r="E963" t="s">
        <v>564</v>
      </c>
      <c r="F963" t="s">
        <v>565</v>
      </c>
      <c r="G963" t="s">
        <v>566</v>
      </c>
      <c r="H963" t="s">
        <v>567</v>
      </c>
      <c r="I963" t="s">
        <v>568</v>
      </c>
      <c r="J963" t="s">
        <v>569</v>
      </c>
      <c r="K963" t="s">
        <v>25</v>
      </c>
      <c r="L963" t="s">
        <v>570</v>
      </c>
      <c r="M963" t="s">
        <v>571</v>
      </c>
      <c r="O963" t="s">
        <v>572</v>
      </c>
      <c r="P963" t="s">
        <v>573</v>
      </c>
      <c r="Q963" t="s">
        <v>176</v>
      </c>
      <c r="R963" t="s">
        <v>177</v>
      </c>
      <c r="S963" t="s">
        <v>574</v>
      </c>
      <c r="T963" t="s">
        <v>60</v>
      </c>
      <c r="U963" t="s">
        <v>55</v>
      </c>
      <c r="V963" t="s">
        <v>56</v>
      </c>
    </row>
    <row r="964" spans="1:22" hidden="1" x14ac:dyDescent="0.2">
      <c r="A964" t="s">
        <v>562</v>
      </c>
      <c r="B964" t="s">
        <v>23</v>
      </c>
      <c r="C964" t="s">
        <v>277</v>
      </c>
      <c r="D964" t="s">
        <v>577</v>
      </c>
      <c r="E964" t="s">
        <v>564</v>
      </c>
      <c r="F964" t="s">
        <v>565</v>
      </c>
      <c r="G964" t="s">
        <v>566</v>
      </c>
      <c r="H964" t="s">
        <v>567</v>
      </c>
      <c r="I964" t="s">
        <v>568</v>
      </c>
      <c r="J964" t="s">
        <v>569</v>
      </c>
      <c r="K964" t="s">
        <v>25</v>
      </c>
      <c r="L964" t="s">
        <v>570</v>
      </c>
      <c r="M964" t="s">
        <v>571</v>
      </c>
      <c r="O964" t="s">
        <v>572</v>
      </c>
      <c r="P964" t="s">
        <v>573</v>
      </c>
      <c r="Q964" t="s">
        <v>176</v>
      </c>
      <c r="R964" t="s">
        <v>177</v>
      </c>
      <c r="S964" t="s">
        <v>574</v>
      </c>
      <c r="T964" t="s">
        <v>60</v>
      </c>
      <c r="U964" t="s">
        <v>157</v>
      </c>
      <c r="V964" t="s">
        <v>541</v>
      </c>
    </row>
    <row r="965" spans="1:22" hidden="1" x14ac:dyDescent="0.2">
      <c r="A965" t="s">
        <v>562</v>
      </c>
      <c r="B965" t="s">
        <v>23</v>
      </c>
      <c r="C965" t="s">
        <v>277</v>
      </c>
      <c r="D965" t="s">
        <v>577</v>
      </c>
      <c r="E965" t="s">
        <v>564</v>
      </c>
      <c r="F965" t="s">
        <v>565</v>
      </c>
      <c r="G965" t="s">
        <v>566</v>
      </c>
      <c r="H965" t="s">
        <v>567</v>
      </c>
      <c r="I965" t="s">
        <v>568</v>
      </c>
      <c r="J965" t="s">
        <v>569</v>
      </c>
      <c r="K965" t="s">
        <v>25</v>
      </c>
      <c r="L965" t="s">
        <v>570</v>
      </c>
      <c r="M965" t="s">
        <v>571</v>
      </c>
      <c r="O965" t="s">
        <v>572</v>
      </c>
      <c r="P965" t="s">
        <v>573</v>
      </c>
      <c r="Q965" t="s">
        <v>176</v>
      </c>
      <c r="R965" t="s">
        <v>177</v>
      </c>
      <c r="S965" t="s">
        <v>574</v>
      </c>
      <c r="T965" t="s">
        <v>61</v>
      </c>
      <c r="U965" t="s">
        <v>53</v>
      </c>
      <c r="V965" t="s">
        <v>114</v>
      </c>
    </row>
    <row r="966" spans="1:22" hidden="1" x14ac:dyDescent="0.2">
      <c r="A966" t="s">
        <v>562</v>
      </c>
      <c r="B966" t="s">
        <v>23</v>
      </c>
      <c r="C966" t="s">
        <v>277</v>
      </c>
      <c r="D966" t="s">
        <v>577</v>
      </c>
      <c r="E966" t="s">
        <v>564</v>
      </c>
      <c r="F966" t="s">
        <v>565</v>
      </c>
      <c r="G966" t="s">
        <v>566</v>
      </c>
      <c r="H966" t="s">
        <v>567</v>
      </c>
      <c r="I966" t="s">
        <v>568</v>
      </c>
      <c r="J966" t="s">
        <v>569</v>
      </c>
      <c r="K966" t="s">
        <v>25</v>
      </c>
      <c r="L966" t="s">
        <v>570</v>
      </c>
      <c r="M966" t="s">
        <v>571</v>
      </c>
      <c r="O966" t="s">
        <v>572</v>
      </c>
      <c r="P966" t="s">
        <v>573</v>
      </c>
      <c r="Q966" t="s">
        <v>176</v>
      </c>
      <c r="R966" t="s">
        <v>177</v>
      </c>
      <c r="S966" t="s">
        <v>574</v>
      </c>
      <c r="T966" t="s">
        <v>61</v>
      </c>
      <c r="U966" t="s">
        <v>55</v>
      </c>
      <c r="V966" t="s">
        <v>56</v>
      </c>
    </row>
    <row r="967" spans="1:22" hidden="1" x14ac:dyDescent="0.2">
      <c r="A967" t="s">
        <v>562</v>
      </c>
      <c r="B967" t="s">
        <v>23</v>
      </c>
      <c r="C967" t="s">
        <v>277</v>
      </c>
      <c r="D967" t="s">
        <v>577</v>
      </c>
      <c r="E967" t="s">
        <v>564</v>
      </c>
      <c r="F967" t="s">
        <v>565</v>
      </c>
      <c r="G967" t="s">
        <v>566</v>
      </c>
      <c r="H967" t="s">
        <v>567</v>
      </c>
      <c r="I967" t="s">
        <v>568</v>
      </c>
      <c r="J967" t="s">
        <v>569</v>
      </c>
      <c r="K967" t="s">
        <v>25</v>
      </c>
      <c r="L967" t="s">
        <v>570</v>
      </c>
      <c r="M967" t="s">
        <v>571</v>
      </c>
      <c r="O967" t="s">
        <v>572</v>
      </c>
      <c r="P967" t="s">
        <v>573</v>
      </c>
      <c r="Q967" t="s">
        <v>176</v>
      </c>
      <c r="R967" t="s">
        <v>177</v>
      </c>
      <c r="S967" t="s">
        <v>574</v>
      </c>
      <c r="T967" t="s">
        <v>61</v>
      </c>
      <c r="U967" t="s">
        <v>157</v>
      </c>
      <c r="V967" t="s">
        <v>541</v>
      </c>
    </row>
    <row r="968" spans="1:22" hidden="1" x14ac:dyDescent="0.2">
      <c r="A968" t="s">
        <v>562</v>
      </c>
      <c r="B968" t="s">
        <v>23</v>
      </c>
      <c r="C968" t="s">
        <v>277</v>
      </c>
      <c r="D968" t="s">
        <v>577</v>
      </c>
      <c r="E968" t="s">
        <v>564</v>
      </c>
      <c r="F968" t="s">
        <v>565</v>
      </c>
      <c r="G968" t="s">
        <v>566</v>
      </c>
      <c r="H968" t="s">
        <v>567</v>
      </c>
      <c r="I968" t="s">
        <v>568</v>
      </c>
      <c r="J968" t="s">
        <v>569</v>
      </c>
      <c r="K968" t="s">
        <v>25</v>
      </c>
      <c r="L968" t="s">
        <v>570</v>
      </c>
      <c r="M968" t="s">
        <v>571</v>
      </c>
      <c r="O968" t="s">
        <v>572</v>
      </c>
      <c r="P968" t="s">
        <v>575</v>
      </c>
      <c r="Q968" t="s">
        <v>176</v>
      </c>
      <c r="R968" t="s">
        <v>177</v>
      </c>
      <c r="S968" t="s">
        <v>576</v>
      </c>
      <c r="T968" t="s">
        <v>39</v>
      </c>
      <c r="U968" t="s">
        <v>53</v>
      </c>
      <c r="V968" t="s">
        <v>114</v>
      </c>
    </row>
    <row r="969" spans="1:22" hidden="1" x14ac:dyDescent="0.2">
      <c r="A969" t="s">
        <v>562</v>
      </c>
      <c r="B969" t="s">
        <v>23</v>
      </c>
      <c r="C969" t="s">
        <v>277</v>
      </c>
      <c r="D969" t="s">
        <v>577</v>
      </c>
      <c r="E969" t="s">
        <v>564</v>
      </c>
      <c r="F969" t="s">
        <v>565</v>
      </c>
      <c r="G969" t="s">
        <v>566</v>
      </c>
      <c r="H969" t="s">
        <v>567</v>
      </c>
      <c r="I969" t="s">
        <v>568</v>
      </c>
      <c r="J969" t="s">
        <v>569</v>
      </c>
      <c r="K969" t="s">
        <v>25</v>
      </c>
      <c r="L969" t="s">
        <v>570</v>
      </c>
      <c r="M969" t="s">
        <v>571</v>
      </c>
      <c r="O969" t="s">
        <v>572</v>
      </c>
      <c r="P969" t="s">
        <v>575</v>
      </c>
      <c r="Q969" t="s">
        <v>176</v>
      </c>
      <c r="R969" t="s">
        <v>177</v>
      </c>
      <c r="S969" t="s">
        <v>576</v>
      </c>
      <c r="T969" t="s">
        <v>39</v>
      </c>
      <c r="U969" t="s">
        <v>55</v>
      </c>
      <c r="V969" t="s">
        <v>56</v>
      </c>
    </row>
    <row r="970" spans="1:22" hidden="1" x14ac:dyDescent="0.2">
      <c r="A970" t="s">
        <v>562</v>
      </c>
      <c r="B970" t="s">
        <v>23</v>
      </c>
      <c r="C970" t="s">
        <v>277</v>
      </c>
      <c r="D970" t="s">
        <v>577</v>
      </c>
      <c r="E970" t="s">
        <v>564</v>
      </c>
      <c r="F970" t="s">
        <v>565</v>
      </c>
      <c r="G970" t="s">
        <v>566</v>
      </c>
      <c r="H970" t="s">
        <v>567</v>
      </c>
      <c r="I970" t="s">
        <v>568</v>
      </c>
      <c r="J970" t="s">
        <v>569</v>
      </c>
      <c r="K970" t="s">
        <v>25</v>
      </c>
      <c r="L970" t="s">
        <v>570</v>
      </c>
      <c r="M970" t="s">
        <v>571</v>
      </c>
      <c r="O970" t="s">
        <v>572</v>
      </c>
      <c r="P970" t="s">
        <v>575</v>
      </c>
      <c r="Q970" t="s">
        <v>176</v>
      </c>
      <c r="R970" t="s">
        <v>177</v>
      </c>
      <c r="S970" t="s">
        <v>576</v>
      </c>
      <c r="T970" t="s">
        <v>39</v>
      </c>
      <c r="U970" t="s">
        <v>157</v>
      </c>
      <c r="V970" t="s">
        <v>541</v>
      </c>
    </row>
    <row r="971" spans="1:22" hidden="1" x14ac:dyDescent="0.2">
      <c r="A971" t="s">
        <v>562</v>
      </c>
      <c r="B971" t="s">
        <v>23</v>
      </c>
      <c r="C971" t="s">
        <v>277</v>
      </c>
      <c r="D971" t="s">
        <v>577</v>
      </c>
      <c r="E971" t="s">
        <v>564</v>
      </c>
      <c r="F971" t="s">
        <v>565</v>
      </c>
      <c r="G971" t="s">
        <v>566</v>
      </c>
      <c r="H971" t="s">
        <v>567</v>
      </c>
      <c r="I971" t="s">
        <v>568</v>
      </c>
      <c r="J971" t="s">
        <v>569</v>
      </c>
      <c r="K971" t="s">
        <v>25</v>
      </c>
      <c r="L971" t="s">
        <v>570</v>
      </c>
      <c r="M971" t="s">
        <v>571</v>
      </c>
      <c r="O971" t="s">
        <v>572</v>
      </c>
      <c r="P971" t="s">
        <v>575</v>
      </c>
      <c r="Q971" t="s">
        <v>176</v>
      </c>
      <c r="R971" t="s">
        <v>177</v>
      </c>
      <c r="S971" t="s">
        <v>576</v>
      </c>
      <c r="T971" t="s">
        <v>59</v>
      </c>
      <c r="U971" t="s">
        <v>53</v>
      </c>
      <c r="V971" t="s">
        <v>114</v>
      </c>
    </row>
    <row r="972" spans="1:22" hidden="1" x14ac:dyDescent="0.2">
      <c r="A972" t="s">
        <v>562</v>
      </c>
      <c r="B972" t="s">
        <v>23</v>
      </c>
      <c r="C972" t="s">
        <v>277</v>
      </c>
      <c r="D972" t="s">
        <v>577</v>
      </c>
      <c r="E972" t="s">
        <v>564</v>
      </c>
      <c r="F972" t="s">
        <v>565</v>
      </c>
      <c r="G972" t="s">
        <v>566</v>
      </c>
      <c r="H972" t="s">
        <v>567</v>
      </c>
      <c r="I972" t="s">
        <v>568</v>
      </c>
      <c r="J972" t="s">
        <v>569</v>
      </c>
      <c r="K972" t="s">
        <v>25</v>
      </c>
      <c r="L972" t="s">
        <v>570</v>
      </c>
      <c r="M972" t="s">
        <v>571</v>
      </c>
      <c r="O972" t="s">
        <v>572</v>
      </c>
      <c r="P972" t="s">
        <v>575</v>
      </c>
      <c r="Q972" t="s">
        <v>176</v>
      </c>
      <c r="R972" t="s">
        <v>177</v>
      </c>
      <c r="S972" t="s">
        <v>576</v>
      </c>
      <c r="T972" t="s">
        <v>59</v>
      </c>
      <c r="U972" t="s">
        <v>55</v>
      </c>
      <c r="V972" t="s">
        <v>56</v>
      </c>
    </row>
    <row r="973" spans="1:22" hidden="1" x14ac:dyDescent="0.2">
      <c r="A973" t="s">
        <v>562</v>
      </c>
      <c r="B973" t="s">
        <v>23</v>
      </c>
      <c r="C973" t="s">
        <v>277</v>
      </c>
      <c r="D973" t="s">
        <v>577</v>
      </c>
      <c r="E973" t="s">
        <v>564</v>
      </c>
      <c r="F973" t="s">
        <v>565</v>
      </c>
      <c r="G973" t="s">
        <v>566</v>
      </c>
      <c r="H973" t="s">
        <v>567</v>
      </c>
      <c r="I973" t="s">
        <v>568</v>
      </c>
      <c r="J973" t="s">
        <v>569</v>
      </c>
      <c r="K973" t="s">
        <v>25</v>
      </c>
      <c r="L973" t="s">
        <v>570</v>
      </c>
      <c r="M973" t="s">
        <v>571</v>
      </c>
      <c r="O973" t="s">
        <v>572</v>
      </c>
      <c r="P973" t="s">
        <v>575</v>
      </c>
      <c r="Q973" t="s">
        <v>176</v>
      </c>
      <c r="R973" t="s">
        <v>177</v>
      </c>
      <c r="S973" t="s">
        <v>576</v>
      </c>
      <c r="T973" t="s">
        <v>59</v>
      </c>
      <c r="U973" t="s">
        <v>157</v>
      </c>
      <c r="V973" t="s">
        <v>541</v>
      </c>
    </row>
    <row r="974" spans="1:22" hidden="1" x14ac:dyDescent="0.2">
      <c r="A974" t="s">
        <v>562</v>
      </c>
      <c r="B974" t="s">
        <v>23</v>
      </c>
      <c r="C974" t="s">
        <v>277</v>
      </c>
      <c r="D974" t="s">
        <v>577</v>
      </c>
      <c r="E974" t="s">
        <v>564</v>
      </c>
      <c r="F974" t="s">
        <v>565</v>
      </c>
      <c r="G974" t="s">
        <v>566</v>
      </c>
      <c r="H974" t="s">
        <v>567</v>
      </c>
      <c r="I974" t="s">
        <v>568</v>
      </c>
      <c r="J974" t="s">
        <v>569</v>
      </c>
      <c r="K974" t="s">
        <v>25</v>
      </c>
      <c r="L974" t="s">
        <v>570</v>
      </c>
      <c r="M974" t="s">
        <v>571</v>
      </c>
      <c r="O974" t="s">
        <v>572</v>
      </c>
      <c r="P974" t="s">
        <v>575</v>
      </c>
      <c r="Q974" t="s">
        <v>176</v>
      </c>
      <c r="R974" t="s">
        <v>177</v>
      </c>
      <c r="S974" t="s">
        <v>576</v>
      </c>
      <c r="T974" t="s">
        <v>60</v>
      </c>
      <c r="U974" t="s">
        <v>53</v>
      </c>
      <c r="V974" t="s">
        <v>114</v>
      </c>
    </row>
    <row r="975" spans="1:22" hidden="1" x14ac:dyDescent="0.2">
      <c r="A975" t="s">
        <v>562</v>
      </c>
      <c r="B975" t="s">
        <v>23</v>
      </c>
      <c r="C975" t="s">
        <v>277</v>
      </c>
      <c r="D975" t="s">
        <v>577</v>
      </c>
      <c r="E975" t="s">
        <v>564</v>
      </c>
      <c r="F975" t="s">
        <v>565</v>
      </c>
      <c r="G975" t="s">
        <v>566</v>
      </c>
      <c r="H975" t="s">
        <v>567</v>
      </c>
      <c r="I975" t="s">
        <v>568</v>
      </c>
      <c r="J975" t="s">
        <v>569</v>
      </c>
      <c r="K975" t="s">
        <v>25</v>
      </c>
      <c r="L975" t="s">
        <v>570</v>
      </c>
      <c r="M975" t="s">
        <v>571</v>
      </c>
      <c r="O975" t="s">
        <v>572</v>
      </c>
      <c r="P975" t="s">
        <v>575</v>
      </c>
      <c r="Q975" t="s">
        <v>176</v>
      </c>
      <c r="R975" t="s">
        <v>177</v>
      </c>
      <c r="S975" t="s">
        <v>576</v>
      </c>
      <c r="T975" t="s">
        <v>60</v>
      </c>
      <c r="U975" t="s">
        <v>55</v>
      </c>
      <c r="V975" t="s">
        <v>56</v>
      </c>
    </row>
    <row r="976" spans="1:22" hidden="1" x14ac:dyDescent="0.2">
      <c r="A976" t="s">
        <v>562</v>
      </c>
      <c r="B976" t="s">
        <v>23</v>
      </c>
      <c r="C976" t="s">
        <v>277</v>
      </c>
      <c r="D976" t="s">
        <v>577</v>
      </c>
      <c r="E976" t="s">
        <v>564</v>
      </c>
      <c r="F976" t="s">
        <v>565</v>
      </c>
      <c r="G976" t="s">
        <v>566</v>
      </c>
      <c r="H976" t="s">
        <v>567</v>
      </c>
      <c r="I976" t="s">
        <v>568</v>
      </c>
      <c r="J976" t="s">
        <v>569</v>
      </c>
      <c r="K976" t="s">
        <v>25</v>
      </c>
      <c r="L976" t="s">
        <v>570</v>
      </c>
      <c r="M976" t="s">
        <v>571</v>
      </c>
      <c r="O976" t="s">
        <v>572</v>
      </c>
      <c r="P976" t="s">
        <v>575</v>
      </c>
      <c r="Q976" t="s">
        <v>176</v>
      </c>
      <c r="R976" t="s">
        <v>177</v>
      </c>
      <c r="S976" t="s">
        <v>576</v>
      </c>
      <c r="T976" t="s">
        <v>60</v>
      </c>
      <c r="U976" t="s">
        <v>157</v>
      </c>
      <c r="V976" t="s">
        <v>541</v>
      </c>
    </row>
    <row r="977" spans="1:22" hidden="1" x14ac:dyDescent="0.2">
      <c r="A977" t="s">
        <v>562</v>
      </c>
      <c r="B977" t="s">
        <v>23</v>
      </c>
      <c r="C977" t="s">
        <v>277</v>
      </c>
      <c r="D977" t="s">
        <v>577</v>
      </c>
      <c r="E977" t="s">
        <v>564</v>
      </c>
      <c r="F977" t="s">
        <v>565</v>
      </c>
      <c r="G977" t="s">
        <v>566</v>
      </c>
      <c r="H977" t="s">
        <v>567</v>
      </c>
      <c r="I977" t="s">
        <v>568</v>
      </c>
      <c r="J977" t="s">
        <v>569</v>
      </c>
      <c r="K977" t="s">
        <v>25</v>
      </c>
      <c r="L977" t="s">
        <v>570</v>
      </c>
      <c r="M977" t="s">
        <v>571</v>
      </c>
      <c r="O977" t="s">
        <v>572</v>
      </c>
      <c r="P977" t="s">
        <v>575</v>
      </c>
      <c r="Q977" t="s">
        <v>176</v>
      </c>
      <c r="R977" t="s">
        <v>177</v>
      </c>
      <c r="S977" t="s">
        <v>576</v>
      </c>
      <c r="T977" t="s">
        <v>61</v>
      </c>
      <c r="U977" t="s">
        <v>53</v>
      </c>
      <c r="V977" t="s">
        <v>114</v>
      </c>
    </row>
    <row r="978" spans="1:22" hidden="1" x14ac:dyDescent="0.2">
      <c r="A978" t="s">
        <v>562</v>
      </c>
      <c r="B978" t="s">
        <v>23</v>
      </c>
      <c r="C978" t="s">
        <v>277</v>
      </c>
      <c r="D978" t="s">
        <v>577</v>
      </c>
      <c r="E978" t="s">
        <v>564</v>
      </c>
      <c r="F978" t="s">
        <v>565</v>
      </c>
      <c r="G978" t="s">
        <v>566</v>
      </c>
      <c r="H978" t="s">
        <v>567</v>
      </c>
      <c r="I978" t="s">
        <v>568</v>
      </c>
      <c r="J978" t="s">
        <v>569</v>
      </c>
      <c r="K978" t="s">
        <v>25</v>
      </c>
      <c r="L978" t="s">
        <v>570</v>
      </c>
      <c r="M978" t="s">
        <v>571</v>
      </c>
      <c r="O978" t="s">
        <v>572</v>
      </c>
      <c r="P978" t="s">
        <v>575</v>
      </c>
      <c r="Q978" t="s">
        <v>176</v>
      </c>
      <c r="R978" t="s">
        <v>177</v>
      </c>
      <c r="S978" t="s">
        <v>576</v>
      </c>
      <c r="T978" t="s">
        <v>61</v>
      </c>
      <c r="U978" t="s">
        <v>55</v>
      </c>
      <c r="V978" t="s">
        <v>56</v>
      </c>
    </row>
    <row r="979" spans="1:22" hidden="1" x14ac:dyDescent="0.2">
      <c r="A979" t="s">
        <v>562</v>
      </c>
      <c r="B979" t="s">
        <v>23</v>
      </c>
      <c r="C979" t="s">
        <v>277</v>
      </c>
      <c r="D979" t="s">
        <v>577</v>
      </c>
      <c r="E979" t="s">
        <v>564</v>
      </c>
      <c r="F979" t="s">
        <v>565</v>
      </c>
      <c r="G979" t="s">
        <v>566</v>
      </c>
      <c r="H979" t="s">
        <v>567</v>
      </c>
      <c r="I979" t="s">
        <v>568</v>
      </c>
      <c r="J979" t="s">
        <v>569</v>
      </c>
      <c r="K979" t="s">
        <v>25</v>
      </c>
      <c r="L979" t="s">
        <v>570</v>
      </c>
      <c r="M979" t="s">
        <v>571</v>
      </c>
      <c r="O979" t="s">
        <v>572</v>
      </c>
      <c r="P979" t="s">
        <v>575</v>
      </c>
      <c r="Q979" t="s">
        <v>176</v>
      </c>
      <c r="R979" t="s">
        <v>177</v>
      </c>
      <c r="S979" t="s">
        <v>576</v>
      </c>
      <c r="T979" t="s">
        <v>61</v>
      </c>
      <c r="U979" t="s">
        <v>157</v>
      </c>
      <c r="V979" t="s">
        <v>541</v>
      </c>
    </row>
    <row r="980" spans="1:22" hidden="1" x14ac:dyDescent="0.2">
      <c r="A980" t="s">
        <v>578</v>
      </c>
      <c r="B980" t="s">
        <v>23</v>
      </c>
      <c r="C980" t="s">
        <v>257</v>
      </c>
      <c r="D980" t="s">
        <v>579</v>
      </c>
      <c r="E980" t="s">
        <v>580</v>
      </c>
      <c r="F980" t="s">
        <v>581</v>
      </c>
      <c r="G980" t="s">
        <v>582</v>
      </c>
      <c r="H980" t="s">
        <v>583</v>
      </c>
      <c r="I980" t="s">
        <v>584</v>
      </c>
      <c r="J980" t="s">
        <v>585</v>
      </c>
      <c r="K980" t="s">
        <v>586</v>
      </c>
      <c r="L980" t="s">
        <v>587</v>
      </c>
      <c r="M980" t="s">
        <v>588</v>
      </c>
      <c r="O980" t="s">
        <v>589</v>
      </c>
      <c r="P980" t="s">
        <v>36</v>
      </c>
      <c r="Q980" t="s">
        <v>37</v>
      </c>
      <c r="R980">
        <v>4</v>
      </c>
      <c r="S980" t="s">
        <v>590</v>
      </c>
      <c r="T980" t="s">
        <v>57</v>
      </c>
      <c r="U980" t="s">
        <v>53</v>
      </c>
      <c r="V980" t="s">
        <v>195</v>
      </c>
    </row>
    <row r="981" spans="1:22" hidden="1" x14ac:dyDescent="0.2">
      <c r="A981" t="s">
        <v>578</v>
      </c>
      <c r="B981" t="s">
        <v>23</v>
      </c>
      <c r="C981" t="s">
        <v>257</v>
      </c>
      <c r="D981" t="s">
        <v>579</v>
      </c>
      <c r="E981" t="s">
        <v>580</v>
      </c>
      <c r="F981" t="s">
        <v>581</v>
      </c>
      <c r="G981" t="s">
        <v>582</v>
      </c>
      <c r="H981" t="s">
        <v>583</v>
      </c>
      <c r="I981" t="s">
        <v>584</v>
      </c>
      <c r="J981" t="s">
        <v>585</v>
      </c>
      <c r="K981" t="s">
        <v>586</v>
      </c>
      <c r="L981" t="s">
        <v>587</v>
      </c>
      <c r="M981" t="s">
        <v>588</v>
      </c>
      <c r="O981" t="s">
        <v>589</v>
      </c>
      <c r="P981" t="s">
        <v>36</v>
      </c>
      <c r="Q981" t="s">
        <v>37</v>
      </c>
      <c r="R981">
        <v>4</v>
      </c>
      <c r="S981" t="s">
        <v>590</v>
      </c>
      <c r="T981" t="s">
        <v>57</v>
      </c>
      <c r="U981" t="s">
        <v>157</v>
      </c>
      <c r="V981" t="s">
        <v>196</v>
      </c>
    </row>
    <row r="982" spans="1:22" hidden="1" x14ac:dyDescent="0.2">
      <c r="A982" t="s">
        <v>578</v>
      </c>
      <c r="B982" t="s">
        <v>23</v>
      </c>
      <c r="C982" t="s">
        <v>257</v>
      </c>
      <c r="D982" t="s">
        <v>579</v>
      </c>
      <c r="E982" t="s">
        <v>580</v>
      </c>
      <c r="F982" t="s">
        <v>581</v>
      </c>
      <c r="G982" t="s">
        <v>582</v>
      </c>
      <c r="H982" t="s">
        <v>583</v>
      </c>
      <c r="I982" t="s">
        <v>584</v>
      </c>
      <c r="J982" t="s">
        <v>585</v>
      </c>
      <c r="K982" t="s">
        <v>586</v>
      </c>
      <c r="L982" t="s">
        <v>587</v>
      </c>
      <c r="M982" t="s">
        <v>588</v>
      </c>
      <c r="O982" t="s">
        <v>589</v>
      </c>
      <c r="P982" t="s">
        <v>36</v>
      </c>
      <c r="Q982" t="s">
        <v>37</v>
      </c>
      <c r="R982">
        <v>4</v>
      </c>
      <c r="S982" t="s">
        <v>590</v>
      </c>
      <c r="T982" t="s">
        <v>57</v>
      </c>
      <c r="U982" t="s">
        <v>53</v>
      </c>
      <c r="V982" t="s">
        <v>76</v>
      </c>
    </row>
    <row r="983" spans="1:22" hidden="1" x14ac:dyDescent="0.2">
      <c r="A983" t="s">
        <v>578</v>
      </c>
      <c r="B983" t="s">
        <v>23</v>
      </c>
      <c r="C983" t="s">
        <v>257</v>
      </c>
      <c r="D983" t="s">
        <v>579</v>
      </c>
      <c r="E983" t="s">
        <v>580</v>
      </c>
      <c r="F983" t="s">
        <v>581</v>
      </c>
      <c r="G983" t="s">
        <v>582</v>
      </c>
      <c r="H983" t="s">
        <v>583</v>
      </c>
      <c r="I983" t="s">
        <v>584</v>
      </c>
      <c r="J983" t="s">
        <v>585</v>
      </c>
      <c r="K983" t="s">
        <v>586</v>
      </c>
      <c r="L983" t="s">
        <v>587</v>
      </c>
      <c r="M983" t="s">
        <v>588</v>
      </c>
      <c r="O983" t="s">
        <v>589</v>
      </c>
      <c r="P983" t="s">
        <v>36</v>
      </c>
      <c r="Q983" t="s">
        <v>37</v>
      </c>
      <c r="R983">
        <v>4</v>
      </c>
      <c r="S983" t="s">
        <v>590</v>
      </c>
      <c r="T983" t="s">
        <v>57</v>
      </c>
      <c r="U983" t="s">
        <v>53</v>
      </c>
      <c r="V983" t="s">
        <v>508</v>
      </c>
    </row>
    <row r="984" spans="1:22" hidden="1" x14ac:dyDescent="0.2">
      <c r="A984" t="s">
        <v>578</v>
      </c>
      <c r="B984" t="s">
        <v>23</v>
      </c>
      <c r="C984" t="s">
        <v>257</v>
      </c>
      <c r="D984" t="s">
        <v>579</v>
      </c>
      <c r="E984" t="s">
        <v>580</v>
      </c>
      <c r="F984" t="s">
        <v>581</v>
      </c>
      <c r="G984" t="s">
        <v>582</v>
      </c>
      <c r="H984" t="s">
        <v>583</v>
      </c>
      <c r="I984" t="s">
        <v>584</v>
      </c>
      <c r="J984" t="s">
        <v>585</v>
      </c>
      <c r="K984" t="s">
        <v>586</v>
      </c>
      <c r="L984" t="s">
        <v>587</v>
      </c>
      <c r="M984" t="s">
        <v>588</v>
      </c>
      <c r="O984" t="s">
        <v>589</v>
      </c>
      <c r="P984" t="s">
        <v>36</v>
      </c>
      <c r="Q984" t="s">
        <v>37</v>
      </c>
      <c r="R984">
        <v>4</v>
      </c>
      <c r="S984" t="s">
        <v>590</v>
      </c>
      <c r="T984" t="s">
        <v>39</v>
      </c>
      <c r="U984" t="s">
        <v>53</v>
      </c>
      <c r="V984" t="s">
        <v>195</v>
      </c>
    </row>
    <row r="985" spans="1:22" hidden="1" x14ac:dyDescent="0.2">
      <c r="A985" t="s">
        <v>578</v>
      </c>
      <c r="B985" t="s">
        <v>23</v>
      </c>
      <c r="C985" t="s">
        <v>257</v>
      </c>
      <c r="D985" t="s">
        <v>579</v>
      </c>
      <c r="E985" t="s">
        <v>580</v>
      </c>
      <c r="F985" t="s">
        <v>581</v>
      </c>
      <c r="G985" t="s">
        <v>582</v>
      </c>
      <c r="H985" t="s">
        <v>583</v>
      </c>
      <c r="I985" t="s">
        <v>584</v>
      </c>
      <c r="J985" t="s">
        <v>585</v>
      </c>
      <c r="K985" t="s">
        <v>586</v>
      </c>
      <c r="L985" t="s">
        <v>587</v>
      </c>
      <c r="M985" t="s">
        <v>588</v>
      </c>
      <c r="O985" t="s">
        <v>589</v>
      </c>
      <c r="P985" t="s">
        <v>36</v>
      </c>
      <c r="Q985" t="s">
        <v>37</v>
      </c>
      <c r="R985">
        <v>4</v>
      </c>
      <c r="S985" t="s">
        <v>590</v>
      </c>
      <c r="T985" t="s">
        <v>39</v>
      </c>
      <c r="U985" t="s">
        <v>157</v>
      </c>
      <c r="V985" t="s">
        <v>196</v>
      </c>
    </row>
    <row r="986" spans="1:22" hidden="1" x14ac:dyDescent="0.2">
      <c r="A986" t="s">
        <v>578</v>
      </c>
      <c r="B986" t="s">
        <v>23</v>
      </c>
      <c r="C986" t="s">
        <v>257</v>
      </c>
      <c r="D986" t="s">
        <v>579</v>
      </c>
      <c r="E986" t="s">
        <v>580</v>
      </c>
      <c r="F986" t="s">
        <v>581</v>
      </c>
      <c r="G986" t="s">
        <v>582</v>
      </c>
      <c r="H986" t="s">
        <v>583</v>
      </c>
      <c r="I986" t="s">
        <v>584</v>
      </c>
      <c r="J986" t="s">
        <v>585</v>
      </c>
      <c r="K986" t="s">
        <v>586</v>
      </c>
      <c r="L986" t="s">
        <v>587</v>
      </c>
      <c r="M986" t="s">
        <v>588</v>
      </c>
      <c r="O986" t="s">
        <v>589</v>
      </c>
      <c r="P986" t="s">
        <v>36</v>
      </c>
      <c r="Q986" t="s">
        <v>37</v>
      </c>
      <c r="R986">
        <v>4</v>
      </c>
      <c r="S986" t="s">
        <v>590</v>
      </c>
      <c r="T986" t="s">
        <v>39</v>
      </c>
      <c r="U986" t="s">
        <v>53</v>
      </c>
      <c r="V986" t="s">
        <v>76</v>
      </c>
    </row>
    <row r="987" spans="1:22" hidden="1" x14ac:dyDescent="0.2">
      <c r="A987" t="s">
        <v>578</v>
      </c>
      <c r="B987" t="s">
        <v>23</v>
      </c>
      <c r="C987" t="s">
        <v>257</v>
      </c>
      <c r="D987" t="s">
        <v>579</v>
      </c>
      <c r="E987" t="s">
        <v>580</v>
      </c>
      <c r="F987" t="s">
        <v>581</v>
      </c>
      <c r="G987" t="s">
        <v>582</v>
      </c>
      <c r="H987" t="s">
        <v>583</v>
      </c>
      <c r="I987" t="s">
        <v>584</v>
      </c>
      <c r="J987" t="s">
        <v>585</v>
      </c>
      <c r="K987" t="s">
        <v>586</v>
      </c>
      <c r="L987" t="s">
        <v>587</v>
      </c>
      <c r="M987" t="s">
        <v>588</v>
      </c>
      <c r="O987" t="s">
        <v>589</v>
      </c>
      <c r="P987" t="s">
        <v>36</v>
      </c>
      <c r="Q987" t="s">
        <v>37</v>
      </c>
      <c r="R987">
        <v>4</v>
      </c>
      <c r="S987" t="s">
        <v>590</v>
      </c>
      <c r="T987" t="s">
        <v>39</v>
      </c>
      <c r="U987" t="s">
        <v>53</v>
      </c>
      <c r="V987" t="s">
        <v>508</v>
      </c>
    </row>
    <row r="988" spans="1:22" hidden="1" x14ac:dyDescent="0.2">
      <c r="A988" t="s">
        <v>578</v>
      </c>
      <c r="B988" t="s">
        <v>23</v>
      </c>
      <c r="C988" t="s">
        <v>257</v>
      </c>
      <c r="D988" t="s">
        <v>579</v>
      </c>
      <c r="E988" t="s">
        <v>580</v>
      </c>
      <c r="F988" t="s">
        <v>581</v>
      </c>
      <c r="G988" t="s">
        <v>582</v>
      </c>
      <c r="H988" t="s">
        <v>583</v>
      </c>
      <c r="I988" t="s">
        <v>584</v>
      </c>
      <c r="J988" t="s">
        <v>585</v>
      </c>
      <c r="K988" t="s">
        <v>586</v>
      </c>
      <c r="L988" t="s">
        <v>587</v>
      </c>
      <c r="M988" t="s">
        <v>588</v>
      </c>
      <c r="O988" t="s">
        <v>589</v>
      </c>
      <c r="P988" t="s">
        <v>36</v>
      </c>
      <c r="Q988" t="s">
        <v>37</v>
      </c>
      <c r="R988">
        <v>4</v>
      </c>
      <c r="S988" t="s">
        <v>590</v>
      </c>
      <c r="T988" t="s">
        <v>59</v>
      </c>
      <c r="U988" t="s">
        <v>53</v>
      </c>
      <c r="V988" t="s">
        <v>195</v>
      </c>
    </row>
    <row r="989" spans="1:22" hidden="1" x14ac:dyDescent="0.2">
      <c r="A989" t="s">
        <v>578</v>
      </c>
      <c r="B989" t="s">
        <v>23</v>
      </c>
      <c r="C989" t="s">
        <v>257</v>
      </c>
      <c r="D989" t="s">
        <v>579</v>
      </c>
      <c r="E989" t="s">
        <v>580</v>
      </c>
      <c r="F989" t="s">
        <v>581</v>
      </c>
      <c r="G989" t="s">
        <v>582</v>
      </c>
      <c r="H989" t="s">
        <v>583</v>
      </c>
      <c r="I989" t="s">
        <v>584</v>
      </c>
      <c r="J989" t="s">
        <v>585</v>
      </c>
      <c r="K989" t="s">
        <v>586</v>
      </c>
      <c r="L989" t="s">
        <v>587</v>
      </c>
      <c r="M989" t="s">
        <v>588</v>
      </c>
      <c r="O989" t="s">
        <v>589</v>
      </c>
      <c r="P989" t="s">
        <v>36</v>
      </c>
      <c r="Q989" t="s">
        <v>37</v>
      </c>
      <c r="R989">
        <v>4</v>
      </c>
      <c r="S989" t="s">
        <v>590</v>
      </c>
      <c r="T989" t="s">
        <v>59</v>
      </c>
      <c r="U989" t="s">
        <v>157</v>
      </c>
      <c r="V989" t="s">
        <v>196</v>
      </c>
    </row>
    <row r="990" spans="1:22" hidden="1" x14ac:dyDescent="0.2">
      <c r="A990" t="s">
        <v>578</v>
      </c>
      <c r="B990" t="s">
        <v>23</v>
      </c>
      <c r="C990" t="s">
        <v>257</v>
      </c>
      <c r="D990" t="s">
        <v>579</v>
      </c>
      <c r="E990" t="s">
        <v>580</v>
      </c>
      <c r="F990" t="s">
        <v>581</v>
      </c>
      <c r="G990" t="s">
        <v>582</v>
      </c>
      <c r="H990" t="s">
        <v>583</v>
      </c>
      <c r="I990" t="s">
        <v>584</v>
      </c>
      <c r="J990" t="s">
        <v>585</v>
      </c>
      <c r="K990" t="s">
        <v>586</v>
      </c>
      <c r="L990" t="s">
        <v>587</v>
      </c>
      <c r="M990" t="s">
        <v>588</v>
      </c>
      <c r="O990" t="s">
        <v>589</v>
      </c>
      <c r="P990" t="s">
        <v>36</v>
      </c>
      <c r="Q990" t="s">
        <v>37</v>
      </c>
      <c r="R990">
        <v>4</v>
      </c>
      <c r="S990" t="s">
        <v>590</v>
      </c>
      <c r="T990" t="s">
        <v>59</v>
      </c>
      <c r="U990" t="s">
        <v>53</v>
      </c>
      <c r="V990" t="s">
        <v>76</v>
      </c>
    </row>
    <row r="991" spans="1:22" hidden="1" x14ac:dyDescent="0.2">
      <c r="A991" t="s">
        <v>578</v>
      </c>
      <c r="B991" t="s">
        <v>23</v>
      </c>
      <c r="C991" t="s">
        <v>257</v>
      </c>
      <c r="D991" t="s">
        <v>579</v>
      </c>
      <c r="E991" t="s">
        <v>580</v>
      </c>
      <c r="F991" t="s">
        <v>581</v>
      </c>
      <c r="G991" t="s">
        <v>582</v>
      </c>
      <c r="H991" t="s">
        <v>583</v>
      </c>
      <c r="I991" t="s">
        <v>584</v>
      </c>
      <c r="J991" t="s">
        <v>585</v>
      </c>
      <c r="K991" t="s">
        <v>586</v>
      </c>
      <c r="L991" t="s">
        <v>587</v>
      </c>
      <c r="M991" t="s">
        <v>588</v>
      </c>
      <c r="O991" t="s">
        <v>589</v>
      </c>
      <c r="P991" t="s">
        <v>36</v>
      </c>
      <c r="Q991" t="s">
        <v>37</v>
      </c>
      <c r="R991">
        <v>4</v>
      </c>
      <c r="S991" t="s">
        <v>590</v>
      </c>
      <c r="T991" t="s">
        <v>59</v>
      </c>
      <c r="U991" t="s">
        <v>53</v>
      </c>
      <c r="V991" t="s">
        <v>508</v>
      </c>
    </row>
    <row r="992" spans="1:22" hidden="1" x14ac:dyDescent="0.2">
      <c r="A992" t="s">
        <v>578</v>
      </c>
      <c r="B992" t="s">
        <v>23</v>
      </c>
      <c r="C992" t="s">
        <v>257</v>
      </c>
      <c r="D992" t="s">
        <v>579</v>
      </c>
      <c r="E992" t="s">
        <v>580</v>
      </c>
      <c r="F992" t="s">
        <v>581</v>
      </c>
      <c r="G992" t="s">
        <v>582</v>
      </c>
      <c r="H992" t="s">
        <v>583</v>
      </c>
      <c r="I992" t="s">
        <v>584</v>
      </c>
      <c r="J992" t="s">
        <v>585</v>
      </c>
      <c r="K992" t="s">
        <v>586</v>
      </c>
      <c r="L992" t="s">
        <v>587</v>
      </c>
      <c r="M992" t="s">
        <v>588</v>
      </c>
      <c r="O992" t="s">
        <v>589</v>
      </c>
      <c r="P992" t="s">
        <v>36</v>
      </c>
      <c r="Q992" t="s">
        <v>37</v>
      </c>
      <c r="R992">
        <v>4</v>
      </c>
      <c r="S992" t="s">
        <v>590</v>
      </c>
      <c r="T992" t="s">
        <v>60</v>
      </c>
      <c r="U992" t="s">
        <v>53</v>
      </c>
      <c r="V992" t="s">
        <v>195</v>
      </c>
    </row>
    <row r="993" spans="1:22" hidden="1" x14ac:dyDescent="0.2">
      <c r="A993" t="s">
        <v>578</v>
      </c>
      <c r="B993" t="s">
        <v>23</v>
      </c>
      <c r="C993" t="s">
        <v>257</v>
      </c>
      <c r="D993" t="s">
        <v>579</v>
      </c>
      <c r="E993" t="s">
        <v>580</v>
      </c>
      <c r="F993" t="s">
        <v>581</v>
      </c>
      <c r="G993" t="s">
        <v>582</v>
      </c>
      <c r="H993" t="s">
        <v>583</v>
      </c>
      <c r="I993" t="s">
        <v>584</v>
      </c>
      <c r="J993" t="s">
        <v>585</v>
      </c>
      <c r="K993" t="s">
        <v>586</v>
      </c>
      <c r="L993" t="s">
        <v>587</v>
      </c>
      <c r="M993" t="s">
        <v>588</v>
      </c>
      <c r="O993" t="s">
        <v>589</v>
      </c>
      <c r="P993" t="s">
        <v>36</v>
      </c>
      <c r="Q993" t="s">
        <v>37</v>
      </c>
      <c r="R993">
        <v>4</v>
      </c>
      <c r="S993" t="s">
        <v>590</v>
      </c>
      <c r="T993" t="s">
        <v>60</v>
      </c>
      <c r="U993" t="s">
        <v>157</v>
      </c>
      <c r="V993" t="s">
        <v>196</v>
      </c>
    </row>
    <row r="994" spans="1:22" hidden="1" x14ac:dyDescent="0.2">
      <c r="A994" t="s">
        <v>578</v>
      </c>
      <c r="B994" t="s">
        <v>23</v>
      </c>
      <c r="C994" t="s">
        <v>257</v>
      </c>
      <c r="D994" t="s">
        <v>579</v>
      </c>
      <c r="E994" t="s">
        <v>580</v>
      </c>
      <c r="F994" t="s">
        <v>581</v>
      </c>
      <c r="G994" t="s">
        <v>582</v>
      </c>
      <c r="H994" t="s">
        <v>583</v>
      </c>
      <c r="I994" t="s">
        <v>584</v>
      </c>
      <c r="J994" t="s">
        <v>585</v>
      </c>
      <c r="K994" t="s">
        <v>586</v>
      </c>
      <c r="L994" t="s">
        <v>587</v>
      </c>
      <c r="M994" t="s">
        <v>588</v>
      </c>
      <c r="O994" t="s">
        <v>589</v>
      </c>
      <c r="P994" t="s">
        <v>36</v>
      </c>
      <c r="Q994" t="s">
        <v>37</v>
      </c>
      <c r="R994">
        <v>4</v>
      </c>
      <c r="S994" t="s">
        <v>590</v>
      </c>
      <c r="T994" t="s">
        <v>60</v>
      </c>
      <c r="U994" t="s">
        <v>53</v>
      </c>
      <c r="V994" t="s">
        <v>76</v>
      </c>
    </row>
    <row r="995" spans="1:22" hidden="1" x14ac:dyDescent="0.2">
      <c r="A995" t="s">
        <v>578</v>
      </c>
      <c r="B995" t="s">
        <v>23</v>
      </c>
      <c r="C995" t="s">
        <v>257</v>
      </c>
      <c r="D995" t="s">
        <v>579</v>
      </c>
      <c r="E995" t="s">
        <v>580</v>
      </c>
      <c r="F995" t="s">
        <v>581</v>
      </c>
      <c r="G995" t="s">
        <v>582</v>
      </c>
      <c r="H995" t="s">
        <v>583</v>
      </c>
      <c r="I995" t="s">
        <v>584</v>
      </c>
      <c r="J995" t="s">
        <v>585</v>
      </c>
      <c r="K995" t="s">
        <v>586</v>
      </c>
      <c r="L995" t="s">
        <v>587</v>
      </c>
      <c r="M995" t="s">
        <v>588</v>
      </c>
      <c r="O995" t="s">
        <v>589</v>
      </c>
      <c r="P995" t="s">
        <v>36</v>
      </c>
      <c r="Q995" t="s">
        <v>37</v>
      </c>
      <c r="R995">
        <v>4</v>
      </c>
      <c r="S995" t="s">
        <v>590</v>
      </c>
      <c r="T995" t="s">
        <v>60</v>
      </c>
      <c r="U995" t="s">
        <v>53</v>
      </c>
      <c r="V995" t="s">
        <v>508</v>
      </c>
    </row>
    <row r="996" spans="1:22" hidden="1" x14ac:dyDescent="0.2">
      <c r="A996" t="s">
        <v>578</v>
      </c>
      <c r="B996" t="s">
        <v>23</v>
      </c>
      <c r="C996" t="s">
        <v>257</v>
      </c>
      <c r="D996" t="s">
        <v>579</v>
      </c>
      <c r="E996" t="s">
        <v>580</v>
      </c>
      <c r="F996" t="s">
        <v>581</v>
      </c>
      <c r="G996" t="s">
        <v>582</v>
      </c>
      <c r="H996" t="s">
        <v>583</v>
      </c>
      <c r="I996" t="s">
        <v>584</v>
      </c>
      <c r="J996" t="s">
        <v>585</v>
      </c>
      <c r="K996" t="s">
        <v>586</v>
      </c>
      <c r="L996" t="s">
        <v>587</v>
      </c>
      <c r="M996" t="s">
        <v>588</v>
      </c>
      <c r="O996" t="s">
        <v>589</v>
      </c>
      <c r="P996" t="s">
        <v>36</v>
      </c>
      <c r="Q996" t="s">
        <v>37</v>
      </c>
      <c r="R996">
        <v>4</v>
      </c>
      <c r="S996" t="s">
        <v>590</v>
      </c>
      <c r="T996" t="s">
        <v>79</v>
      </c>
      <c r="U996" t="s">
        <v>53</v>
      </c>
      <c r="V996" t="s">
        <v>195</v>
      </c>
    </row>
    <row r="997" spans="1:22" hidden="1" x14ac:dyDescent="0.2">
      <c r="A997" t="s">
        <v>578</v>
      </c>
      <c r="B997" t="s">
        <v>23</v>
      </c>
      <c r="C997" t="s">
        <v>257</v>
      </c>
      <c r="D997" t="s">
        <v>579</v>
      </c>
      <c r="E997" t="s">
        <v>580</v>
      </c>
      <c r="F997" t="s">
        <v>581</v>
      </c>
      <c r="G997" t="s">
        <v>582</v>
      </c>
      <c r="H997" t="s">
        <v>583</v>
      </c>
      <c r="I997" t="s">
        <v>584</v>
      </c>
      <c r="J997" t="s">
        <v>585</v>
      </c>
      <c r="K997" t="s">
        <v>586</v>
      </c>
      <c r="L997" t="s">
        <v>587</v>
      </c>
      <c r="M997" t="s">
        <v>588</v>
      </c>
      <c r="O997" t="s">
        <v>589</v>
      </c>
      <c r="P997" t="s">
        <v>36</v>
      </c>
      <c r="Q997" t="s">
        <v>37</v>
      </c>
      <c r="R997">
        <v>4</v>
      </c>
      <c r="S997" t="s">
        <v>590</v>
      </c>
      <c r="T997" t="s">
        <v>79</v>
      </c>
      <c r="U997" t="s">
        <v>157</v>
      </c>
      <c r="V997" t="s">
        <v>196</v>
      </c>
    </row>
    <row r="998" spans="1:22" hidden="1" x14ac:dyDescent="0.2">
      <c r="A998" t="s">
        <v>578</v>
      </c>
      <c r="B998" t="s">
        <v>23</v>
      </c>
      <c r="C998" t="s">
        <v>257</v>
      </c>
      <c r="D998" t="s">
        <v>579</v>
      </c>
      <c r="E998" t="s">
        <v>580</v>
      </c>
      <c r="F998" t="s">
        <v>581</v>
      </c>
      <c r="G998" t="s">
        <v>582</v>
      </c>
      <c r="H998" t="s">
        <v>583</v>
      </c>
      <c r="I998" t="s">
        <v>584</v>
      </c>
      <c r="J998" t="s">
        <v>585</v>
      </c>
      <c r="K998" t="s">
        <v>586</v>
      </c>
      <c r="L998" t="s">
        <v>587</v>
      </c>
      <c r="M998" t="s">
        <v>588</v>
      </c>
      <c r="O998" t="s">
        <v>589</v>
      </c>
      <c r="P998" t="s">
        <v>36</v>
      </c>
      <c r="Q998" t="s">
        <v>37</v>
      </c>
      <c r="R998">
        <v>4</v>
      </c>
      <c r="S998" t="s">
        <v>590</v>
      </c>
      <c r="T998" t="s">
        <v>79</v>
      </c>
      <c r="U998" t="s">
        <v>53</v>
      </c>
      <c r="V998" t="s">
        <v>76</v>
      </c>
    </row>
    <row r="999" spans="1:22" hidden="1" x14ac:dyDescent="0.2">
      <c r="A999" t="s">
        <v>578</v>
      </c>
      <c r="B999" t="s">
        <v>23</v>
      </c>
      <c r="C999" t="s">
        <v>257</v>
      </c>
      <c r="D999" t="s">
        <v>579</v>
      </c>
      <c r="E999" t="s">
        <v>580</v>
      </c>
      <c r="F999" t="s">
        <v>581</v>
      </c>
      <c r="G999" t="s">
        <v>582</v>
      </c>
      <c r="H999" t="s">
        <v>583</v>
      </c>
      <c r="I999" t="s">
        <v>584</v>
      </c>
      <c r="J999" t="s">
        <v>585</v>
      </c>
      <c r="K999" t="s">
        <v>586</v>
      </c>
      <c r="L999" t="s">
        <v>587</v>
      </c>
      <c r="M999" t="s">
        <v>588</v>
      </c>
      <c r="O999" t="s">
        <v>589</v>
      </c>
      <c r="P999" t="s">
        <v>36</v>
      </c>
      <c r="Q999" t="s">
        <v>37</v>
      </c>
      <c r="R999">
        <v>4</v>
      </c>
      <c r="S999" t="s">
        <v>590</v>
      </c>
      <c r="T999" t="s">
        <v>79</v>
      </c>
      <c r="U999" t="s">
        <v>53</v>
      </c>
      <c r="V999" t="s">
        <v>508</v>
      </c>
    </row>
    <row r="1000" spans="1:22" hidden="1" x14ac:dyDescent="0.2">
      <c r="A1000" t="s">
        <v>578</v>
      </c>
      <c r="B1000" t="s">
        <v>23</v>
      </c>
      <c r="C1000" t="s">
        <v>257</v>
      </c>
      <c r="D1000" t="s">
        <v>579</v>
      </c>
      <c r="E1000" t="s">
        <v>580</v>
      </c>
      <c r="F1000" t="s">
        <v>581</v>
      </c>
      <c r="G1000" t="s">
        <v>582</v>
      </c>
      <c r="H1000" t="s">
        <v>583</v>
      </c>
      <c r="I1000" t="s">
        <v>584</v>
      </c>
      <c r="J1000" t="s">
        <v>585</v>
      </c>
      <c r="K1000" t="s">
        <v>586</v>
      </c>
      <c r="L1000" t="s">
        <v>587</v>
      </c>
      <c r="M1000" t="s">
        <v>588</v>
      </c>
      <c r="O1000" t="s">
        <v>589</v>
      </c>
      <c r="P1000" t="s">
        <v>36</v>
      </c>
      <c r="Q1000" t="s">
        <v>37</v>
      </c>
      <c r="R1000">
        <v>4</v>
      </c>
      <c r="S1000" t="s">
        <v>590</v>
      </c>
      <c r="T1000" t="s">
        <v>62</v>
      </c>
      <c r="U1000" t="s">
        <v>53</v>
      </c>
      <c r="V1000" t="s">
        <v>195</v>
      </c>
    </row>
    <row r="1001" spans="1:22" hidden="1" x14ac:dyDescent="0.2">
      <c r="A1001" t="s">
        <v>578</v>
      </c>
      <c r="B1001" t="s">
        <v>23</v>
      </c>
      <c r="C1001" t="s">
        <v>257</v>
      </c>
      <c r="D1001" t="s">
        <v>579</v>
      </c>
      <c r="E1001" t="s">
        <v>580</v>
      </c>
      <c r="F1001" t="s">
        <v>581</v>
      </c>
      <c r="G1001" t="s">
        <v>582</v>
      </c>
      <c r="H1001" t="s">
        <v>583</v>
      </c>
      <c r="I1001" t="s">
        <v>584</v>
      </c>
      <c r="J1001" t="s">
        <v>585</v>
      </c>
      <c r="K1001" t="s">
        <v>586</v>
      </c>
      <c r="L1001" t="s">
        <v>587</v>
      </c>
      <c r="M1001" t="s">
        <v>588</v>
      </c>
      <c r="O1001" t="s">
        <v>589</v>
      </c>
      <c r="P1001" t="s">
        <v>36</v>
      </c>
      <c r="Q1001" t="s">
        <v>37</v>
      </c>
      <c r="R1001">
        <v>4</v>
      </c>
      <c r="S1001" t="s">
        <v>590</v>
      </c>
      <c r="T1001" t="s">
        <v>62</v>
      </c>
      <c r="U1001" t="s">
        <v>157</v>
      </c>
      <c r="V1001" t="s">
        <v>196</v>
      </c>
    </row>
    <row r="1002" spans="1:22" hidden="1" x14ac:dyDescent="0.2">
      <c r="A1002" t="s">
        <v>578</v>
      </c>
      <c r="B1002" t="s">
        <v>23</v>
      </c>
      <c r="C1002" t="s">
        <v>257</v>
      </c>
      <c r="D1002" t="s">
        <v>579</v>
      </c>
      <c r="E1002" t="s">
        <v>580</v>
      </c>
      <c r="F1002" t="s">
        <v>581</v>
      </c>
      <c r="G1002" t="s">
        <v>582</v>
      </c>
      <c r="H1002" t="s">
        <v>583</v>
      </c>
      <c r="I1002" t="s">
        <v>584</v>
      </c>
      <c r="J1002" t="s">
        <v>585</v>
      </c>
      <c r="K1002" t="s">
        <v>586</v>
      </c>
      <c r="L1002" t="s">
        <v>587</v>
      </c>
      <c r="M1002" t="s">
        <v>588</v>
      </c>
      <c r="O1002" t="s">
        <v>589</v>
      </c>
      <c r="P1002" t="s">
        <v>36</v>
      </c>
      <c r="Q1002" t="s">
        <v>37</v>
      </c>
      <c r="R1002">
        <v>4</v>
      </c>
      <c r="S1002" t="s">
        <v>590</v>
      </c>
      <c r="T1002" t="s">
        <v>62</v>
      </c>
      <c r="U1002" t="s">
        <v>53</v>
      </c>
      <c r="V1002" t="s">
        <v>76</v>
      </c>
    </row>
    <row r="1003" spans="1:22" hidden="1" x14ac:dyDescent="0.2">
      <c r="A1003" t="s">
        <v>578</v>
      </c>
      <c r="B1003" t="s">
        <v>23</v>
      </c>
      <c r="C1003" t="s">
        <v>257</v>
      </c>
      <c r="D1003" t="s">
        <v>579</v>
      </c>
      <c r="E1003" t="s">
        <v>580</v>
      </c>
      <c r="F1003" t="s">
        <v>581</v>
      </c>
      <c r="G1003" t="s">
        <v>582</v>
      </c>
      <c r="H1003" t="s">
        <v>583</v>
      </c>
      <c r="I1003" t="s">
        <v>584</v>
      </c>
      <c r="J1003" t="s">
        <v>585</v>
      </c>
      <c r="K1003" t="s">
        <v>586</v>
      </c>
      <c r="L1003" t="s">
        <v>587</v>
      </c>
      <c r="M1003" t="s">
        <v>588</v>
      </c>
      <c r="O1003" t="s">
        <v>589</v>
      </c>
      <c r="P1003" t="s">
        <v>36</v>
      </c>
      <c r="Q1003" t="s">
        <v>37</v>
      </c>
      <c r="R1003">
        <v>4</v>
      </c>
      <c r="S1003" t="s">
        <v>590</v>
      </c>
      <c r="T1003" t="s">
        <v>62</v>
      </c>
      <c r="U1003" t="s">
        <v>53</v>
      </c>
      <c r="V1003" t="s">
        <v>508</v>
      </c>
    </row>
    <row r="1004" spans="1:22" hidden="1" x14ac:dyDescent="0.2">
      <c r="A1004" t="s">
        <v>578</v>
      </c>
      <c r="B1004" t="s">
        <v>23</v>
      </c>
      <c r="C1004" t="s">
        <v>257</v>
      </c>
      <c r="D1004" t="s">
        <v>579</v>
      </c>
      <c r="E1004" t="s">
        <v>580</v>
      </c>
      <c r="F1004" t="s">
        <v>581</v>
      </c>
      <c r="G1004" t="s">
        <v>582</v>
      </c>
      <c r="H1004" t="s">
        <v>583</v>
      </c>
      <c r="I1004" t="s">
        <v>584</v>
      </c>
      <c r="J1004" t="s">
        <v>585</v>
      </c>
      <c r="K1004" t="s">
        <v>586</v>
      </c>
      <c r="L1004" t="s">
        <v>587</v>
      </c>
      <c r="M1004" t="s">
        <v>588</v>
      </c>
      <c r="O1004" t="s">
        <v>589</v>
      </c>
      <c r="P1004" t="s">
        <v>36</v>
      </c>
      <c r="Q1004" t="s">
        <v>37</v>
      </c>
      <c r="R1004">
        <v>4</v>
      </c>
      <c r="S1004" t="s">
        <v>590</v>
      </c>
      <c r="T1004" t="s">
        <v>80</v>
      </c>
      <c r="U1004" t="s">
        <v>53</v>
      </c>
      <c r="V1004" t="s">
        <v>195</v>
      </c>
    </row>
    <row r="1005" spans="1:22" hidden="1" x14ac:dyDescent="0.2">
      <c r="A1005" t="s">
        <v>578</v>
      </c>
      <c r="B1005" t="s">
        <v>23</v>
      </c>
      <c r="C1005" t="s">
        <v>257</v>
      </c>
      <c r="D1005" t="s">
        <v>579</v>
      </c>
      <c r="E1005" t="s">
        <v>580</v>
      </c>
      <c r="F1005" t="s">
        <v>581</v>
      </c>
      <c r="G1005" t="s">
        <v>582</v>
      </c>
      <c r="H1005" t="s">
        <v>583</v>
      </c>
      <c r="I1005" t="s">
        <v>584</v>
      </c>
      <c r="J1005" t="s">
        <v>585</v>
      </c>
      <c r="K1005" t="s">
        <v>586</v>
      </c>
      <c r="L1005" t="s">
        <v>587</v>
      </c>
      <c r="M1005" t="s">
        <v>588</v>
      </c>
      <c r="O1005" t="s">
        <v>589</v>
      </c>
      <c r="P1005" t="s">
        <v>36</v>
      </c>
      <c r="Q1005" t="s">
        <v>37</v>
      </c>
      <c r="R1005">
        <v>4</v>
      </c>
      <c r="S1005" t="s">
        <v>590</v>
      </c>
      <c r="T1005" t="s">
        <v>80</v>
      </c>
      <c r="U1005" t="s">
        <v>157</v>
      </c>
      <c r="V1005" t="s">
        <v>196</v>
      </c>
    </row>
    <row r="1006" spans="1:22" hidden="1" x14ac:dyDescent="0.2">
      <c r="A1006" t="s">
        <v>578</v>
      </c>
      <c r="B1006" t="s">
        <v>23</v>
      </c>
      <c r="C1006" t="s">
        <v>257</v>
      </c>
      <c r="D1006" t="s">
        <v>579</v>
      </c>
      <c r="E1006" t="s">
        <v>580</v>
      </c>
      <c r="F1006" t="s">
        <v>581</v>
      </c>
      <c r="G1006" t="s">
        <v>582</v>
      </c>
      <c r="H1006" t="s">
        <v>583</v>
      </c>
      <c r="I1006" t="s">
        <v>584</v>
      </c>
      <c r="J1006" t="s">
        <v>585</v>
      </c>
      <c r="K1006" t="s">
        <v>586</v>
      </c>
      <c r="L1006" t="s">
        <v>587</v>
      </c>
      <c r="M1006" t="s">
        <v>588</v>
      </c>
      <c r="O1006" t="s">
        <v>589</v>
      </c>
      <c r="P1006" t="s">
        <v>36</v>
      </c>
      <c r="Q1006" t="s">
        <v>37</v>
      </c>
      <c r="R1006">
        <v>4</v>
      </c>
      <c r="S1006" t="s">
        <v>590</v>
      </c>
      <c r="T1006" t="s">
        <v>80</v>
      </c>
      <c r="U1006" t="s">
        <v>53</v>
      </c>
      <c r="V1006" t="s">
        <v>76</v>
      </c>
    </row>
    <row r="1007" spans="1:22" hidden="1" x14ac:dyDescent="0.2">
      <c r="A1007" t="s">
        <v>578</v>
      </c>
      <c r="B1007" t="s">
        <v>23</v>
      </c>
      <c r="C1007" t="s">
        <v>257</v>
      </c>
      <c r="D1007" t="s">
        <v>579</v>
      </c>
      <c r="E1007" t="s">
        <v>580</v>
      </c>
      <c r="F1007" t="s">
        <v>581</v>
      </c>
      <c r="G1007" t="s">
        <v>582</v>
      </c>
      <c r="H1007" t="s">
        <v>583</v>
      </c>
      <c r="I1007" t="s">
        <v>584</v>
      </c>
      <c r="J1007" t="s">
        <v>585</v>
      </c>
      <c r="K1007" t="s">
        <v>586</v>
      </c>
      <c r="L1007" t="s">
        <v>587</v>
      </c>
      <c r="M1007" t="s">
        <v>588</v>
      </c>
      <c r="O1007" t="s">
        <v>589</v>
      </c>
      <c r="P1007" t="s">
        <v>36</v>
      </c>
      <c r="Q1007" t="s">
        <v>37</v>
      </c>
      <c r="R1007">
        <v>4</v>
      </c>
      <c r="S1007" t="s">
        <v>590</v>
      </c>
      <c r="T1007" t="s">
        <v>80</v>
      </c>
      <c r="U1007" t="s">
        <v>53</v>
      </c>
      <c r="V1007" t="s">
        <v>508</v>
      </c>
    </row>
    <row r="1008" spans="1:22" hidden="1" x14ac:dyDescent="0.2">
      <c r="A1008" t="s">
        <v>578</v>
      </c>
      <c r="B1008" t="s">
        <v>23</v>
      </c>
      <c r="C1008" t="s">
        <v>257</v>
      </c>
      <c r="D1008" t="s">
        <v>579</v>
      </c>
      <c r="E1008" t="s">
        <v>580</v>
      </c>
      <c r="F1008" t="s">
        <v>581</v>
      </c>
      <c r="G1008" t="s">
        <v>582</v>
      </c>
      <c r="H1008" t="s">
        <v>583</v>
      </c>
      <c r="I1008" t="s">
        <v>584</v>
      </c>
      <c r="J1008" t="s">
        <v>585</v>
      </c>
      <c r="K1008" t="s">
        <v>586</v>
      </c>
      <c r="L1008" t="s">
        <v>587</v>
      </c>
      <c r="M1008" t="s">
        <v>588</v>
      </c>
      <c r="O1008" t="s">
        <v>589</v>
      </c>
      <c r="P1008" t="s">
        <v>40</v>
      </c>
      <c r="Q1008" t="s">
        <v>37</v>
      </c>
      <c r="R1008">
        <v>10</v>
      </c>
      <c r="S1008" t="s">
        <v>591</v>
      </c>
      <c r="T1008" t="s">
        <v>57</v>
      </c>
      <c r="U1008" t="s">
        <v>53</v>
      </c>
      <c r="V1008" t="s">
        <v>195</v>
      </c>
    </row>
    <row r="1009" spans="1:22" hidden="1" x14ac:dyDescent="0.2">
      <c r="A1009" t="s">
        <v>578</v>
      </c>
      <c r="B1009" t="s">
        <v>23</v>
      </c>
      <c r="C1009" t="s">
        <v>257</v>
      </c>
      <c r="D1009" t="s">
        <v>579</v>
      </c>
      <c r="E1009" t="s">
        <v>580</v>
      </c>
      <c r="F1009" t="s">
        <v>581</v>
      </c>
      <c r="G1009" t="s">
        <v>582</v>
      </c>
      <c r="H1009" t="s">
        <v>583</v>
      </c>
      <c r="I1009" t="s">
        <v>584</v>
      </c>
      <c r="J1009" t="s">
        <v>585</v>
      </c>
      <c r="K1009" t="s">
        <v>586</v>
      </c>
      <c r="L1009" t="s">
        <v>587</v>
      </c>
      <c r="M1009" t="s">
        <v>588</v>
      </c>
      <c r="O1009" t="s">
        <v>589</v>
      </c>
      <c r="P1009" t="s">
        <v>40</v>
      </c>
      <c r="Q1009" t="s">
        <v>37</v>
      </c>
      <c r="R1009">
        <v>10</v>
      </c>
      <c r="S1009" t="s">
        <v>591</v>
      </c>
      <c r="T1009" t="s">
        <v>57</v>
      </c>
      <c r="U1009" t="s">
        <v>157</v>
      </c>
      <c r="V1009" t="s">
        <v>196</v>
      </c>
    </row>
    <row r="1010" spans="1:22" hidden="1" x14ac:dyDescent="0.2">
      <c r="A1010" t="s">
        <v>578</v>
      </c>
      <c r="B1010" t="s">
        <v>23</v>
      </c>
      <c r="C1010" t="s">
        <v>257</v>
      </c>
      <c r="D1010" t="s">
        <v>579</v>
      </c>
      <c r="E1010" t="s">
        <v>580</v>
      </c>
      <c r="F1010" t="s">
        <v>581</v>
      </c>
      <c r="G1010" t="s">
        <v>582</v>
      </c>
      <c r="H1010" t="s">
        <v>583</v>
      </c>
      <c r="I1010" t="s">
        <v>584</v>
      </c>
      <c r="J1010" t="s">
        <v>585</v>
      </c>
      <c r="K1010" t="s">
        <v>586</v>
      </c>
      <c r="L1010" t="s">
        <v>587</v>
      </c>
      <c r="M1010" t="s">
        <v>588</v>
      </c>
      <c r="O1010" t="s">
        <v>589</v>
      </c>
      <c r="P1010" t="s">
        <v>40</v>
      </c>
      <c r="Q1010" t="s">
        <v>37</v>
      </c>
      <c r="R1010">
        <v>10</v>
      </c>
      <c r="S1010" t="s">
        <v>591</v>
      </c>
      <c r="T1010" t="s">
        <v>57</v>
      </c>
      <c r="U1010" t="s">
        <v>53</v>
      </c>
      <c r="V1010" t="s">
        <v>76</v>
      </c>
    </row>
    <row r="1011" spans="1:22" hidden="1" x14ac:dyDescent="0.2">
      <c r="A1011" t="s">
        <v>578</v>
      </c>
      <c r="B1011" t="s">
        <v>23</v>
      </c>
      <c r="C1011" t="s">
        <v>257</v>
      </c>
      <c r="D1011" t="s">
        <v>579</v>
      </c>
      <c r="E1011" t="s">
        <v>580</v>
      </c>
      <c r="F1011" t="s">
        <v>581</v>
      </c>
      <c r="G1011" t="s">
        <v>582</v>
      </c>
      <c r="H1011" t="s">
        <v>583</v>
      </c>
      <c r="I1011" t="s">
        <v>584</v>
      </c>
      <c r="J1011" t="s">
        <v>585</v>
      </c>
      <c r="K1011" t="s">
        <v>586</v>
      </c>
      <c r="L1011" t="s">
        <v>587</v>
      </c>
      <c r="M1011" t="s">
        <v>588</v>
      </c>
      <c r="O1011" t="s">
        <v>589</v>
      </c>
      <c r="P1011" t="s">
        <v>40</v>
      </c>
      <c r="Q1011" t="s">
        <v>37</v>
      </c>
      <c r="R1011">
        <v>10</v>
      </c>
      <c r="S1011" t="s">
        <v>591</v>
      </c>
      <c r="T1011" t="s">
        <v>57</v>
      </c>
      <c r="U1011" t="s">
        <v>53</v>
      </c>
      <c r="V1011" t="s">
        <v>508</v>
      </c>
    </row>
    <row r="1012" spans="1:22" hidden="1" x14ac:dyDescent="0.2">
      <c r="A1012" t="s">
        <v>578</v>
      </c>
      <c r="B1012" t="s">
        <v>23</v>
      </c>
      <c r="C1012" t="s">
        <v>257</v>
      </c>
      <c r="D1012" t="s">
        <v>579</v>
      </c>
      <c r="E1012" t="s">
        <v>580</v>
      </c>
      <c r="F1012" t="s">
        <v>581</v>
      </c>
      <c r="G1012" t="s">
        <v>582</v>
      </c>
      <c r="H1012" t="s">
        <v>583</v>
      </c>
      <c r="I1012" t="s">
        <v>584</v>
      </c>
      <c r="J1012" t="s">
        <v>585</v>
      </c>
      <c r="K1012" t="s">
        <v>586</v>
      </c>
      <c r="L1012" t="s">
        <v>587</v>
      </c>
      <c r="M1012" t="s">
        <v>588</v>
      </c>
      <c r="O1012" t="s">
        <v>589</v>
      </c>
      <c r="P1012" t="s">
        <v>40</v>
      </c>
      <c r="Q1012" t="s">
        <v>37</v>
      </c>
      <c r="R1012">
        <v>10</v>
      </c>
      <c r="S1012" t="s">
        <v>591</v>
      </c>
      <c r="T1012" t="s">
        <v>39</v>
      </c>
      <c r="U1012" t="s">
        <v>53</v>
      </c>
      <c r="V1012" t="s">
        <v>195</v>
      </c>
    </row>
    <row r="1013" spans="1:22" hidden="1" x14ac:dyDescent="0.2">
      <c r="A1013" t="s">
        <v>578</v>
      </c>
      <c r="B1013" t="s">
        <v>23</v>
      </c>
      <c r="C1013" t="s">
        <v>257</v>
      </c>
      <c r="D1013" t="s">
        <v>579</v>
      </c>
      <c r="E1013" t="s">
        <v>580</v>
      </c>
      <c r="F1013" t="s">
        <v>581</v>
      </c>
      <c r="G1013" t="s">
        <v>582</v>
      </c>
      <c r="H1013" t="s">
        <v>583</v>
      </c>
      <c r="I1013" t="s">
        <v>584</v>
      </c>
      <c r="J1013" t="s">
        <v>585</v>
      </c>
      <c r="K1013" t="s">
        <v>586</v>
      </c>
      <c r="L1013" t="s">
        <v>587</v>
      </c>
      <c r="M1013" t="s">
        <v>588</v>
      </c>
      <c r="O1013" t="s">
        <v>589</v>
      </c>
      <c r="P1013" t="s">
        <v>40</v>
      </c>
      <c r="Q1013" t="s">
        <v>37</v>
      </c>
      <c r="R1013">
        <v>10</v>
      </c>
      <c r="S1013" t="s">
        <v>591</v>
      </c>
      <c r="T1013" t="s">
        <v>39</v>
      </c>
      <c r="U1013" t="s">
        <v>157</v>
      </c>
      <c r="V1013" t="s">
        <v>196</v>
      </c>
    </row>
    <row r="1014" spans="1:22" hidden="1" x14ac:dyDescent="0.2">
      <c r="A1014" t="s">
        <v>578</v>
      </c>
      <c r="B1014" t="s">
        <v>23</v>
      </c>
      <c r="C1014" t="s">
        <v>257</v>
      </c>
      <c r="D1014" t="s">
        <v>579</v>
      </c>
      <c r="E1014" t="s">
        <v>580</v>
      </c>
      <c r="F1014" t="s">
        <v>581</v>
      </c>
      <c r="G1014" t="s">
        <v>582</v>
      </c>
      <c r="H1014" t="s">
        <v>583</v>
      </c>
      <c r="I1014" t="s">
        <v>584</v>
      </c>
      <c r="J1014" t="s">
        <v>585</v>
      </c>
      <c r="K1014" t="s">
        <v>586</v>
      </c>
      <c r="L1014" t="s">
        <v>587</v>
      </c>
      <c r="M1014" t="s">
        <v>588</v>
      </c>
      <c r="O1014" t="s">
        <v>589</v>
      </c>
      <c r="P1014" t="s">
        <v>40</v>
      </c>
      <c r="Q1014" t="s">
        <v>37</v>
      </c>
      <c r="R1014">
        <v>10</v>
      </c>
      <c r="S1014" t="s">
        <v>591</v>
      </c>
      <c r="T1014" t="s">
        <v>39</v>
      </c>
      <c r="U1014" t="s">
        <v>53</v>
      </c>
      <c r="V1014" t="s">
        <v>76</v>
      </c>
    </row>
    <row r="1015" spans="1:22" hidden="1" x14ac:dyDescent="0.2">
      <c r="A1015" t="s">
        <v>578</v>
      </c>
      <c r="B1015" t="s">
        <v>23</v>
      </c>
      <c r="C1015" t="s">
        <v>257</v>
      </c>
      <c r="D1015" t="s">
        <v>579</v>
      </c>
      <c r="E1015" t="s">
        <v>580</v>
      </c>
      <c r="F1015" t="s">
        <v>581</v>
      </c>
      <c r="G1015" t="s">
        <v>582</v>
      </c>
      <c r="H1015" t="s">
        <v>583</v>
      </c>
      <c r="I1015" t="s">
        <v>584</v>
      </c>
      <c r="J1015" t="s">
        <v>585</v>
      </c>
      <c r="K1015" t="s">
        <v>586</v>
      </c>
      <c r="L1015" t="s">
        <v>587</v>
      </c>
      <c r="M1015" t="s">
        <v>588</v>
      </c>
      <c r="O1015" t="s">
        <v>589</v>
      </c>
      <c r="P1015" t="s">
        <v>40</v>
      </c>
      <c r="Q1015" t="s">
        <v>37</v>
      </c>
      <c r="R1015">
        <v>10</v>
      </c>
      <c r="S1015" t="s">
        <v>591</v>
      </c>
      <c r="T1015" t="s">
        <v>39</v>
      </c>
      <c r="U1015" t="s">
        <v>53</v>
      </c>
      <c r="V1015" t="s">
        <v>508</v>
      </c>
    </row>
    <row r="1016" spans="1:22" hidden="1" x14ac:dyDescent="0.2">
      <c r="A1016" t="s">
        <v>578</v>
      </c>
      <c r="B1016" t="s">
        <v>23</v>
      </c>
      <c r="C1016" t="s">
        <v>257</v>
      </c>
      <c r="D1016" t="s">
        <v>579</v>
      </c>
      <c r="E1016" t="s">
        <v>580</v>
      </c>
      <c r="F1016" t="s">
        <v>581</v>
      </c>
      <c r="G1016" t="s">
        <v>582</v>
      </c>
      <c r="H1016" t="s">
        <v>583</v>
      </c>
      <c r="I1016" t="s">
        <v>584</v>
      </c>
      <c r="J1016" t="s">
        <v>585</v>
      </c>
      <c r="K1016" t="s">
        <v>586</v>
      </c>
      <c r="L1016" t="s">
        <v>587</v>
      </c>
      <c r="M1016" t="s">
        <v>588</v>
      </c>
      <c r="O1016" t="s">
        <v>589</v>
      </c>
      <c r="P1016" t="s">
        <v>40</v>
      </c>
      <c r="Q1016" t="s">
        <v>37</v>
      </c>
      <c r="R1016">
        <v>10</v>
      </c>
      <c r="S1016" t="s">
        <v>591</v>
      </c>
      <c r="T1016" t="s">
        <v>59</v>
      </c>
      <c r="U1016" t="s">
        <v>53</v>
      </c>
      <c r="V1016" t="s">
        <v>195</v>
      </c>
    </row>
    <row r="1017" spans="1:22" hidden="1" x14ac:dyDescent="0.2">
      <c r="A1017" t="s">
        <v>578</v>
      </c>
      <c r="B1017" t="s">
        <v>23</v>
      </c>
      <c r="C1017" t="s">
        <v>257</v>
      </c>
      <c r="D1017" t="s">
        <v>579</v>
      </c>
      <c r="E1017" t="s">
        <v>580</v>
      </c>
      <c r="F1017" t="s">
        <v>581</v>
      </c>
      <c r="G1017" t="s">
        <v>582</v>
      </c>
      <c r="H1017" t="s">
        <v>583</v>
      </c>
      <c r="I1017" t="s">
        <v>584</v>
      </c>
      <c r="J1017" t="s">
        <v>585</v>
      </c>
      <c r="K1017" t="s">
        <v>586</v>
      </c>
      <c r="L1017" t="s">
        <v>587</v>
      </c>
      <c r="M1017" t="s">
        <v>588</v>
      </c>
      <c r="O1017" t="s">
        <v>589</v>
      </c>
      <c r="P1017" t="s">
        <v>40</v>
      </c>
      <c r="Q1017" t="s">
        <v>37</v>
      </c>
      <c r="R1017">
        <v>10</v>
      </c>
      <c r="S1017" t="s">
        <v>591</v>
      </c>
      <c r="T1017" t="s">
        <v>59</v>
      </c>
      <c r="U1017" t="s">
        <v>157</v>
      </c>
      <c r="V1017" t="s">
        <v>196</v>
      </c>
    </row>
    <row r="1018" spans="1:22" hidden="1" x14ac:dyDescent="0.2">
      <c r="A1018" t="s">
        <v>578</v>
      </c>
      <c r="B1018" t="s">
        <v>23</v>
      </c>
      <c r="C1018" t="s">
        <v>257</v>
      </c>
      <c r="D1018" t="s">
        <v>579</v>
      </c>
      <c r="E1018" t="s">
        <v>580</v>
      </c>
      <c r="F1018" t="s">
        <v>581</v>
      </c>
      <c r="G1018" t="s">
        <v>582</v>
      </c>
      <c r="H1018" t="s">
        <v>583</v>
      </c>
      <c r="I1018" t="s">
        <v>584</v>
      </c>
      <c r="J1018" t="s">
        <v>585</v>
      </c>
      <c r="K1018" t="s">
        <v>586</v>
      </c>
      <c r="L1018" t="s">
        <v>587</v>
      </c>
      <c r="M1018" t="s">
        <v>588</v>
      </c>
      <c r="O1018" t="s">
        <v>589</v>
      </c>
      <c r="P1018" t="s">
        <v>40</v>
      </c>
      <c r="Q1018" t="s">
        <v>37</v>
      </c>
      <c r="R1018">
        <v>10</v>
      </c>
      <c r="S1018" t="s">
        <v>591</v>
      </c>
      <c r="T1018" t="s">
        <v>59</v>
      </c>
      <c r="U1018" t="s">
        <v>53</v>
      </c>
      <c r="V1018" t="s">
        <v>76</v>
      </c>
    </row>
    <row r="1019" spans="1:22" hidden="1" x14ac:dyDescent="0.2">
      <c r="A1019" t="s">
        <v>578</v>
      </c>
      <c r="B1019" t="s">
        <v>23</v>
      </c>
      <c r="C1019" t="s">
        <v>257</v>
      </c>
      <c r="D1019" t="s">
        <v>579</v>
      </c>
      <c r="E1019" t="s">
        <v>580</v>
      </c>
      <c r="F1019" t="s">
        <v>581</v>
      </c>
      <c r="G1019" t="s">
        <v>582</v>
      </c>
      <c r="H1019" t="s">
        <v>583</v>
      </c>
      <c r="I1019" t="s">
        <v>584</v>
      </c>
      <c r="J1019" t="s">
        <v>585</v>
      </c>
      <c r="K1019" t="s">
        <v>586</v>
      </c>
      <c r="L1019" t="s">
        <v>587</v>
      </c>
      <c r="M1019" t="s">
        <v>588</v>
      </c>
      <c r="O1019" t="s">
        <v>589</v>
      </c>
      <c r="P1019" t="s">
        <v>40</v>
      </c>
      <c r="Q1019" t="s">
        <v>37</v>
      </c>
      <c r="R1019">
        <v>10</v>
      </c>
      <c r="S1019" t="s">
        <v>591</v>
      </c>
      <c r="T1019" t="s">
        <v>59</v>
      </c>
      <c r="U1019" t="s">
        <v>53</v>
      </c>
      <c r="V1019" t="s">
        <v>508</v>
      </c>
    </row>
    <row r="1020" spans="1:22" hidden="1" x14ac:dyDescent="0.2">
      <c r="A1020" t="s">
        <v>578</v>
      </c>
      <c r="B1020" t="s">
        <v>23</v>
      </c>
      <c r="C1020" t="s">
        <v>257</v>
      </c>
      <c r="D1020" t="s">
        <v>579</v>
      </c>
      <c r="E1020" t="s">
        <v>580</v>
      </c>
      <c r="F1020" t="s">
        <v>581</v>
      </c>
      <c r="G1020" t="s">
        <v>582</v>
      </c>
      <c r="H1020" t="s">
        <v>583</v>
      </c>
      <c r="I1020" t="s">
        <v>584</v>
      </c>
      <c r="J1020" t="s">
        <v>585</v>
      </c>
      <c r="K1020" t="s">
        <v>586</v>
      </c>
      <c r="L1020" t="s">
        <v>587</v>
      </c>
      <c r="M1020" t="s">
        <v>588</v>
      </c>
      <c r="O1020" t="s">
        <v>589</v>
      </c>
      <c r="P1020" t="s">
        <v>40</v>
      </c>
      <c r="Q1020" t="s">
        <v>37</v>
      </c>
      <c r="R1020">
        <v>10</v>
      </c>
      <c r="S1020" t="s">
        <v>591</v>
      </c>
      <c r="T1020" t="s">
        <v>60</v>
      </c>
      <c r="U1020" t="s">
        <v>53</v>
      </c>
      <c r="V1020" t="s">
        <v>195</v>
      </c>
    </row>
    <row r="1021" spans="1:22" hidden="1" x14ac:dyDescent="0.2">
      <c r="A1021" t="s">
        <v>578</v>
      </c>
      <c r="B1021" t="s">
        <v>23</v>
      </c>
      <c r="C1021" t="s">
        <v>257</v>
      </c>
      <c r="D1021" t="s">
        <v>579</v>
      </c>
      <c r="E1021" t="s">
        <v>580</v>
      </c>
      <c r="F1021" t="s">
        <v>581</v>
      </c>
      <c r="G1021" t="s">
        <v>582</v>
      </c>
      <c r="H1021" t="s">
        <v>583</v>
      </c>
      <c r="I1021" t="s">
        <v>584</v>
      </c>
      <c r="J1021" t="s">
        <v>585</v>
      </c>
      <c r="K1021" t="s">
        <v>586</v>
      </c>
      <c r="L1021" t="s">
        <v>587</v>
      </c>
      <c r="M1021" t="s">
        <v>588</v>
      </c>
      <c r="O1021" t="s">
        <v>589</v>
      </c>
      <c r="P1021" t="s">
        <v>40</v>
      </c>
      <c r="Q1021" t="s">
        <v>37</v>
      </c>
      <c r="R1021">
        <v>10</v>
      </c>
      <c r="S1021" t="s">
        <v>591</v>
      </c>
      <c r="T1021" t="s">
        <v>60</v>
      </c>
      <c r="U1021" t="s">
        <v>157</v>
      </c>
      <c r="V1021" t="s">
        <v>196</v>
      </c>
    </row>
    <row r="1022" spans="1:22" hidden="1" x14ac:dyDescent="0.2">
      <c r="A1022" t="s">
        <v>578</v>
      </c>
      <c r="B1022" t="s">
        <v>23</v>
      </c>
      <c r="C1022" t="s">
        <v>257</v>
      </c>
      <c r="D1022" t="s">
        <v>579</v>
      </c>
      <c r="E1022" t="s">
        <v>580</v>
      </c>
      <c r="F1022" t="s">
        <v>581</v>
      </c>
      <c r="G1022" t="s">
        <v>582</v>
      </c>
      <c r="H1022" t="s">
        <v>583</v>
      </c>
      <c r="I1022" t="s">
        <v>584</v>
      </c>
      <c r="J1022" t="s">
        <v>585</v>
      </c>
      <c r="K1022" t="s">
        <v>586</v>
      </c>
      <c r="L1022" t="s">
        <v>587</v>
      </c>
      <c r="M1022" t="s">
        <v>588</v>
      </c>
      <c r="O1022" t="s">
        <v>589</v>
      </c>
      <c r="P1022" t="s">
        <v>40</v>
      </c>
      <c r="Q1022" t="s">
        <v>37</v>
      </c>
      <c r="R1022">
        <v>10</v>
      </c>
      <c r="S1022" t="s">
        <v>591</v>
      </c>
      <c r="T1022" t="s">
        <v>60</v>
      </c>
      <c r="U1022" t="s">
        <v>53</v>
      </c>
      <c r="V1022" t="s">
        <v>76</v>
      </c>
    </row>
    <row r="1023" spans="1:22" hidden="1" x14ac:dyDescent="0.2">
      <c r="A1023" t="s">
        <v>578</v>
      </c>
      <c r="B1023" t="s">
        <v>23</v>
      </c>
      <c r="C1023" t="s">
        <v>257</v>
      </c>
      <c r="D1023" t="s">
        <v>579</v>
      </c>
      <c r="E1023" t="s">
        <v>580</v>
      </c>
      <c r="F1023" t="s">
        <v>581</v>
      </c>
      <c r="G1023" t="s">
        <v>582</v>
      </c>
      <c r="H1023" t="s">
        <v>583</v>
      </c>
      <c r="I1023" t="s">
        <v>584</v>
      </c>
      <c r="J1023" t="s">
        <v>585</v>
      </c>
      <c r="K1023" t="s">
        <v>586</v>
      </c>
      <c r="L1023" t="s">
        <v>587</v>
      </c>
      <c r="M1023" t="s">
        <v>588</v>
      </c>
      <c r="O1023" t="s">
        <v>589</v>
      </c>
      <c r="P1023" t="s">
        <v>40</v>
      </c>
      <c r="Q1023" t="s">
        <v>37</v>
      </c>
      <c r="R1023">
        <v>10</v>
      </c>
      <c r="S1023" t="s">
        <v>591</v>
      </c>
      <c r="T1023" t="s">
        <v>60</v>
      </c>
      <c r="U1023" t="s">
        <v>53</v>
      </c>
      <c r="V1023" t="s">
        <v>508</v>
      </c>
    </row>
    <row r="1024" spans="1:22" hidden="1" x14ac:dyDescent="0.2">
      <c r="A1024" t="s">
        <v>578</v>
      </c>
      <c r="B1024" t="s">
        <v>23</v>
      </c>
      <c r="C1024" t="s">
        <v>257</v>
      </c>
      <c r="D1024" t="s">
        <v>579</v>
      </c>
      <c r="E1024" t="s">
        <v>580</v>
      </c>
      <c r="F1024" t="s">
        <v>581</v>
      </c>
      <c r="G1024" t="s">
        <v>582</v>
      </c>
      <c r="H1024" t="s">
        <v>583</v>
      </c>
      <c r="I1024" t="s">
        <v>584</v>
      </c>
      <c r="J1024" t="s">
        <v>585</v>
      </c>
      <c r="K1024" t="s">
        <v>586</v>
      </c>
      <c r="L1024" t="s">
        <v>587</v>
      </c>
      <c r="M1024" t="s">
        <v>588</v>
      </c>
      <c r="O1024" t="s">
        <v>589</v>
      </c>
      <c r="P1024" t="s">
        <v>40</v>
      </c>
      <c r="Q1024" t="s">
        <v>37</v>
      </c>
      <c r="R1024">
        <v>10</v>
      </c>
      <c r="S1024" t="s">
        <v>591</v>
      </c>
      <c r="T1024" t="s">
        <v>79</v>
      </c>
      <c r="U1024" t="s">
        <v>53</v>
      </c>
      <c r="V1024" t="s">
        <v>195</v>
      </c>
    </row>
    <row r="1025" spans="1:22" hidden="1" x14ac:dyDescent="0.2">
      <c r="A1025" t="s">
        <v>578</v>
      </c>
      <c r="B1025" t="s">
        <v>23</v>
      </c>
      <c r="C1025" t="s">
        <v>257</v>
      </c>
      <c r="D1025" t="s">
        <v>579</v>
      </c>
      <c r="E1025" t="s">
        <v>580</v>
      </c>
      <c r="F1025" t="s">
        <v>581</v>
      </c>
      <c r="G1025" t="s">
        <v>582</v>
      </c>
      <c r="H1025" t="s">
        <v>583</v>
      </c>
      <c r="I1025" t="s">
        <v>584</v>
      </c>
      <c r="J1025" t="s">
        <v>585</v>
      </c>
      <c r="K1025" t="s">
        <v>586</v>
      </c>
      <c r="L1025" t="s">
        <v>587</v>
      </c>
      <c r="M1025" t="s">
        <v>588</v>
      </c>
      <c r="O1025" t="s">
        <v>589</v>
      </c>
      <c r="P1025" t="s">
        <v>40</v>
      </c>
      <c r="Q1025" t="s">
        <v>37</v>
      </c>
      <c r="R1025">
        <v>10</v>
      </c>
      <c r="S1025" t="s">
        <v>591</v>
      </c>
      <c r="T1025" t="s">
        <v>79</v>
      </c>
      <c r="U1025" t="s">
        <v>157</v>
      </c>
      <c r="V1025" t="s">
        <v>196</v>
      </c>
    </row>
    <row r="1026" spans="1:22" hidden="1" x14ac:dyDescent="0.2">
      <c r="A1026" t="s">
        <v>578</v>
      </c>
      <c r="B1026" t="s">
        <v>23</v>
      </c>
      <c r="C1026" t="s">
        <v>257</v>
      </c>
      <c r="D1026" t="s">
        <v>579</v>
      </c>
      <c r="E1026" t="s">
        <v>580</v>
      </c>
      <c r="F1026" t="s">
        <v>581</v>
      </c>
      <c r="G1026" t="s">
        <v>582</v>
      </c>
      <c r="H1026" t="s">
        <v>583</v>
      </c>
      <c r="I1026" t="s">
        <v>584</v>
      </c>
      <c r="J1026" t="s">
        <v>585</v>
      </c>
      <c r="K1026" t="s">
        <v>586</v>
      </c>
      <c r="L1026" t="s">
        <v>587</v>
      </c>
      <c r="M1026" t="s">
        <v>588</v>
      </c>
      <c r="O1026" t="s">
        <v>589</v>
      </c>
      <c r="P1026" t="s">
        <v>40</v>
      </c>
      <c r="Q1026" t="s">
        <v>37</v>
      </c>
      <c r="R1026">
        <v>10</v>
      </c>
      <c r="S1026" t="s">
        <v>591</v>
      </c>
      <c r="T1026" t="s">
        <v>79</v>
      </c>
      <c r="U1026" t="s">
        <v>53</v>
      </c>
      <c r="V1026" t="s">
        <v>76</v>
      </c>
    </row>
    <row r="1027" spans="1:22" hidden="1" x14ac:dyDescent="0.2">
      <c r="A1027" t="s">
        <v>578</v>
      </c>
      <c r="B1027" t="s">
        <v>23</v>
      </c>
      <c r="C1027" t="s">
        <v>257</v>
      </c>
      <c r="D1027" t="s">
        <v>579</v>
      </c>
      <c r="E1027" t="s">
        <v>580</v>
      </c>
      <c r="F1027" t="s">
        <v>581</v>
      </c>
      <c r="G1027" t="s">
        <v>582</v>
      </c>
      <c r="H1027" t="s">
        <v>583</v>
      </c>
      <c r="I1027" t="s">
        <v>584</v>
      </c>
      <c r="J1027" t="s">
        <v>585</v>
      </c>
      <c r="K1027" t="s">
        <v>586</v>
      </c>
      <c r="L1027" t="s">
        <v>587</v>
      </c>
      <c r="M1027" t="s">
        <v>588</v>
      </c>
      <c r="O1027" t="s">
        <v>589</v>
      </c>
      <c r="P1027" t="s">
        <v>40</v>
      </c>
      <c r="Q1027" t="s">
        <v>37</v>
      </c>
      <c r="R1027">
        <v>10</v>
      </c>
      <c r="S1027" t="s">
        <v>591</v>
      </c>
      <c r="T1027" t="s">
        <v>79</v>
      </c>
      <c r="U1027" t="s">
        <v>53</v>
      </c>
      <c r="V1027" t="s">
        <v>508</v>
      </c>
    </row>
    <row r="1028" spans="1:22" hidden="1" x14ac:dyDescent="0.2">
      <c r="A1028" t="s">
        <v>578</v>
      </c>
      <c r="B1028" t="s">
        <v>23</v>
      </c>
      <c r="C1028" t="s">
        <v>257</v>
      </c>
      <c r="D1028" t="s">
        <v>579</v>
      </c>
      <c r="E1028" t="s">
        <v>580</v>
      </c>
      <c r="F1028" t="s">
        <v>581</v>
      </c>
      <c r="G1028" t="s">
        <v>582</v>
      </c>
      <c r="H1028" t="s">
        <v>583</v>
      </c>
      <c r="I1028" t="s">
        <v>584</v>
      </c>
      <c r="J1028" t="s">
        <v>585</v>
      </c>
      <c r="K1028" t="s">
        <v>586</v>
      </c>
      <c r="L1028" t="s">
        <v>587</v>
      </c>
      <c r="M1028" t="s">
        <v>588</v>
      </c>
      <c r="O1028" t="s">
        <v>589</v>
      </c>
      <c r="P1028" t="s">
        <v>40</v>
      </c>
      <c r="Q1028" t="s">
        <v>37</v>
      </c>
      <c r="R1028">
        <v>10</v>
      </c>
      <c r="S1028" t="s">
        <v>591</v>
      </c>
      <c r="T1028" t="s">
        <v>62</v>
      </c>
      <c r="U1028" t="s">
        <v>53</v>
      </c>
      <c r="V1028" t="s">
        <v>195</v>
      </c>
    </row>
    <row r="1029" spans="1:22" hidden="1" x14ac:dyDescent="0.2">
      <c r="A1029" t="s">
        <v>578</v>
      </c>
      <c r="B1029" t="s">
        <v>23</v>
      </c>
      <c r="C1029" t="s">
        <v>257</v>
      </c>
      <c r="D1029" t="s">
        <v>579</v>
      </c>
      <c r="E1029" t="s">
        <v>580</v>
      </c>
      <c r="F1029" t="s">
        <v>581</v>
      </c>
      <c r="G1029" t="s">
        <v>582</v>
      </c>
      <c r="H1029" t="s">
        <v>583</v>
      </c>
      <c r="I1029" t="s">
        <v>584</v>
      </c>
      <c r="J1029" t="s">
        <v>585</v>
      </c>
      <c r="K1029" t="s">
        <v>586</v>
      </c>
      <c r="L1029" t="s">
        <v>587</v>
      </c>
      <c r="M1029" t="s">
        <v>588</v>
      </c>
      <c r="O1029" t="s">
        <v>589</v>
      </c>
      <c r="P1029" t="s">
        <v>40</v>
      </c>
      <c r="Q1029" t="s">
        <v>37</v>
      </c>
      <c r="R1029">
        <v>10</v>
      </c>
      <c r="S1029" t="s">
        <v>591</v>
      </c>
      <c r="T1029" t="s">
        <v>62</v>
      </c>
      <c r="U1029" t="s">
        <v>157</v>
      </c>
      <c r="V1029" t="s">
        <v>196</v>
      </c>
    </row>
    <row r="1030" spans="1:22" hidden="1" x14ac:dyDescent="0.2">
      <c r="A1030" t="s">
        <v>578</v>
      </c>
      <c r="B1030" t="s">
        <v>23</v>
      </c>
      <c r="C1030" t="s">
        <v>257</v>
      </c>
      <c r="D1030" t="s">
        <v>579</v>
      </c>
      <c r="E1030" t="s">
        <v>580</v>
      </c>
      <c r="F1030" t="s">
        <v>581</v>
      </c>
      <c r="G1030" t="s">
        <v>582</v>
      </c>
      <c r="H1030" t="s">
        <v>583</v>
      </c>
      <c r="I1030" t="s">
        <v>584</v>
      </c>
      <c r="J1030" t="s">
        <v>585</v>
      </c>
      <c r="K1030" t="s">
        <v>586</v>
      </c>
      <c r="L1030" t="s">
        <v>587</v>
      </c>
      <c r="M1030" t="s">
        <v>588</v>
      </c>
      <c r="O1030" t="s">
        <v>589</v>
      </c>
      <c r="P1030" t="s">
        <v>40</v>
      </c>
      <c r="Q1030" t="s">
        <v>37</v>
      </c>
      <c r="R1030">
        <v>10</v>
      </c>
      <c r="S1030" t="s">
        <v>591</v>
      </c>
      <c r="T1030" t="s">
        <v>62</v>
      </c>
      <c r="U1030" t="s">
        <v>53</v>
      </c>
      <c r="V1030" t="s">
        <v>76</v>
      </c>
    </row>
    <row r="1031" spans="1:22" hidden="1" x14ac:dyDescent="0.2">
      <c r="A1031" t="s">
        <v>578</v>
      </c>
      <c r="B1031" t="s">
        <v>23</v>
      </c>
      <c r="C1031" t="s">
        <v>257</v>
      </c>
      <c r="D1031" t="s">
        <v>579</v>
      </c>
      <c r="E1031" t="s">
        <v>580</v>
      </c>
      <c r="F1031" t="s">
        <v>581</v>
      </c>
      <c r="G1031" t="s">
        <v>582</v>
      </c>
      <c r="H1031" t="s">
        <v>583</v>
      </c>
      <c r="I1031" t="s">
        <v>584</v>
      </c>
      <c r="J1031" t="s">
        <v>585</v>
      </c>
      <c r="K1031" t="s">
        <v>586</v>
      </c>
      <c r="L1031" t="s">
        <v>587</v>
      </c>
      <c r="M1031" t="s">
        <v>588</v>
      </c>
      <c r="O1031" t="s">
        <v>589</v>
      </c>
      <c r="P1031" t="s">
        <v>40</v>
      </c>
      <c r="Q1031" t="s">
        <v>37</v>
      </c>
      <c r="R1031">
        <v>10</v>
      </c>
      <c r="S1031" t="s">
        <v>591</v>
      </c>
      <c r="T1031" t="s">
        <v>62</v>
      </c>
      <c r="U1031" t="s">
        <v>53</v>
      </c>
      <c r="V1031" t="s">
        <v>508</v>
      </c>
    </row>
    <row r="1032" spans="1:22" hidden="1" x14ac:dyDescent="0.2">
      <c r="A1032" t="s">
        <v>578</v>
      </c>
      <c r="B1032" t="s">
        <v>23</v>
      </c>
      <c r="C1032" t="s">
        <v>257</v>
      </c>
      <c r="D1032" t="s">
        <v>579</v>
      </c>
      <c r="E1032" t="s">
        <v>580</v>
      </c>
      <c r="F1032" t="s">
        <v>581</v>
      </c>
      <c r="G1032" t="s">
        <v>582</v>
      </c>
      <c r="H1032" t="s">
        <v>583</v>
      </c>
      <c r="I1032" t="s">
        <v>584</v>
      </c>
      <c r="J1032" t="s">
        <v>585</v>
      </c>
      <c r="K1032" t="s">
        <v>586</v>
      </c>
      <c r="L1032" t="s">
        <v>587</v>
      </c>
      <c r="M1032" t="s">
        <v>588</v>
      </c>
      <c r="O1032" t="s">
        <v>589</v>
      </c>
      <c r="P1032" t="s">
        <v>40</v>
      </c>
      <c r="Q1032" t="s">
        <v>37</v>
      </c>
      <c r="R1032">
        <v>10</v>
      </c>
      <c r="S1032" t="s">
        <v>591</v>
      </c>
      <c r="T1032" t="s">
        <v>80</v>
      </c>
      <c r="U1032" t="s">
        <v>53</v>
      </c>
      <c r="V1032" t="s">
        <v>195</v>
      </c>
    </row>
    <row r="1033" spans="1:22" hidden="1" x14ac:dyDescent="0.2">
      <c r="A1033" t="s">
        <v>578</v>
      </c>
      <c r="B1033" t="s">
        <v>23</v>
      </c>
      <c r="C1033" t="s">
        <v>257</v>
      </c>
      <c r="D1033" t="s">
        <v>579</v>
      </c>
      <c r="E1033" t="s">
        <v>580</v>
      </c>
      <c r="F1033" t="s">
        <v>581</v>
      </c>
      <c r="G1033" t="s">
        <v>582</v>
      </c>
      <c r="H1033" t="s">
        <v>583</v>
      </c>
      <c r="I1033" t="s">
        <v>584</v>
      </c>
      <c r="J1033" t="s">
        <v>585</v>
      </c>
      <c r="K1033" t="s">
        <v>586</v>
      </c>
      <c r="L1033" t="s">
        <v>587</v>
      </c>
      <c r="M1033" t="s">
        <v>588</v>
      </c>
      <c r="O1033" t="s">
        <v>589</v>
      </c>
      <c r="P1033" t="s">
        <v>40</v>
      </c>
      <c r="Q1033" t="s">
        <v>37</v>
      </c>
      <c r="R1033">
        <v>10</v>
      </c>
      <c r="S1033" t="s">
        <v>591</v>
      </c>
      <c r="T1033" t="s">
        <v>80</v>
      </c>
      <c r="U1033" t="s">
        <v>157</v>
      </c>
      <c r="V1033" t="s">
        <v>196</v>
      </c>
    </row>
    <row r="1034" spans="1:22" hidden="1" x14ac:dyDescent="0.2">
      <c r="A1034" t="s">
        <v>578</v>
      </c>
      <c r="B1034" t="s">
        <v>23</v>
      </c>
      <c r="C1034" t="s">
        <v>257</v>
      </c>
      <c r="D1034" t="s">
        <v>579</v>
      </c>
      <c r="E1034" t="s">
        <v>580</v>
      </c>
      <c r="F1034" t="s">
        <v>581</v>
      </c>
      <c r="G1034" t="s">
        <v>582</v>
      </c>
      <c r="H1034" t="s">
        <v>583</v>
      </c>
      <c r="I1034" t="s">
        <v>584</v>
      </c>
      <c r="J1034" t="s">
        <v>585</v>
      </c>
      <c r="K1034" t="s">
        <v>586</v>
      </c>
      <c r="L1034" t="s">
        <v>587</v>
      </c>
      <c r="M1034" t="s">
        <v>588</v>
      </c>
      <c r="O1034" t="s">
        <v>589</v>
      </c>
      <c r="P1034" t="s">
        <v>40</v>
      </c>
      <c r="Q1034" t="s">
        <v>37</v>
      </c>
      <c r="R1034">
        <v>10</v>
      </c>
      <c r="S1034" t="s">
        <v>591</v>
      </c>
      <c r="T1034" t="s">
        <v>80</v>
      </c>
      <c r="U1034" t="s">
        <v>53</v>
      </c>
      <c r="V1034" t="s">
        <v>76</v>
      </c>
    </row>
    <row r="1035" spans="1:22" hidden="1" x14ac:dyDescent="0.2">
      <c r="A1035" t="s">
        <v>578</v>
      </c>
      <c r="B1035" t="s">
        <v>23</v>
      </c>
      <c r="C1035" t="s">
        <v>257</v>
      </c>
      <c r="D1035" t="s">
        <v>579</v>
      </c>
      <c r="E1035" t="s">
        <v>580</v>
      </c>
      <c r="F1035" t="s">
        <v>581</v>
      </c>
      <c r="G1035" t="s">
        <v>582</v>
      </c>
      <c r="H1035" t="s">
        <v>583</v>
      </c>
      <c r="I1035" t="s">
        <v>584</v>
      </c>
      <c r="J1035" t="s">
        <v>585</v>
      </c>
      <c r="K1035" t="s">
        <v>586</v>
      </c>
      <c r="L1035" t="s">
        <v>587</v>
      </c>
      <c r="M1035" t="s">
        <v>588</v>
      </c>
      <c r="O1035" t="s">
        <v>589</v>
      </c>
      <c r="P1035" t="s">
        <v>40</v>
      </c>
      <c r="Q1035" t="s">
        <v>37</v>
      </c>
      <c r="R1035">
        <v>10</v>
      </c>
      <c r="S1035" t="s">
        <v>591</v>
      </c>
      <c r="T1035" t="s">
        <v>80</v>
      </c>
      <c r="U1035" t="s">
        <v>53</v>
      </c>
      <c r="V1035" t="s">
        <v>508</v>
      </c>
    </row>
    <row r="1036" spans="1:22" hidden="1" x14ac:dyDescent="0.2">
      <c r="A1036" t="s">
        <v>592</v>
      </c>
      <c r="B1036" t="s">
        <v>23</v>
      </c>
      <c r="C1036" t="s">
        <v>593</v>
      </c>
      <c r="E1036" t="s">
        <v>594</v>
      </c>
      <c r="F1036" t="s">
        <v>595</v>
      </c>
      <c r="G1036" t="s">
        <v>596</v>
      </c>
      <c r="H1036" t="s">
        <v>597</v>
      </c>
      <c r="I1036" t="s">
        <v>25</v>
      </c>
      <c r="J1036" t="s">
        <v>598</v>
      </c>
      <c r="K1036" t="s">
        <v>599</v>
      </c>
      <c r="L1036" t="s">
        <v>600</v>
      </c>
      <c r="M1036" t="s">
        <v>601</v>
      </c>
      <c r="O1036" t="s">
        <v>602</v>
      </c>
      <c r="P1036" t="s">
        <v>603</v>
      </c>
      <c r="Q1036" t="s">
        <v>176</v>
      </c>
      <c r="R1036" t="s">
        <v>177</v>
      </c>
      <c r="S1036" t="s">
        <v>604</v>
      </c>
      <c r="T1036" t="s">
        <v>102</v>
      </c>
      <c r="U1036" t="s">
        <v>25</v>
      </c>
      <c r="V1036" t="s">
        <v>25</v>
      </c>
    </row>
    <row r="1037" spans="1:22" hidden="1" x14ac:dyDescent="0.2">
      <c r="A1037" t="s">
        <v>592</v>
      </c>
      <c r="B1037" t="s">
        <v>23</v>
      </c>
      <c r="C1037" t="s">
        <v>593</v>
      </c>
      <c r="E1037" t="s">
        <v>594</v>
      </c>
      <c r="F1037" t="s">
        <v>595</v>
      </c>
      <c r="G1037" t="s">
        <v>596</v>
      </c>
      <c r="H1037" t="s">
        <v>597</v>
      </c>
      <c r="I1037" t="s">
        <v>25</v>
      </c>
      <c r="J1037" t="s">
        <v>598</v>
      </c>
      <c r="K1037" t="s">
        <v>599</v>
      </c>
      <c r="L1037" t="s">
        <v>600</v>
      </c>
      <c r="M1037" t="s">
        <v>601</v>
      </c>
      <c r="O1037" t="s">
        <v>602</v>
      </c>
      <c r="P1037" t="s">
        <v>603</v>
      </c>
      <c r="Q1037" t="s">
        <v>176</v>
      </c>
      <c r="R1037" t="s">
        <v>177</v>
      </c>
      <c r="S1037" t="s">
        <v>604</v>
      </c>
      <c r="T1037" t="s">
        <v>103</v>
      </c>
      <c r="U1037" t="s">
        <v>25</v>
      </c>
      <c r="V1037" t="s">
        <v>25</v>
      </c>
    </row>
    <row r="1038" spans="1:22" hidden="1" x14ac:dyDescent="0.2">
      <c r="A1038" t="s">
        <v>605</v>
      </c>
      <c r="B1038" t="s">
        <v>23</v>
      </c>
      <c r="C1038" t="s">
        <v>606</v>
      </c>
      <c r="D1038" t="s">
        <v>25</v>
      </c>
      <c r="E1038" t="s">
        <v>607</v>
      </c>
      <c r="F1038" t="s">
        <v>451</v>
      </c>
      <c r="G1038" t="s">
        <v>608</v>
      </c>
      <c r="H1038" t="s">
        <v>609</v>
      </c>
      <c r="I1038" t="s">
        <v>25</v>
      </c>
      <c r="J1038" t="s">
        <v>610</v>
      </c>
      <c r="K1038" t="s">
        <v>25</v>
      </c>
      <c r="L1038" t="s">
        <v>611</v>
      </c>
      <c r="M1038" t="s">
        <v>612</v>
      </c>
      <c r="O1038" t="s">
        <v>613</v>
      </c>
      <c r="T1038" t="s">
        <v>102</v>
      </c>
      <c r="U1038" t="s">
        <v>25</v>
      </c>
      <c r="V1038" t="s">
        <v>25</v>
      </c>
    </row>
    <row r="1039" spans="1:22" hidden="1" x14ac:dyDescent="0.2">
      <c r="A1039" t="s">
        <v>605</v>
      </c>
      <c r="B1039" t="s">
        <v>23</v>
      </c>
      <c r="C1039" t="s">
        <v>606</v>
      </c>
      <c r="D1039" t="s">
        <v>25</v>
      </c>
      <c r="E1039" t="s">
        <v>607</v>
      </c>
      <c r="F1039" t="s">
        <v>451</v>
      </c>
      <c r="G1039" t="s">
        <v>608</v>
      </c>
      <c r="H1039" t="s">
        <v>609</v>
      </c>
      <c r="I1039" t="s">
        <v>25</v>
      </c>
      <c r="J1039" t="s">
        <v>610</v>
      </c>
      <c r="K1039" t="s">
        <v>25</v>
      </c>
      <c r="L1039" t="s">
        <v>611</v>
      </c>
      <c r="M1039" t="s">
        <v>612</v>
      </c>
      <c r="O1039" t="s">
        <v>613</v>
      </c>
      <c r="T1039" t="s">
        <v>103</v>
      </c>
      <c r="U1039" t="s">
        <v>25</v>
      </c>
      <c r="V1039" t="s">
        <v>25</v>
      </c>
    </row>
    <row r="1040" spans="1:22" hidden="1" x14ac:dyDescent="0.2">
      <c r="A1040" t="s">
        <v>614</v>
      </c>
      <c r="B1040" t="s">
        <v>23</v>
      </c>
      <c r="C1040" t="s">
        <v>615</v>
      </c>
      <c r="D1040" t="s">
        <v>25</v>
      </c>
      <c r="E1040" t="s">
        <v>616</v>
      </c>
      <c r="F1040" t="s">
        <v>617</v>
      </c>
      <c r="G1040" t="s">
        <v>618</v>
      </c>
      <c r="H1040" t="s">
        <v>619</v>
      </c>
      <c r="I1040" t="s">
        <v>25</v>
      </c>
      <c r="J1040" t="s">
        <v>620</v>
      </c>
      <c r="K1040" t="s">
        <v>621</v>
      </c>
      <c r="L1040" t="s">
        <v>622</v>
      </c>
      <c r="M1040" t="s">
        <v>623</v>
      </c>
      <c r="O1040" t="s">
        <v>624</v>
      </c>
      <c r="P1040" t="s">
        <v>36</v>
      </c>
      <c r="Q1040" t="s">
        <v>37</v>
      </c>
      <c r="R1040">
        <v>5</v>
      </c>
      <c r="S1040" t="s">
        <v>38</v>
      </c>
      <c r="T1040" t="s">
        <v>102</v>
      </c>
    </row>
    <row r="1041" spans="1:22" hidden="1" x14ac:dyDescent="0.2">
      <c r="A1041" t="s">
        <v>614</v>
      </c>
      <c r="B1041" t="s">
        <v>23</v>
      </c>
      <c r="C1041" t="s">
        <v>615</v>
      </c>
      <c r="D1041" t="s">
        <v>25</v>
      </c>
      <c r="E1041" t="s">
        <v>616</v>
      </c>
      <c r="F1041" t="s">
        <v>617</v>
      </c>
      <c r="G1041" t="s">
        <v>618</v>
      </c>
      <c r="H1041" t="s">
        <v>619</v>
      </c>
      <c r="I1041" t="s">
        <v>25</v>
      </c>
      <c r="J1041" t="s">
        <v>620</v>
      </c>
      <c r="K1041" t="s">
        <v>621</v>
      </c>
      <c r="L1041" t="s">
        <v>622</v>
      </c>
      <c r="M1041" t="s">
        <v>623</v>
      </c>
      <c r="O1041" t="s">
        <v>624</v>
      </c>
      <c r="P1041" t="s">
        <v>36</v>
      </c>
      <c r="Q1041" t="s">
        <v>37</v>
      </c>
      <c r="R1041">
        <v>5</v>
      </c>
      <c r="S1041" t="s">
        <v>38</v>
      </c>
      <c r="T1041" t="s">
        <v>103</v>
      </c>
    </row>
    <row r="1042" spans="1:22" hidden="1" x14ac:dyDescent="0.2">
      <c r="A1042" t="s">
        <v>614</v>
      </c>
      <c r="B1042" t="s">
        <v>23</v>
      </c>
      <c r="C1042" t="s">
        <v>615</v>
      </c>
      <c r="D1042" t="s">
        <v>25</v>
      </c>
      <c r="E1042" t="s">
        <v>616</v>
      </c>
      <c r="F1042" t="s">
        <v>617</v>
      </c>
      <c r="G1042" t="s">
        <v>618</v>
      </c>
      <c r="H1042" t="s">
        <v>619</v>
      </c>
      <c r="I1042" t="s">
        <v>25</v>
      </c>
      <c r="J1042" t="s">
        <v>620</v>
      </c>
      <c r="K1042" t="s">
        <v>621</v>
      </c>
      <c r="L1042" t="s">
        <v>622</v>
      </c>
      <c r="M1042" t="s">
        <v>623</v>
      </c>
      <c r="O1042" t="s">
        <v>624</v>
      </c>
      <c r="P1042" t="s">
        <v>40</v>
      </c>
      <c r="Q1042" t="s">
        <v>37</v>
      </c>
      <c r="R1042">
        <v>20</v>
      </c>
      <c r="S1042" t="s">
        <v>41</v>
      </c>
      <c r="T1042" t="s">
        <v>102</v>
      </c>
    </row>
    <row r="1043" spans="1:22" hidden="1" x14ac:dyDescent="0.2">
      <c r="A1043" t="s">
        <v>614</v>
      </c>
      <c r="B1043" t="s">
        <v>23</v>
      </c>
      <c r="C1043" t="s">
        <v>615</v>
      </c>
      <c r="D1043" t="s">
        <v>25</v>
      </c>
      <c r="E1043" t="s">
        <v>616</v>
      </c>
      <c r="F1043" t="s">
        <v>617</v>
      </c>
      <c r="G1043" t="s">
        <v>618</v>
      </c>
      <c r="H1043" t="s">
        <v>619</v>
      </c>
      <c r="I1043" t="s">
        <v>25</v>
      </c>
      <c r="J1043" t="s">
        <v>620</v>
      </c>
      <c r="K1043" t="s">
        <v>621</v>
      </c>
      <c r="L1043" t="s">
        <v>622</v>
      </c>
      <c r="M1043" t="s">
        <v>623</v>
      </c>
      <c r="O1043" t="s">
        <v>624</v>
      </c>
      <c r="P1043" t="s">
        <v>40</v>
      </c>
      <c r="Q1043" t="s">
        <v>37</v>
      </c>
      <c r="R1043">
        <v>20</v>
      </c>
      <c r="S1043" t="s">
        <v>41</v>
      </c>
      <c r="T1043" t="s">
        <v>103</v>
      </c>
    </row>
    <row r="1044" spans="1:22" hidden="1" x14ac:dyDescent="0.2">
      <c r="A1044" t="s">
        <v>625</v>
      </c>
      <c r="B1044" t="s">
        <v>23</v>
      </c>
      <c r="C1044" t="s">
        <v>396</v>
      </c>
      <c r="D1044" t="s">
        <v>25</v>
      </c>
      <c r="E1044" t="s">
        <v>626</v>
      </c>
      <c r="F1044" t="s">
        <v>627</v>
      </c>
      <c r="G1044" t="s">
        <v>25</v>
      </c>
      <c r="H1044" t="s">
        <v>628</v>
      </c>
      <c r="I1044" t="s">
        <v>629</v>
      </c>
      <c r="J1044" t="s">
        <v>630</v>
      </c>
      <c r="K1044" t="s">
        <v>631</v>
      </c>
      <c r="T1044" t="s">
        <v>57</v>
      </c>
      <c r="U1044" t="s">
        <v>53</v>
      </c>
      <c r="V1044" t="s">
        <v>54</v>
      </c>
    </row>
    <row r="1045" spans="1:22" hidden="1" x14ac:dyDescent="0.2">
      <c r="A1045" t="s">
        <v>625</v>
      </c>
      <c r="B1045" t="s">
        <v>23</v>
      </c>
      <c r="C1045" t="s">
        <v>396</v>
      </c>
      <c r="D1045" t="s">
        <v>25</v>
      </c>
      <c r="E1045" t="s">
        <v>626</v>
      </c>
      <c r="F1045" t="s">
        <v>627</v>
      </c>
      <c r="G1045" t="s">
        <v>25</v>
      </c>
      <c r="H1045" t="s">
        <v>628</v>
      </c>
      <c r="I1045" t="s">
        <v>629</v>
      </c>
      <c r="J1045" t="s">
        <v>630</v>
      </c>
      <c r="K1045" t="s">
        <v>631</v>
      </c>
      <c r="T1045" t="s">
        <v>57</v>
      </c>
      <c r="U1045" t="s">
        <v>53</v>
      </c>
      <c r="V1045" t="s">
        <v>197</v>
      </c>
    </row>
    <row r="1046" spans="1:22" hidden="1" x14ac:dyDescent="0.2">
      <c r="A1046" t="s">
        <v>625</v>
      </c>
      <c r="B1046" t="s">
        <v>23</v>
      </c>
      <c r="C1046" t="s">
        <v>396</v>
      </c>
      <c r="D1046" t="s">
        <v>25</v>
      </c>
      <c r="E1046" t="s">
        <v>626</v>
      </c>
      <c r="F1046" t="s">
        <v>627</v>
      </c>
      <c r="G1046" t="s">
        <v>25</v>
      </c>
      <c r="H1046" t="s">
        <v>628</v>
      </c>
      <c r="I1046" t="s">
        <v>629</v>
      </c>
      <c r="J1046" t="s">
        <v>630</v>
      </c>
      <c r="K1046" t="s">
        <v>631</v>
      </c>
      <c r="T1046" t="s">
        <v>57</v>
      </c>
      <c r="U1046" t="s">
        <v>53</v>
      </c>
      <c r="V1046" t="s">
        <v>76</v>
      </c>
    </row>
    <row r="1047" spans="1:22" hidden="1" x14ac:dyDescent="0.2">
      <c r="A1047" t="s">
        <v>625</v>
      </c>
      <c r="B1047" t="s">
        <v>23</v>
      </c>
      <c r="C1047" t="s">
        <v>396</v>
      </c>
      <c r="D1047" t="s">
        <v>25</v>
      </c>
      <c r="E1047" t="s">
        <v>626</v>
      </c>
      <c r="F1047" t="s">
        <v>627</v>
      </c>
      <c r="G1047" t="s">
        <v>25</v>
      </c>
      <c r="H1047" t="s">
        <v>628</v>
      </c>
      <c r="I1047" t="s">
        <v>629</v>
      </c>
      <c r="J1047" t="s">
        <v>630</v>
      </c>
      <c r="K1047" t="s">
        <v>631</v>
      </c>
      <c r="T1047" t="s">
        <v>39</v>
      </c>
      <c r="U1047" t="s">
        <v>53</v>
      </c>
      <c r="V1047" t="s">
        <v>54</v>
      </c>
    </row>
    <row r="1048" spans="1:22" hidden="1" x14ac:dyDescent="0.2">
      <c r="A1048" t="s">
        <v>625</v>
      </c>
      <c r="B1048" t="s">
        <v>23</v>
      </c>
      <c r="C1048" t="s">
        <v>396</v>
      </c>
      <c r="D1048" t="s">
        <v>25</v>
      </c>
      <c r="E1048" t="s">
        <v>626</v>
      </c>
      <c r="F1048" t="s">
        <v>627</v>
      </c>
      <c r="G1048" t="s">
        <v>25</v>
      </c>
      <c r="H1048" t="s">
        <v>628</v>
      </c>
      <c r="I1048" t="s">
        <v>629</v>
      </c>
      <c r="J1048" t="s">
        <v>630</v>
      </c>
      <c r="K1048" t="s">
        <v>631</v>
      </c>
      <c r="T1048" t="s">
        <v>39</v>
      </c>
      <c r="U1048" t="s">
        <v>53</v>
      </c>
      <c r="V1048" t="s">
        <v>197</v>
      </c>
    </row>
    <row r="1049" spans="1:22" hidden="1" x14ac:dyDescent="0.2">
      <c r="A1049" t="s">
        <v>625</v>
      </c>
      <c r="B1049" t="s">
        <v>23</v>
      </c>
      <c r="C1049" t="s">
        <v>396</v>
      </c>
      <c r="D1049" t="s">
        <v>25</v>
      </c>
      <c r="E1049" t="s">
        <v>626</v>
      </c>
      <c r="F1049" t="s">
        <v>627</v>
      </c>
      <c r="G1049" t="s">
        <v>25</v>
      </c>
      <c r="H1049" t="s">
        <v>628</v>
      </c>
      <c r="I1049" t="s">
        <v>629</v>
      </c>
      <c r="J1049" t="s">
        <v>630</v>
      </c>
      <c r="K1049" t="s">
        <v>631</v>
      </c>
      <c r="T1049" t="s">
        <v>39</v>
      </c>
      <c r="U1049" t="s">
        <v>53</v>
      </c>
      <c r="V1049" t="s">
        <v>76</v>
      </c>
    </row>
    <row r="1050" spans="1:22" hidden="1" x14ac:dyDescent="0.2">
      <c r="A1050" t="s">
        <v>625</v>
      </c>
      <c r="B1050" t="s">
        <v>23</v>
      </c>
      <c r="C1050" t="s">
        <v>396</v>
      </c>
      <c r="D1050" t="s">
        <v>25</v>
      </c>
      <c r="E1050" t="s">
        <v>626</v>
      </c>
      <c r="F1050" t="s">
        <v>627</v>
      </c>
      <c r="G1050" t="s">
        <v>25</v>
      </c>
      <c r="H1050" t="s">
        <v>628</v>
      </c>
      <c r="I1050" t="s">
        <v>629</v>
      </c>
      <c r="J1050" t="s">
        <v>630</v>
      </c>
      <c r="K1050" t="s">
        <v>631</v>
      </c>
      <c r="T1050" t="s">
        <v>58</v>
      </c>
      <c r="U1050" t="s">
        <v>53</v>
      </c>
      <c r="V1050" t="s">
        <v>54</v>
      </c>
    </row>
    <row r="1051" spans="1:22" hidden="1" x14ac:dyDescent="0.2">
      <c r="A1051" t="s">
        <v>625</v>
      </c>
      <c r="B1051" t="s">
        <v>23</v>
      </c>
      <c r="C1051" t="s">
        <v>396</v>
      </c>
      <c r="D1051" t="s">
        <v>25</v>
      </c>
      <c r="E1051" t="s">
        <v>626</v>
      </c>
      <c r="F1051" t="s">
        <v>627</v>
      </c>
      <c r="G1051" t="s">
        <v>25</v>
      </c>
      <c r="H1051" t="s">
        <v>628</v>
      </c>
      <c r="I1051" t="s">
        <v>629</v>
      </c>
      <c r="J1051" t="s">
        <v>630</v>
      </c>
      <c r="K1051" t="s">
        <v>631</v>
      </c>
      <c r="T1051" t="s">
        <v>58</v>
      </c>
      <c r="U1051" t="s">
        <v>53</v>
      </c>
      <c r="V1051" t="s">
        <v>197</v>
      </c>
    </row>
    <row r="1052" spans="1:22" hidden="1" x14ac:dyDescent="0.2">
      <c r="A1052" t="s">
        <v>625</v>
      </c>
      <c r="B1052" t="s">
        <v>23</v>
      </c>
      <c r="C1052" t="s">
        <v>396</v>
      </c>
      <c r="D1052" t="s">
        <v>25</v>
      </c>
      <c r="E1052" t="s">
        <v>626</v>
      </c>
      <c r="F1052" t="s">
        <v>627</v>
      </c>
      <c r="G1052" t="s">
        <v>25</v>
      </c>
      <c r="H1052" t="s">
        <v>628</v>
      </c>
      <c r="I1052" t="s">
        <v>629</v>
      </c>
      <c r="J1052" t="s">
        <v>630</v>
      </c>
      <c r="K1052" t="s">
        <v>631</v>
      </c>
      <c r="T1052" t="s">
        <v>58</v>
      </c>
      <c r="U1052" t="s">
        <v>53</v>
      </c>
      <c r="V1052" t="s">
        <v>76</v>
      </c>
    </row>
    <row r="1053" spans="1:22" hidden="1" x14ac:dyDescent="0.2">
      <c r="A1053" t="s">
        <v>625</v>
      </c>
      <c r="B1053" t="s">
        <v>23</v>
      </c>
      <c r="C1053" t="s">
        <v>396</v>
      </c>
      <c r="D1053" t="s">
        <v>25</v>
      </c>
      <c r="E1053" t="s">
        <v>626</v>
      </c>
      <c r="F1053" t="s">
        <v>627</v>
      </c>
      <c r="G1053" t="s">
        <v>25</v>
      </c>
      <c r="H1053" t="s">
        <v>628</v>
      </c>
      <c r="I1053" t="s">
        <v>629</v>
      </c>
      <c r="J1053" t="s">
        <v>630</v>
      </c>
      <c r="K1053" t="s">
        <v>631</v>
      </c>
      <c r="T1053" t="s">
        <v>59</v>
      </c>
      <c r="U1053" t="s">
        <v>53</v>
      </c>
      <c r="V1053" t="s">
        <v>54</v>
      </c>
    </row>
    <row r="1054" spans="1:22" hidden="1" x14ac:dyDescent="0.2">
      <c r="A1054" t="s">
        <v>625</v>
      </c>
      <c r="B1054" t="s">
        <v>23</v>
      </c>
      <c r="C1054" t="s">
        <v>396</v>
      </c>
      <c r="D1054" t="s">
        <v>25</v>
      </c>
      <c r="E1054" t="s">
        <v>626</v>
      </c>
      <c r="F1054" t="s">
        <v>627</v>
      </c>
      <c r="G1054" t="s">
        <v>25</v>
      </c>
      <c r="H1054" t="s">
        <v>628</v>
      </c>
      <c r="I1054" t="s">
        <v>629</v>
      </c>
      <c r="J1054" t="s">
        <v>630</v>
      </c>
      <c r="K1054" t="s">
        <v>631</v>
      </c>
      <c r="T1054" t="s">
        <v>59</v>
      </c>
      <c r="U1054" t="s">
        <v>53</v>
      </c>
      <c r="V1054" t="s">
        <v>197</v>
      </c>
    </row>
    <row r="1055" spans="1:22" hidden="1" x14ac:dyDescent="0.2">
      <c r="A1055" t="s">
        <v>625</v>
      </c>
      <c r="B1055" t="s">
        <v>23</v>
      </c>
      <c r="C1055" t="s">
        <v>396</v>
      </c>
      <c r="D1055" t="s">
        <v>25</v>
      </c>
      <c r="E1055" t="s">
        <v>626</v>
      </c>
      <c r="F1055" t="s">
        <v>627</v>
      </c>
      <c r="G1055" t="s">
        <v>25</v>
      </c>
      <c r="H1055" t="s">
        <v>628</v>
      </c>
      <c r="I1055" t="s">
        <v>629</v>
      </c>
      <c r="J1055" t="s">
        <v>630</v>
      </c>
      <c r="K1055" t="s">
        <v>631</v>
      </c>
      <c r="T1055" t="s">
        <v>59</v>
      </c>
      <c r="U1055" t="s">
        <v>53</v>
      </c>
      <c r="V1055" t="s">
        <v>76</v>
      </c>
    </row>
    <row r="1056" spans="1:22" hidden="1" x14ac:dyDescent="0.2">
      <c r="A1056" t="s">
        <v>625</v>
      </c>
      <c r="B1056" t="s">
        <v>23</v>
      </c>
      <c r="C1056" t="s">
        <v>396</v>
      </c>
      <c r="D1056" t="s">
        <v>25</v>
      </c>
      <c r="E1056" t="s">
        <v>626</v>
      </c>
      <c r="F1056" t="s">
        <v>627</v>
      </c>
      <c r="G1056" t="s">
        <v>25</v>
      </c>
      <c r="H1056" t="s">
        <v>628</v>
      </c>
      <c r="I1056" t="s">
        <v>629</v>
      </c>
      <c r="J1056" t="s">
        <v>630</v>
      </c>
      <c r="K1056" t="s">
        <v>631</v>
      </c>
      <c r="T1056" t="s">
        <v>60</v>
      </c>
      <c r="U1056" t="s">
        <v>53</v>
      </c>
      <c r="V1056" t="s">
        <v>54</v>
      </c>
    </row>
    <row r="1057" spans="1:22" hidden="1" x14ac:dyDescent="0.2">
      <c r="A1057" t="s">
        <v>625</v>
      </c>
      <c r="B1057" t="s">
        <v>23</v>
      </c>
      <c r="C1057" t="s">
        <v>396</v>
      </c>
      <c r="D1057" t="s">
        <v>25</v>
      </c>
      <c r="E1057" t="s">
        <v>626</v>
      </c>
      <c r="F1057" t="s">
        <v>627</v>
      </c>
      <c r="G1057" t="s">
        <v>25</v>
      </c>
      <c r="H1057" t="s">
        <v>628</v>
      </c>
      <c r="I1057" t="s">
        <v>629</v>
      </c>
      <c r="J1057" t="s">
        <v>630</v>
      </c>
      <c r="K1057" t="s">
        <v>631</v>
      </c>
      <c r="T1057" t="s">
        <v>60</v>
      </c>
      <c r="U1057" t="s">
        <v>53</v>
      </c>
      <c r="V1057" t="s">
        <v>197</v>
      </c>
    </row>
    <row r="1058" spans="1:22" hidden="1" x14ac:dyDescent="0.2">
      <c r="A1058" t="s">
        <v>625</v>
      </c>
      <c r="B1058" t="s">
        <v>23</v>
      </c>
      <c r="C1058" t="s">
        <v>396</v>
      </c>
      <c r="D1058" t="s">
        <v>25</v>
      </c>
      <c r="E1058" t="s">
        <v>626</v>
      </c>
      <c r="F1058" t="s">
        <v>627</v>
      </c>
      <c r="G1058" t="s">
        <v>25</v>
      </c>
      <c r="H1058" t="s">
        <v>628</v>
      </c>
      <c r="I1058" t="s">
        <v>629</v>
      </c>
      <c r="J1058" t="s">
        <v>630</v>
      </c>
      <c r="K1058" t="s">
        <v>631</v>
      </c>
      <c r="T1058" t="s">
        <v>60</v>
      </c>
      <c r="U1058" t="s">
        <v>53</v>
      </c>
      <c r="V1058" t="s">
        <v>76</v>
      </c>
    </row>
    <row r="1059" spans="1:22" hidden="1" x14ac:dyDescent="0.2">
      <c r="A1059" t="s">
        <v>625</v>
      </c>
      <c r="B1059" t="s">
        <v>23</v>
      </c>
      <c r="C1059" t="s">
        <v>396</v>
      </c>
      <c r="D1059" t="s">
        <v>25</v>
      </c>
      <c r="E1059" t="s">
        <v>626</v>
      </c>
      <c r="F1059" t="s">
        <v>627</v>
      </c>
      <c r="G1059" t="s">
        <v>25</v>
      </c>
      <c r="H1059" t="s">
        <v>628</v>
      </c>
      <c r="I1059" t="s">
        <v>629</v>
      </c>
      <c r="J1059" t="s">
        <v>630</v>
      </c>
      <c r="K1059" t="s">
        <v>631</v>
      </c>
      <c r="T1059" t="s">
        <v>131</v>
      </c>
      <c r="U1059" t="s">
        <v>53</v>
      </c>
      <c r="V1059" t="s">
        <v>54</v>
      </c>
    </row>
    <row r="1060" spans="1:22" hidden="1" x14ac:dyDescent="0.2">
      <c r="A1060" t="s">
        <v>625</v>
      </c>
      <c r="B1060" t="s">
        <v>23</v>
      </c>
      <c r="C1060" t="s">
        <v>396</v>
      </c>
      <c r="D1060" t="s">
        <v>25</v>
      </c>
      <c r="E1060" t="s">
        <v>626</v>
      </c>
      <c r="F1060" t="s">
        <v>627</v>
      </c>
      <c r="G1060" t="s">
        <v>25</v>
      </c>
      <c r="H1060" t="s">
        <v>628</v>
      </c>
      <c r="I1060" t="s">
        <v>629</v>
      </c>
      <c r="J1060" t="s">
        <v>630</v>
      </c>
      <c r="K1060" t="s">
        <v>631</v>
      </c>
      <c r="T1060" t="s">
        <v>131</v>
      </c>
      <c r="U1060" t="s">
        <v>53</v>
      </c>
      <c r="V1060" t="s">
        <v>197</v>
      </c>
    </row>
    <row r="1061" spans="1:22" hidden="1" x14ac:dyDescent="0.2">
      <c r="A1061" t="s">
        <v>625</v>
      </c>
      <c r="B1061" t="s">
        <v>23</v>
      </c>
      <c r="C1061" t="s">
        <v>396</v>
      </c>
      <c r="D1061" t="s">
        <v>25</v>
      </c>
      <c r="E1061" t="s">
        <v>626</v>
      </c>
      <c r="F1061" t="s">
        <v>627</v>
      </c>
      <c r="G1061" t="s">
        <v>25</v>
      </c>
      <c r="H1061" t="s">
        <v>628</v>
      </c>
      <c r="I1061" t="s">
        <v>629</v>
      </c>
      <c r="J1061" t="s">
        <v>630</v>
      </c>
      <c r="K1061" t="s">
        <v>631</v>
      </c>
      <c r="T1061" t="s">
        <v>131</v>
      </c>
      <c r="U1061" t="s">
        <v>53</v>
      </c>
      <c r="V1061" t="s">
        <v>76</v>
      </c>
    </row>
    <row r="1062" spans="1:22" hidden="1" x14ac:dyDescent="0.2">
      <c r="A1062" t="s">
        <v>632</v>
      </c>
      <c r="B1062" t="s">
        <v>23</v>
      </c>
      <c r="C1062" t="s">
        <v>633</v>
      </c>
      <c r="D1062" t="s">
        <v>25</v>
      </c>
      <c r="E1062" t="s">
        <v>634</v>
      </c>
      <c r="F1062" t="s">
        <v>635</v>
      </c>
      <c r="G1062" t="s">
        <v>636</v>
      </c>
      <c r="H1062" t="s">
        <v>637</v>
      </c>
      <c r="I1062" t="s">
        <v>25</v>
      </c>
      <c r="J1062" t="s">
        <v>638</v>
      </c>
      <c r="K1062" t="s">
        <v>639</v>
      </c>
      <c r="L1062" t="s">
        <v>640</v>
      </c>
      <c r="M1062" t="s">
        <v>641</v>
      </c>
      <c r="O1062" t="s">
        <v>642</v>
      </c>
      <c r="T1062" t="s">
        <v>102</v>
      </c>
    </row>
    <row r="1063" spans="1:22" hidden="1" x14ac:dyDescent="0.2">
      <c r="A1063" t="s">
        <v>632</v>
      </c>
      <c r="B1063" t="s">
        <v>23</v>
      </c>
      <c r="C1063" t="s">
        <v>633</v>
      </c>
      <c r="D1063" t="s">
        <v>25</v>
      </c>
      <c r="E1063" t="s">
        <v>634</v>
      </c>
      <c r="F1063" t="s">
        <v>635</v>
      </c>
      <c r="G1063" t="s">
        <v>636</v>
      </c>
      <c r="H1063" t="s">
        <v>637</v>
      </c>
      <c r="I1063" t="s">
        <v>25</v>
      </c>
      <c r="J1063" t="s">
        <v>638</v>
      </c>
      <c r="K1063" t="s">
        <v>639</v>
      </c>
      <c r="L1063" t="s">
        <v>640</v>
      </c>
      <c r="M1063" t="s">
        <v>641</v>
      </c>
      <c r="O1063" t="s">
        <v>642</v>
      </c>
      <c r="T1063" t="s">
        <v>103</v>
      </c>
    </row>
    <row r="1064" spans="1:22" hidden="1" x14ac:dyDescent="0.2">
      <c r="A1064" t="s">
        <v>643</v>
      </c>
      <c r="B1064" t="s">
        <v>23</v>
      </c>
      <c r="C1064" t="s">
        <v>644</v>
      </c>
      <c r="D1064" t="s">
        <v>25</v>
      </c>
      <c r="E1064" t="s">
        <v>645</v>
      </c>
      <c r="F1064" t="s">
        <v>25</v>
      </c>
      <c r="G1064" t="s">
        <v>25</v>
      </c>
      <c r="H1064" t="s">
        <v>646</v>
      </c>
      <c r="I1064" t="s">
        <v>25</v>
      </c>
      <c r="J1064" t="s">
        <v>25</v>
      </c>
      <c r="K1064" t="s">
        <v>25</v>
      </c>
      <c r="N1064" t="s">
        <v>25</v>
      </c>
      <c r="T1064" t="s">
        <v>208</v>
      </c>
      <c r="U1064" t="s">
        <v>25</v>
      </c>
      <c r="V1064" t="s">
        <v>25</v>
      </c>
    </row>
    <row r="1065" spans="1:22" hidden="1" x14ac:dyDescent="0.2">
      <c r="A1065" t="s">
        <v>643</v>
      </c>
      <c r="B1065" t="s">
        <v>23</v>
      </c>
      <c r="C1065" t="s">
        <v>644</v>
      </c>
      <c r="D1065" t="s">
        <v>25</v>
      </c>
      <c r="E1065" t="s">
        <v>645</v>
      </c>
      <c r="F1065" t="s">
        <v>25</v>
      </c>
      <c r="G1065" t="s">
        <v>25</v>
      </c>
      <c r="H1065" t="s">
        <v>646</v>
      </c>
      <c r="I1065" t="s">
        <v>25</v>
      </c>
      <c r="J1065" t="s">
        <v>25</v>
      </c>
      <c r="K1065" t="s">
        <v>25</v>
      </c>
      <c r="N1065" t="s">
        <v>25</v>
      </c>
      <c r="T1065" t="s">
        <v>103</v>
      </c>
      <c r="U1065" t="s">
        <v>25</v>
      </c>
      <c r="V1065" t="s">
        <v>25</v>
      </c>
    </row>
    <row r="1066" spans="1:22" hidden="1" x14ac:dyDescent="0.2">
      <c r="A1066" t="s">
        <v>647</v>
      </c>
      <c r="B1066" t="s">
        <v>23</v>
      </c>
      <c r="C1066" t="s">
        <v>361</v>
      </c>
      <c r="D1066" t="s">
        <v>25</v>
      </c>
      <c r="E1066" t="s">
        <v>648</v>
      </c>
      <c r="F1066" t="s">
        <v>649</v>
      </c>
      <c r="G1066" t="s">
        <v>650</v>
      </c>
      <c r="H1066" t="s">
        <v>651</v>
      </c>
      <c r="I1066" t="s">
        <v>652</v>
      </c>
      <c r="J1066" t="s">
        <v>653</v>
      </c>
      <c r="K1066" t="s">
        <v>654</v>
      </c>
      <c r="L1066" t="s">
        <v>655</v>
      </c>
      <c r="M1066" t="s">
        <v>656</v>
      </c>
      <c r="O1066" t="s">
        <v>657</v>
      </c>
      <c r="P1066" t="s">
        <v>350</v>
      </c>
      <c r="Q1066" t="s">
        <v>37</v>
      </c>
      <c r="R1066">
        <v>3</v>
      </c>
      <c r="S1066" t="s">
        <v>658</v>
      </c>
      <c r="T1066" t="s">
        <v>57</v>
      </c>
      <c r="U1066" t="s">
        <v>53</v>
      </c>
      <c r="V1066" t="s">
        <v>352</v>
      </c>
    </row>
    <row r="1067" spans="1:22" hidden="1" x14ac:dyDescent="0.2">
      <c r="A1067" t="s">
        <v>647</v>
      </c>
      <c r="B1067" t="s">
        <v>23</v>
      </c>
      <c r="C1067" t="s">
        <v>361</v>
      </c>
      <c r="D1067" t="s">
        <v>25</v>
      </c>
      <c r="E1067" t="s">
        <v>648</v>
      </c>
      <c r="F1067" t="s">
        <v>649</v>
      </c>
      <c r="G1067" t="s">
        <v>650</v>
      </c>
      <c r="H1067" t="s">
        <v>651</v>
      </c>
      <c r="I1067" t="s">
        <v>652</v>
      </c>
      <c r="J1067" t="s">
        <v>653</v>
      </c>
      <c r="K1067" t="s">
        <v>654</v>
      </c>
      <c r="L1067" t="s">
        <v>655</v>
      </c>
      <c r="M1067" t="s">
        <v>656</v>
      </c>
      <c r="O1067" t="s">
        <v>657</v>
      </c>
      <c r="P1067" t="s">
        <v>350</v>
      </c>
      <c r="Q1067" t="s">
        <v>37</v>
      </c>
      <c r="R1067">
        <v>3</v>
      </c>
      <c r="S1067" t="s">
        <v>658</v>
      </c>
      <c r="T1067" t="s">
        <v>39</v>
      </c>
      <c r="U1067" t="s">
        <v>53</v>
      </c>
      <c r="V1067" t="s">
        <v>352</v>
      </c>
    </row>
    <row r="1068" spans="1:22" hidden="1" x14ac:dyDescent="0.2">
      <c r="A1068" t="s">
        <v>647</v>
      </c>
      <c r="B1068" t="s">
        <v>23</v>
      </c>
      <c r="C1068" t="s">
        <v>361</v>
      </c>
      <c r="D1068" t="s">
        <v>25</v>
      </c>
      <c r="E1068" t="s">
        <v>648</v>
      </c>
      <c r="F1068" t="s">
        <v>649</v>
      </c>
      <c r="G1068" t="s">
        <v>650</v>
      </c>
      <c r="H1068" t="s">
        <v>651</v>
      </c>
      <c r="I1068" t="s">
        <v>652</v>
      </c>
      <c r="J1068" t="s">
        <v>653</v>
      </c>
      <c r="K1068" t="s">
        <v>654</v>
      </c>
      <c r="L1068" t="s">
        <v>655</v>
      </c>
      <c r="M1068" t="s">
        <v>656</v>
      </c>
      <c r="O1068" t="s">
        <v>657</v>
      </c>
      <c r="P1068" t="s">
        <v>350</v>
      </c>
      <c r="Q1068" t="s">
        <v>37</v>
      </c>
      <c r="R1068">
        <v>3</v>
      </c>
      <c r="S1068" t="s">
        <v>658</v>
      </c>
      <c r="T1068" t="s">
        <v>58</v>
      </c>
      <c r="U1068" t="s">
        <v>53</v>
      </c>
      <c r="V1068" t="s">
        <v>352</v>
      </c>
    </row>
    <row r="1069" spans="1:22" hidden="1" x14ac:dyDescent="0.2">
      <c r="A1069" t="s">
        <v>647</v>
      </c>
      <c r="B1069" t="s">
        <v>23</v>
      </c>
      <c r="C1069" t="s">
        <v>361</v>
      </c>
      <c r="D1069" t="s">
        <v>25</v>
      </c>
      <c r="E1069" t="s">
        <v>648</v>
      </c>
      <c r="F1069" t="s">
        <v>649</v>
      </c>
      <c r="G1069" t="s">
        <v>650</v>
      </c>
      <c r="H1069" t="s">
        <v>651</v>
      </c>
      <c r="I1069" t="s">
        <v>652</v>
      </c>
      <c r="J1069" t="s">
        <v>653</v>
      </c>
      <c r="K1069" t="s">
        <v>654</v>
      </c>
      <c r="L1069" t="s">
        <v>655</v>
      </c>
      <c r="M1069" t="s">
        <v>656</v>
      </c>
      <c r="O1069" t="s">
        <v>657</v>
      </c>
      <c r="P1069" t="s">
        <v>350</v>
      </c>
      <c r="Q1069" t="s">
        <v>37</v>
      </c>
      <c r="R1069">
        <v>3</v>
      </c>
      <c r="S1069" t="s">
        <v>658</v>
      </c>
      <c r="T1069" t="s">
        <v>59</v>
      </c>
      <c r="U1069" t="s">
        <v>53</v>
      </c>
      <c r="V1069" t="s">
        <v>352</v>
      </c>
    </row>
    <row r="1070" spans="1:22" hidden="1" x14ac:dyDescent="0.2">
      <c r="A1070" t="s">
        <v>647</v>
      </c>
      <c r="B1070" t="s">
        <v>23</v>
      </c>
      <c r="C1070" t="s">
        <v>361</v>
      </c>
      <c r="D1070" t="s">
        <v>25</v>
      </c>
      <c r="E1070" t="s">
        <v>648</v>
      </c>
      <c r="F1070" t="s">
        <v>649</v>
      </c>
      <c r="G1070" t="s">
        <v>650</v>
      </c>
      <c r="H1070" t="s">
        <v>651</v>
      </c>
      <c r="I1070" t="s">
        <v>652</v>
      </c>
      <c r="J1070" t="s">
        <v>653</v>
      </c>
      <c r="K1070" t="s">
        <v>654</v>
      </c>
      <c r="L1070" t="s">
        <v>655</v>
      </c>
      <c r="M1070" t="s">
        <v>656</v>
      </c>
      <c r="O1070" t="s">
        <v>657</v>
      </c>
      <c r="P1070" t="s">
        <v>350</v>
      </c>
      <c r="Q1070" t="s">
        <v>37</v>
      </c>
      <c r="R1070">
        <v>3</v>
      </c>
      <c r="S1070" t="s">
        <v>658</v>
      </c>
      <c r="T1070" t="s">
        <v>60</v>
      </c>
      <c r="U1070" t="s">
        <v>53</v>
      </c>
      <c r="V1070" t="s">
        <v>352</v>
      </c>
    </row>
    <row r="1071" spans="1:22" hidden="1" x14ac:dyDescent="0.2">
      <c r="A1071" t="s">
        <v>647</v>
      </c>
      <c r="B1071" t="s">
        <v>23</v>
      </c>
      <c r="C1071" t="s">
        <v>361</v>
      </c>
      <c r="D1071" t="s">
        <v>25</v>
      </c>
      <c r="E1071" t="s">
        <v>648</v>
      </c>
      <c r="F1071" t="s">
        <v>649</v>
      </c>
      <c r="G1071" t="s">
        <v>650</v>
      </c>
      <c r="H1071" t="s">
        <v>651</v>
      </c>
      <c r="I1071" t="s">
        <v>652</v>
      </c>
      <c r="J1071" t="s">
        <v>653</v>
      </c>
      <c r="K1071" t="s">
        <v>654</v>
      </c>
      <c r="L1071" t="s">
        <v>655</v>
      </c>
      <c r="M1071" t="s">
        <v>656</v>
      </c>
      <c r="O1071" t="s">
        <v>657</v>
      </c>
      <c r="P1071" t="s">
        <v>350</v>
      </c>
      <c r="Q1071" t="s">
        <v>37</v>
      </c>
      <c r="R1071">
        <v>3</v>
      </c>
      <c r="S1071" t="s">
        <v>658</v>
      </c>
      <c r="T1071" t="s">
        <v>326</v>
      </c>
      <c r="U1071" t="s">
        <v>53</v>
      </c>
      <c r="V1071" t="s">
        <v>352</v>
      </c>
    </row>
    <row r="1072" spans="1:22" hidden="1" x14ac:dyDescent="0.2">
      <c r="A1072" t="s">
        <v>647</v>
      </c>
      <c r="B1072" t="s">
        <v>23</v>
      </c>
      <c r="C1072" t="s">
        <v>361</v>
      </c>
      <c r="D1072" t="s">
        <v>25</v>
      </c>
      <c r="E1072" t="s">
        <v>648</v>
      </c>
      <c r="F1072" t="s">
        <v>649</v>
      </c>
      <c r="G1072" t="s">
        <v>650</v>
      </c>
      <c r="H1072" t="s">
        <v>651</v>
      </c>
      <c r="I1072" t="s">
        <v>652</v>
      </c>
      <c r="J1072" t="s">
        <v>653</v>
      </c>
      <c r="K1072" t="s">
        <v>654</v>
      </c>
      <c r="L1072" t="s">
        <v>655</v>
      </c>
      <c r="M1072" t="s">
        <v>656</v>
      </c>
      <c r="O1072" t="s">
        <v>657</v>
      </c>
      <c r="P1072" t="s">
        <v>350</v>
      </c>
      <c r="Q1072" t="s">
        <v>37</v>
      </c>
      <c r="R1072">
        <v>3</v>
      </c>
      <c r="S1072" t="s">
        <v>658</v>
      </c>
      <c r="T1072" t="s">
        <v>327</v>
      </c>
      <c r="U1072" t="s">
        <v>53</v>
      </c>
      <c r="V1072" t="s">
        <v>352</v>
      </c>
    </row>
    <row r="1073" spans="1:22" hidden="1" x14ac:dyDescent="0.2">
      <c r="A1073" t="s">
        <v>659</v>
      </c>
      <c r="B1073" t="s">
        <v>23</v>
      </c>
      <c r="C1073" t="s">
        <v>77</v>
      </c>
      <c r="D1073" t="s">
        <v>25</v>
      </c>
      <c r="E1073" t="s">
        <v>660</v>
      </c>
      <c r="F1073" t="s">
        <v>661</v>
      </c>
      <c r="G1073" t="s">
        <v>662</v>
      </c>
      <c r="H1073" t="s">
        <v>663</v>
      </c>
      <c r="I1073" t="s">
        <v>664</v>
      </c>
      <c r="J1073" t="s">
        <v>665</v>
      </c>
      <c r="K1073" t="s">
        <v>25</v>
      </c>
      <c r="L1073" t="s">
        <v>666</v>
      </c>
      <c r="P1073" t="s">
        <v>667</v>
      </c>
      <c r="Q1073" t="s">
        <v>37</v>
      </c>
      <c r="R1073">
        <v>1.8</v>
      </c>
      <c r="S1073" t="s">
        <v>668</v>
      </c>
      <c r="T1073" t="s">
        <v>39</v>
      </c>
      <c r="U1073" t="s">
        <v>53</v>
      </c>
      <c r="V1073" t="s">
        <v>64</v>
      </c>
    </row>
    <row r="1074" spans="1:22" hidden="1" x14ac:dyDescent="0.2">
      <c r="A1074" t="s">
        <v>659</v>
      </c>
      <c r="B1074" t="s">
        <v>23</v>
      </c>
      <c r="C1074" t="s">
        <v>77</v>
      </c>
      <c r="D1074" t="s">
        <v>25</v>
      </c>
      <c r="E1074" t="s">
        <v>660</v>
      </c>
      <c r="F1074" t="s">
        <v>661</v>
      </c>
      <c r="G1074" t="s">
        <v>662</v>
      </c>
      <c r="H1074" t="s">
        <v>663</v>
      </c>
      <c r="I1074" t="s">
        <v>664</v>
      </c>
      <c r="J1074" t="s">
        <v>665</v>
      </c>
      <c r="K1074" t="s">
        <v>25</v>
      </c>
      <c r="L1074" t="s">
        <v>666</v>
      </c>
      <c r="P1074" t="s">
        <v>667</v>
      </c>
      <c r="Q1074" t="s">
        <v>37</v>
      </c>
      <c r="R1074">
        <v>1.8</v>
      </c>
      <c r="S1074" t="s">
        <v>668</v>
      </c>
      <c r="T1074" t="s">
        <v>39</v>
      </c>
      <c r="U1074" t="s">
        <v>53</v>
      </c>
      <c r="V1074" t="s">
        <v>78</v>
      </c>
    </row>
    <row r="1075" spans="1:22" hidden="1" x14ac:dyDescent="0.2">
      <c r="A1075" t="s">
        <v>659</v>
      </c>
      <c r="B1075" t="s">
        <v>23</v>
      </c>
      <c r="C1075" t="s">
        <v>77</v>
      </c>
      <c r="D1075" t="s">
        <v>25</v>
      </c>
      <c r="E1075" t="s">
        <v>660</v>
      </c>
      <c r="F1075" t="s">
        <v>661</v>
      </c>
      <c r="G1075" t="s">
        <v>662</v>
      </c>
      <c r="H1075" t="s">
        <v>663</v>
      </c>
      <c r="I1075" t="s">
        <v>664</v>
      </c>
      <c r="J1075" t="s">
        <v>665</v>
      </c>
      <c r="K1075" t="s">
        <v>25</v>
      </c>
      <c r="L1075" t="s">
        <v>666</v>
      </c>
      <c r="P1075" t="s">
        <v>667</v>
      </c>
      <c r="Q1075" t="s">
        <v>37</v>
      </c>
      <c r="R1075">
        <v>1.8</v>
      </c>
      <c r="S1075" t="s">
        <v>668</v>
      </c>
      <c r="T1075" t="s">
        <v>57</v>
      </c>
      <c r="U1075" t="s">
        <v>53</v>
      </c>
      <c r="V1075" t="s">
        <v>64</v>
      </c>
    </row>
    <row r="1076" spans="1:22" hidden="1" x14ac:dyDescent="0.2">
      <c r="A1076" t="s">
        <v>659</v>
      </c>
      <c r="B1076" t="s">
        <v>23</v>
      </c>
      <c r="C1076" t="s">
        <v>77</v>
      </c>
      <c r="D1076" t="s">
        <v>25</v>
      </c>
      <c r="E1076" t="s">
        <v>660</v>
      </c>
      <c r="F1076" t="s">
        <v>661</v>
      </c>
      <c r="G1076" t="s">
        <v>662</v>
      </c>
      <c r="H1076" t="s">
        <v>663</v>
      </c>
      <c r="I1076" t="s">
        <v>664</v>
      </c>
      <c r="J1076" t="s">
        <v>665</v>
      </c>
      <c r="K1076" t="s">
        <v>25</v>
      </c>
      <c r="L1076" t="s">
        <v>666</v>
      </c>
      <c r="P1076" t="s">
        <v>667</v>
      </c>
      <c r="Q1076" t="s">
        <v>37</v>
      </c>
      <c r="R1076">
        <v>1.8</v>
      </c>
      <c r="S1076" t="s">
        <v>668</v>
      </c>
      <c r="T1076" t="s">
        <v>57</v>
      </c>
      <c r="U1076" t="s">
        <v>53</v>
      </c>
      <c r="V1076" t="s">
        <v>78</v>
      </c>
    </row>
    <row r="1077" spans="1:22" hidden="1" x14ac:dyDescent="0.2">
      <c r="A1077" t="s">
        <v>659</v>
      </c>
      <c r="B1077" t="s">
        <v>23</v>
      </c>
      <c r="C1077" t="s">
        <v>77</v>
      </c>
      <c r="D1077" t="s">
        <v>25</v>
      </c>
      <c r="E1077" t="s">
        <v>660</v>
      </c>
      <c r="F1077" t="s">
        <v>661</v>
      </c>
      <c r="G1077" t="s">
        <v>662</v>
      </c>
      <c r="H1077" t="s">
        <v>663</v>
      </c>
      <c r="I1077" t="s">
        <v>664</v>
      </c>
      <c r="J1077" t="s">
        <v>665</v>
      </c>
      <c r="K1077" t="s">
        <v>25</v>
      </c>
      <c r="L1077" t="s">
        <v>666</v>
      </c>
      <c r="P1077" t="s">
        <v>667</v>
      </c>
      <c r="Q1077" t="s">
        <v>37</v>
      </c>
      <c r="R1077">
        <v>1.8</v>
      </c>
      <c r="S1077" t="s">
        <v>668</v>
      </c>
      <c r="T1077" t="s">
        <v>58</v>
      </c>
      <c r="U1077" t="s">
        <v>53</v>
      </c>
      <c r="V1077" t="s">
        <v>64</v>
      </c>
    </row>
    <row r="1078" spans="1:22" hidden="1" x14ac:dyDescent="0.2">
      <c r="A1078" t="s">
        <v>659</v>
      </c>
      <c r="B1078" t="s">
        <v>23</v>
      </c>
      <c r="C1078" t="s">
        <v>77</v>
      </c>
      <c r="D1078" t="s">
        <v>25</v>
      </c>
      <c r="E1078" t="s">
        <v>660</v>
      </c>
      <c r="F1078" t="s">
        <v>661</v>
      </c>
      <c r="G1078" t="s">
        <v>662</v>
      </c>
      <c r="H1078" t="s">
        <v>663</v>
      </c>
      <c r="I1078" t="s">
        <v>664</v>
      </c>
      <c r="J1078" t="s">
        <v>665</v>
      </c>
      <c r="K1078" t="s">
        <v>25</v>
      </c>
      <c r="L1078" t="s">
        <v>666</v>
      </c>
      <c r="P1078" t="s">
        <v>667</v>
      </c>
      <c r="Q1078" t="s">
        <v>37</v>
      </c>
      <c r="R1078">
        <v>1.8</v>
      </c>
      <c r="S1078" t="s">
        <v>668</v>
      </c>
      <c r="T1078" t="s">
        <v>58</v>
      </c>
      <c r="U1078" t="s">
        <v>53</v>
      </c>
      <c r="V1078" t="s">
        <v>78</v>
      </c>
    </row>
    <row r="1079" spans="1:22" hidden="1" x14ac:dyDescent="0.2">
      <c r="A1079" t="s">
        <v>659</v>
      </c>
      <c r="B1079" t="s">
        <v>23</v>
      </c>
      <c r="C1079" t="s">
        <v>77</v>
      </c>
      <c r="D1079" t="s">
        <v>25</v>
      </c>
      <c r="E1079" t="s">
        <v>660</v>
      </c>
      <c r="F1079" t="s">
        <v>661</v>
      </c>
      <c r="G1079" t="s">
        <v>662</v>
      </c>
      <c r="H1079" t="s">
        <v>663</v>
      </c>
      <c r="I1079" t="s">
        <v>664</v>
      </c>
      <c r="J1079" t="s">
        <v>665</v>
      </c>
      <c r="K1079" t="s">
        <v>25</v>
      </c>
      <c r="L1079" t="s">
        <v>666</v>
      </c>
      <c r="P1079" t="s">
        <v>667</v>
      </c>
      <c r="Q1079" t="s">
        <v>37</v>
      </c>
      <c r="R1079">
        <v>1.8</v>
      </c>
      <c r="S1079" t="s">
        <v>668</v>
      </c>
      <c r="T1079" t="s">
        <v>59</v>
      </c>
      <c r="U1079" t="s">
        <v>53</v>
      </c>
      <c r="V1079" t="s">
        <v>64</v>
      </c>
    </row>
    <row r="1080" spans="1:22" hidden="1" x14ac:dyDescent="0.2">
      <c r="A1080" t="s">
        <v>659</v>
      </c>
      <c r="B1080" t="s">
        <v>23</v>
      </c>
      <c r="C1080" t="s">
        <v>77</v>
      </c>
      <c r="D1080" t="s">
        <v>25</v>
      </c>
      <c r="E1080" t="s">
        <v>660</v>
      </c>
      <c r="F1080" t="s">
        <v>661</v>
      </c>
      <c r="G1080" t="s">
        <v>662</v>
      </c>
      <c r="H1080" t="s">
        <v>663</v>
      </c>
      <c r="I1080" t="s">
        <v>664</v>
      </c>
      <c r="J1080" t="s">
        <v>665</v>
      </c>
      <c r="K1080" t="s">
        <v>25</v>
      </c>
      <c r="L1080" t="s">
        <v>666</v>
      </c>
      <c r="P1080" t="s">
        <v>667</v>
      </c>
      <c r="Q1080" t="s">
        <v>37</v>
      </c>
      <c r="R1080">
        <v>1.8</v>
      </c>
      <c r="S1080" t="s">
        <v>668</v>
      </c>
      <c r="T1080" t="s">
        <v>59</v>
      </c>
      <c r="U1080" t="s">
        <v>53</v>
      </c>
      <c r="V1080" t="s">
        <v>78</v>
      </c>
    </row>
    <row r="1081" spans="1:22" hidden="1" x14ac:dyDescent="0.2">
      <c r="A1081" t="s">
        <v>659</v>
      </c>
      <c r="B1081" t="s">
        <v>23</v>
      </c>
      <c r="C1081" t="s">
        <v>77</v>
      </c>
      <c r="D1081" t="s">
        <v>25</v>
      </c>
      <c r="E1081" t="s">
        <v>660</v>
      </c>
      <c r="F1081" t="s">
        <v>661</v>
      </c>
      <c r="G1081" t="s">
        <v>662</v>
      </c>
      <c r="H1081" t="s">
        <v>663</v>
      </c>
      <c r="I1081" t="s">
        <v>664</v>
      </c>
      <c r="J1081" t="s">
        <v>665</v>
      </c>
      <c r="K1081" t="s">
        <v>25</v>
      </c>
      <c r="L1081" t="s">
        <v>666</v>
      </c>
      <c r="P1081" t="s">
        <v>667</v>
      </c>
      <c r="Q1081" t="s">
        <v>37</v>
      </c>
      <c r="R1081">
        <v>1.8</v>
      </c>
      <c r="S1081" t="s">
        <v>668</v>
      </c>
      <c r="T1081" t="s">
        <v>60</v>
      </c>
      <c r="U1081" t="s">
        <v>53</v>
      </c>
      <c r="V1081" t="s">
        <v>64</v>
      </c>
    </row>
    <row r="1082" spans="1:22" hidden="1" x14ac:dyDescent="0.2">
      <c r="A1082" t="s">
        <v>659</v>
      </c>
      <c r="B1082" t="s">
        <v>23</v>
      </c>
      <c r="C1082" t="s">
        <v>77</v>
      </c>
      <c r="D1082" t="s">
        <v>25</v>
      </c>
      <c r="E1082" t="s">
        <v>660</v>
      </c>
      <c r="F1082" t="s">
        <v>661</v>
      </c>
      <c r="G1082" t="s">
        <v>662</v>
      </c>
      <c r="H1082" t="s">
        <v>663</v>
      </c>
      <c r="I1082" t="s">
        <v>664</v>
      </c>
      <c r="J1082" t="s">
        <v>665</v>
      </c>
      <c r="K1082" t="s">
        <v>25</v>
      </c>
      <c r="L1082" t="s">
        <v>666</v>
      </c>
      <c r="P1082" t="s">
        <v>667</v>
      </c>
      <c r="Q1082" t="s">
        <v>37</v>
      </c>
      <c r="R1082">
        <v>1.8</v>
      </c>
      <c r="S1082" t="s">
        <v>668</v>
      </c>
      <c r="T1082" t="s">
        <v>60</v>
      </c>
      <c r="U1082" t="s">
        <v>53</v>
      </c>
      <c r="V1082" t="s">
        <v>78</v>
      </c>
    </row>
    <row r="1083" spans="1:22" hidden="1" x14ac:dyDescent="0.2">
      <c r="A1083" t="s">
        <v>659</v>
      </c>
      <c r="B1083" t="s">
        <v>23</v>
      </c>
      <c r="C1083" t="s">
        <v>77</v>
      </c>
      <c r="D1083" t="s">
        <v>25</v>
      </c>
      <c r="E1083" t="s">
        <v>660</v>
      </c>
      <c r="F1083" t="s">
        <v>661</v>
      </c>
      <c r="G1083" t="s">
        <v>662</v>
      </c>
      <c r="H1083" t="s">
        <v>663</v>
      </c>
      <c r="I1083" t="s">
        <v>664</v>
      </c>
      <c r="J1083" t="s">
        <v>665</v>
      </c>
      <c r="K1083" t="s">
        <v>25</v>
      </c>
      <c r="L1083" t="s">
        <v>666</v>
      </c>
      <c r="P1083" t="s">
        <v>667</v>
      </c>
      <c r="Q1083" t="s">
        <v>37</v>
      </c>
      <c r="R1083">
        <v>1.8</v>
      </c>
      <c r="S1083" t="s">
        <v>668</v>
      </c>
      <c r="T1083" t="s">
        <v>62</v>
      </c>
      <c r="U1083" t="s">
        <v>53</v>
      </c>
      <c r="V1083" t="s">
        <v>64</v>
      </c>
    </row>
    <row r="1084" spans="1:22" hidden="1" x14ac:dyDescent="0.2">
      <c r="A1084" t="s">
        <v>659</v>
      </c>
      <c r="B1084" t="s">
        <v>23</v>
      </c>
      <c r="C1084" t="s">
        <v>77</v>
      </c>
      <c r="D1084" t="s">
        <v>25</v>
      </c>
      <c r="E1084" t="s">
        <v>660</v>
      </c>
      <c r="F1084" t="s">
        <v>661</v>
      </c>
      <c r="G1084" t="s">
        <v>662</v>
      </c>
      <c r="H1084" t="s">
        <v>663</v>
      </c>
      <c r="I1084" t="s">
        <v>664</v>
      </c>
      <c r="J1084" t="s">
        <v>665</v>
      </c>
      <c r="K1084" t="s">
        <v>25</v>
      </c>
      <c r="L1084" t="s">
        <v>666</v>
      </c>
      <c r="P1084" t="s">
        <v>667</v>
      </c>
      <c r="Q1084" t="s">
        <v>37</v>
      </c>
      <c r="R1084">
        <v>1.8</v>
      </c>
      <c r="S1084" t="s">
        <v>668</v>
      </c>
      <c r="T1084" t="s">
        <v>62</v>
      </c>
      <c r="U1084" t="s">
        <v>53</v>
      </c>
      <c r="V1084" t="s">
        <v>78</v>
      </c>
    </row>
    <row r="1085" spans="1:22" hidden="1" x14ac:dyDescent="0.2">
      <c r="A1085" t="s">
        <v>659</v>
      </c>
      <c r="B1085" t="s">
        <v>23</v>
      </c>
      <c r="C1085" t="s">
        <v>77</v>
      </c>
      <c r="D1085" t="s">
        <v>25</v>
      </c>
      <c r="E1085" t="s">
        <v>660</v>
      </c>
      <c r="F1085" t="s">
        <v>661</v>
      </c>
      <c r="G1085" t="s">
        <v>662</v>
      </c>
      <c r="H1085" t="s">
        <v>663</v>
      </c>
      <c r="I1085" t="s">
        <v>664</v>
      </c>
      <c r="J1085" t="s">
        <v>665</v>
      </c>
      <c r="K1085" t="s">
        <v>25</v>
      </c>
      <c r="L1085" t="s">
        <v>666</v>
      </c>
      <c r="P1085" t="s">
        <v>667</v>
      </c>
      <c r="Q1085" t="s">
        <v>37</v>
      </c>
      <c r="R1085">
        <v>1.8</v>
      </c>
      <c r="S1085" t="s">
        <v>668</v>
      </c>
      <c r="T1085" t="s">
        <v>79</v>
      </c>
      <c r="U1085" t="s">
        <v>53</v>
      </c>
      <c r="V1085" t="s">
        <v>64</v>
      </c>
    </row>
    <row r="1086" spans="1:22" hidden="1" x14ac:dyDescent="0.2">
      <c r="A1086" t="s">
        <v>659</v>
      </c>
      <c r="B1086" t="s">
        <v>23</v>
      </c>
      <c r="C1086" t="s">
        <v>77</v>
      </c>
      <c r="D1086" t="s">
        <v>25</v>
      </c>
      <c r="E1086" t="s">
        <v>660</v>
      </c>
      <c r="F1086" t="s">
        <v>661</v>
      </c>
      <c r="G1086" t="s">
        <v>662</v>
      </c>
      <c r="H1086" t="s">
        <v>663</v>
      </c>
      <c r="I1086" t="s">
        <v>664</v>
      </c>
      <c r="J1086" t="s">
        <v>665</v>
      </c>
      <c r="K1086" t="s">
        <v>25</v>
      </c>
      <c r="L1086" t="s">
        <v>666</v>
      </c>
      <c r="P1086" t="s">
        <v>667</v>
      </c>
      <c r="Q1086" t="s">
        <v>37</v>
      </c>
      <c r="R1086">
        <v>1.8</v>
      </c>
      <c r="S1086" t="s">
        <v>668</v>
      </c>
      <c r="T1086" t="s">
        <v>79</v>
      </c>
      <c r="U1086" t="s">
        <v>53</v>
      </c>
      <c r="V1086" t="s">
        <v>78</v>
      </c>
    </row>
    <row r="1087" spans="1:22" hidden="1" x14ac:dyDescent="0.2">
      <c r="A1087" t="s">
        <v>659</v>
      </c>
      <c r="B1087" t="s">
        <v>23</v>
      </c>
      <c r="C1087" t="s">
        <v>77</v>
      </c>
      <c r="D1087" t="s">
        <v>25</v>
      </c>
      <c r="E1087" t="s">
        <v>660</v>
      </c>
      <c r="F1087" t="s">
        <v>661</v>
      </c>
      <c r="G1087" t="s">
        <v>662</v>
      </c>
      <c r="H1087" t="s">
        <v>663</v>
      </c>
      <c r="I1087" t="s">
        <v>664</v>
      </c>
      <c r="J1087" t="s">
        <v>665</v>
      </c>
      <c r="K1087" t="s">
        <v>25</v>
      </c>
      <c r="L1087" t="s">
        <v>666</v>
      </c>
      <c r="P1087" t="s">
        <v>667</v>
      </c>
      <c r="Q1087" t="s">
        <v>37</v>
      </c>
      <c r="R1087">
        <v>1.8</v>
      </c>
      <c r="S1087" t="s">
        <v>668</v>
      </c>
      <c r="T1087" t="s">
        <v>80</v>
      </c>
      <c r="U1087" t="s">
        <v>53</v>
      </c>
      <c r="V1087" t="s">
        <v>64</v>
      </c>
    </row>
    <row r="1088" spans="1:22" hidden="1" x14ac:dyDescent="0.2">
      <c r="A1088" t="s">
        <v>659</v>
      </c>
      <c r="B1088" t="s">
        <v>23</v>
      </c>
      <c r="C1088" t="s">
        <v>77</v>
      </c>
      <c r="D1088" t="s">
        <v>25</v>
      </c>
      <c r="E1088" t="s">
        <v>660</v>
      </c>
      <c r="F1088" t="s">
        <v>661</v>
      </c>
      <c r="G1088" t="s">
        <v>662</v>
      </c>
      <c r="H1088" t="s">
        <v>663</v>
      </c>
      <c r="I1088" t="s">
        <v>664</v>
      </c>
      <c r="J1088" t="s">
        <v>665</v>
      </c>
      <c r="K1088" t="s">
        <v>25</v>
      </c>
      <c r="L1088" t="s">
        <v>666</v>
      </c>
      <c r="P1088" t="s">
        <v>667</v>
      </c>
      <c r="Q1088" t="s">
        <v>37</v>
      </c>
      <c r="R1088">
        <v>1.8</v>
      </c>
      <c r="S1088" t="s">
        <v>668</v>
      </c>
      <c r="T1088" t="s">
        <v>80</v>
      </c>
      <c r="U1088" t="s">
        <v>53</v>
      </c>
      <c r="V1088" t="s">
        <v>78</v>
      </c>
    </row>
    <row r="1089" spans="1:22" hidden="1" x14ac:dyDescent="0.2">
      <c r="A1089" t="s">
        <v>669</v>
      </c>
      <c r="B1089" t="s">
        <v>23</v>
      </c>
      <c r="C1089" t="s">
        <v>670</v>
      </c>
      <c r="D1089" t="s">
        <v>144</v>
      </c>
      <c r="E1089" t="s">
        <v>671</v>
      </c>
      <c r="F1089" t="s">
        <v>672</v>
      </c>
      <c r="H1089" t="s">
        <v>673</v>
      </c>
      <c r="I1089" t="s">
        <v>149</v>
      </c>
      <c r="J1089" t="s">
        <v>150</v>
      </c>
      <c r="K1089" t="s">
        <v>674</v>
      </c>
      <c r="L1089" t="s">
        <v>675</v>
      </c>
      <c r="M1089" t="s">
        <v>676</v>
      </c>
      <c r="O1089" t="s">
        <v>677</v>
      </c>
      <c r="P1089" t="s">
        <v>678</v>
      </c>
      <c r="Q1089" t="s">
        <v>679</v>
      </c>
      <c r="R1089" t="s">
        <v>678</v>
      </c>
      <c r="S1089" t="s">
        <v>680</v>
      </c>
      <c r="T1089" t="s">
        <v>403</v>
      </c>
    </row>
    <row r="1090" spans="1:22" hidden="1" x14ac:dyDescent="0.2">
      <c r="A1090" t="s">
        <v>669</v>
      </c>
      <c r="B1090" t="s">
        <v>23</v>
      </c>
      <c r="C1090" t="s">
        <v>670</v>
      </c>
      <c r="D1090" t="s">
        <v>144</v>
      </c>
      <c r="E1090" t="s">
        <v>671</v>
      </c>
      <c r="F1090" t="s">
        <v>672</v>
      </c>
      <c r="H1090" t="s">
        <v>673</v>
      </c>
      <c r="I1090" t="s">
        <v>149</v>
      </c>
      <c r="J1090" t="s">
        <v>150</v>
      </c>
      <c r="K1090" t="s">
        <v>674</v>
      </c>
      <c r="L1090" t="s">
        <v>675</v>
      </c>
      <c r="M1090" t="s">
        <v>676</v>
      </c>
      <c r="O1090" t="s">
        <v>677</v>
      </c>
      <c r="P1090" t="s">
        <v>678</v>
      </c>
      <c r="Q1090" t="s">
        <v>679</v>
      </c>
      <c r="R1090" t="s">
        <v>678</v>
      </c>
      <c r="S1090" t="s">
        <v>680</v>
      </c>
      <c r="T1090" t="s">
        <v>103</v>
      </c>
    </row>
    <row r="1091" spans="1:22" hidden="1" x14ac:dyDescent="0.2">
      <c r="A1091" t="s">
        <v>669</v>
      </c>
      <c r="B1091" t="s">
        <v>23</v>
      </c>
      <c r="C1091" t="s">
        <v>670</v>
      </c>
      <c r="D1091" t="s">
        <v>144</v>
      </c>
      <c r="E1091" t="s">
        <v>671</v>
      </c>
      <c r="F1091" t="s">
        <v>672</v>
      </c>
      <c r="H1091" t="s">
        <v>673</v>
      </c>
      <c r="I1091" t="s">
        <v>149</v>
      </c>
      <c r="J1091" t="s">
        <v>150</v>
      </c>
      <c r="K1091" t="s">
        <v>674</v>
      </c>
      <c r="L1091" t="s">
        <v>675</v>
      </c>
      <c r="M1091" t="s">
        <v>676</v>
      </c>
      <c r="O1091" t="s">
        <v>677</v>
      </c>
      <c r="P1091" t="s">
        <v>681</v>
      </c>
      <c r="Q1091" t="s">
        <v>679</v>
      </c>
      <c r="R1091" t="s">
        <v>681</v>
      </c>
      <c r="S1091" t="s">
        <v>682</v>
      </c>
      <c r="T1091" t="s">
        <v>403</v>
      </c>
    </row>
    <row r="1092" spans="1:22" hidden="1" x14ac:dyDescent="0.2">
      <c r="A1092" t="s">
        <v>669</v>
      </c>
      <c r="B1092" t="s">
        <v>23</v>
      </c>
      <c r="C1092" t="s">
        <v>670</v>
      </c>
      <c r="D1092" t="s">
        <v>144</v>
      </c>
      <c r="E1092" t="s">
        <v>671</v>
      </c>
      <c r="F1092" t="s">
        <v>672</v>
      </c>
      <c r="H1092" t="s">
        <v>673</v>
      </c>
      <c r="I1092" t="s">
        <v>149</v>
      </c>
      <c r="J1092" t="s">
        <v>150</v>
      </c>
      <c r="K1092" t="s">
        <v>674</v>
      </c>
      <c r="L1092" t="s">
        <v>675</v>
      </c>
      <c r="M1092" t="s">
        <v>676</v>
      </c>
      <c r="O1092" t="s">
        <v>677</v>
      </c>
      <c r="P1092" t="s">
        <v>681</v>
      </c>
      <c r="Q1092" t="s">
        <v>679</v>
      </c>
      <c r="R1092" t="s">
        <v>681</v>
      </c>
      <c r="S1092" t="s">
        <v>682</v>
      </c>
      <c r="T1092" t="s">
        <v>103</v>
      </c>
    </row>
    <row r="1093" spans="1:22" hidden="1" x14ac:dyDescent="0.2">
      <c r="A1093" t="s">
        <v>669</v>
      </c>
      <c r="B1093" t="s">
        <v>23</v>
      </c>
      <c r="C1093" t="s">
        <v>670</v>
      </c>
      <c r="D1093" t="s">
        <v>144</v>
      </c>
      <c r="E1093" t="s">
        <v>671</v>
      </c>
      <c r="F1093" t="s">
        <v>672</v>
      </c>
      <c r="H1093" t="s">
        <v>673</v>
      </c>
      <c r="I1093" t="s">
        <v>149</v>
      </c>
      <c r="J1093" t="s">
        <v>150</v>
      </c>
      <c r="K1093" t="s">
        <v>674</v>
      </c>
      <c r="L1093" t="s">
        <v>675</v>
      </c>
      <c r="M1093" t="s">
        <v>676</v>
      </c>
      <c r="O1093" t="s">
        <v>677</v>
      </c>
      <c r="P1093" t="s">
        <v>36</v>
      </c>
      <c r="Q1093" t="s">
        <v>37</v>
      </c>
      <c r="R1093">
        <v>2</v>
      </c>
      <c r="S1093" t="s">
        <v>38</v>
      </c>
      <c r="T1093" t="s">
        <v>403</v>
      </c>
    </row>
    <row r="1094" spans="1:22" hidden="1" x14ac:dyDescent="0.2">
      <c r="A1094" t="s">
        <v>669</v>
      </c>
      <c r="B1094" t="s">
        <v>23</v>
      </c>
      <c r="C1094" t="s">
        <v>670</v>
      </c>
      <c r="D1094" t="s">
        <v>144</v>
      </c>
      <c r="E1094" t="s">
        <v>671</v>
      </c>
      <c r="F1094" t="s">
        <v>672</v>
      </c>
      <c r="H1094" t="s">
        <v>673</v>
      </c>
      <c r="I1094" t="s">
        <v>149</v>
      </c>
      <c r="J1094" t="s">
        <v>150</v>
      </c>
      <c r="K1094" t="s">
        <v>674</v>
      </c>
      <c r="L1094" t="s">
        <v>675</v>
      </c>
      <c r="M1094" t="s">
        <v>676</v>
      </c>
      <c r="O1094" t="s">
        <v>677</v>
      </c>
      <c r="P1094" t="s">
        <v>36</v>
      </c>
      <c r="Q1094" t="s">
        <v>37</v>
      </c>
      <c r="R1094">
        <v>2</v>
      </c>
      <c r="S1094" t="s">
        <v>38</v>
      </c>
      <c r="T1094" t="s">
        <v>103</v>
      </c>
    </row>
    <row r="1095" spans="1:22" hidden="1" x14ac:dyDescent="0.2">
      <c r="A1095" t="s">
        <v>669</v>
      </c>
      <c r="B1095" t="s">
        <v>23</v>
      </c>
      <c r="C1095" t="s">
        <v>670</v>
      </c>
      <c r="D1095" t="s">
        <v>144</v>
      </c>
      <c r="E1095" t="s">
        <v>671</v>
      </c>
      <c r="F1095" t="s">
        <v>672</v>
      </c>
      <c r="H1095" t="s">
        <v>673</v>
      </c>
      <c r="I1095" t="s">
        <v>149</v>
      </c>
      <c r="J1095" t="s">
        <v>150</v>
      </c>
      <c r="K1095" t="s">
        <v>674</v>
      </c>
      <c r="L1095" t="s">
        <v>675</v>
      </c>
      <c r="M1095" t="s">
        <v>676</v>
      </c>
      <c r="O1095" t="s">
        <v>677</v>
      </c>
      <c r="P1095" t="s">
        <v>40</v>
      </c>
      <c r="Q1095" t="s">
        <v>37</v>
      </c>
      <c r="R1095">
        <v>5</v>
      </c>
      <c r="S1095" t="s">
        <v>41</v>
      </c>
      <c r="T1095" t="s">
        <v>403</v>
      </c>
    </row>
    <row r="1096" spans="1:22" hidden="1" x14ac:dyDescent="0.2">
      <c r="A1096" t="s">
        <v>669</v>
      </c>
      <c r="B1096" t="s">
        <v>23</v>
      </c>
      <c r="C1096" t="s">
        <v>670</v>
      </c>
      <c r="D1096" t="s">
        <v>144</v>
      </c>
      <c r="E1096" t="s">
        <v>671</v>
      </c>
      <c r="F1096" t="s">
        <v>672</v>
      </c>
      <c r="H1096" t="s">
        <v>673</v>
      </c>
      <c r="I1096" t="s">
        <v>149</v>
      </c>
      <c r="J1096" t="s">
        <v>150</v>
      </c>
      <c r="K1096" t="s">
        <v>674</v>
      </c>
      <c r="L1096" t="s">
        <v>675</v>
      </c>
      <c r="M1096" t="s">
        <v>676</v>
      </c>
      <c r="O1096" t="s">
        <v>677</v>
      </c>
      <c r="P1096" t="s">
        <v>40</v>
      </c>
      <c r="Q1096" t="s">
        <v>37</v>
      </c>
      <c r="R1096">
        <v>5</v>
      </c>
      <c r="S1096" t="s">
        <v>41</v>
      </c>
      <c r="T1096" t="s">
        <v>103</v>
      </c>
    </row>
    <row r="1097" spans="1:22" hidden="1" x14ac:dyDescent="0.2">
      <c r="A1097" t="s">
        <v>683</v>
      </c>
      <c r="B1097" t="s">
        <v>23</v>
      </c>
      <c r="C1097" t="s">
        <v>312</v>
      </c>
      <c r="D1097" t="s">
        <v>684</v>
      </c>
      <c r="E1097" t="s">
        <v>685</v>
      </c>
      <c r="F1097" t="s">
        <v>686</v>
      </c>
      <c r="G1097" t="s">
        <v>687</v>
      </c>
      <c r="H1097" t="s">
        <v>25</v>
      </c>
      <c r="I1097" t="s">
        <v>688</v>
      </c>
      <c r="J1097" t="s">
        <v>689</v>
      </c>
      <c r="K1097" t="s">
        <v>25</v>
      </c>
      <c r="L1097" t="s">
        <v>690</v>
      </c>
      <c r="M1097" t="s">
        <v>691</v>
      </c>
      <c r="P1097" t="s">
        <v>692</v>
      </c>
      <c r="Q1097" t="s">
        <v>37</v>
      </c>
      <c r="R1097">
        <v>256</v>
      </c>
      <c r="S1097" t="s">
        <v>693</v>
      </c>
      <c r="T1097" t="s">
        <v>58</v>
      </c>
      <c r="U1097" t="s">
        <v>53</v>
      </c>
      <c r="V1097" t="s">
        <v>303</v>
      </c>
    </row>
    <row r="1098" spans="1:22" hidden="1" x14ac:dyDescent="0.2">
      <c r="A1098" t="s">
        <v>683</v>
      </c>
      <c r="B1098" t="s">
        <v>23</v>
      </c>
      <c r="C1098" t="s">
        <v>312</v>
      </c>
      <c r="D1098" t="s">
        <v>684</v>
      </c>
      <c r="E1098" t="s">
        <v>685</v>
      </c>
      <c r="F1098" t="s">
        <v>686</v>
      </c>
      <c r="G1098" t="s">
        <v>687</v>
      </c>
      <c r="H1098" t="s">
        <v>25</v>
      </c>
      <c r="I1098" t="s">
        <v>688</v>
      </c>
      <c r="J1098" t="s">
        <v>689</v>
      </c>
      <c r="K1098" t="s">
        <v>25</v>
      </c>
      <c r="L1098" t="s">
        <v>690</v>
      </c>
      <c r="M1098" t="s">
        <v>691</v>
      </c>
      <c r="P1098" t="s">
        <v>692</v>
      </c>
      <c r="Q1098" t="s">
        <v>37</v>
      </c>
      <c r="R1098">
        <v>256</v>
      </c>
      <c r="S1098" t="s">
        <v>693</v>
      </c>
      <c r="T1098" t="s">
        <v>59</v>
      </c>
      <c r="U1098" t="s">
        <v>53</v>
      </c>
      <c r="V1098" t="s">
        <v>303</v>
      </c>
    </row>
    <row r="1099" spans="1:22" hidden="1" x14ac:dyDescent="0.2">
      <c r="A1099" t="s">
        <v>683</v>
      </c>
      <c r="B1099" t="s">
        <v>23</v>
      </c>
      <c r="C1099" t="s">
        <v>312</v>
      </c>
      <c r="D1099" t="s">
        <v>684</v>
      </c>
      <c r="E1099" t="s">
        <v>685</v>
      </c>
      <c r="F1099" t="s">
        <v>686</v>
      </c>
      <c r="G1099" t="s">
        <v>687</v>
      </c>
      <c r="H1099" t="s">
        <v>25</v>
      </c>
      <c r="I1099" t="s">
        <v>688</v>
      </c>
      <c r="J1099" t="s">
        <v>689</v>
      </c>
      <c r="K1099" t="s">
        <v>25</v>
      </c>
      <c r="L1099" t="s">
        <v>690</v>
      </c>
      <c r="M1099" t="s">
        <v>691</v>
      </c>
      <c r="P1099" t="s">
        <v>692</v>
      </c>
      <c r="Q1099" t="s">
        <v>37</v>
      </c>
      <c r="R1099">
        <v>256</v>
      </c>
      <c r="S1099" t="s">
        <v>693</v>
      </c>
      <c r="T1099" t="s">
        <v>60</v>
      </c>
      <c r="U1099" t="s">
        <v>53</v>
      </c>
      <c r="V1099" t="s">
        <v>303</v>
      </c>
    </row>
    <row r="1100" spans="1:22" hidden="1" x14ac:dyDescent="0.2">
      <c r="A1100" t="s">
        <v>683</v>
      </c>
      <c r="B1100" t="s">
        <v>23</v>
      </c>
      <c r="C1100" t="s">
        <v>312</v>
      </c>
      <c r="D1100" t="s">
        <v>684</v>
      </c>
      <c r="E1100" t="s">
        <v>685</v>
      </c>
      <c r="F1100" t="s">
        <v>686</v>
      </c>
      <c r="G1100" t="s">
        <v>687</v>
      </c>
      <c r="H1100" t="s">
        <v>25</v>
      </c>
      <c r="I1100" t="s">
        <v>688</v>
      </c>
      <c r="J1100" t="s">
        <v>689</v>
      </c>
      <c r="K1100" t="s">
        <v>25</v>
      </c>
      <c r="L1100" t="s">
        <v>690</v>
      </c>
      <c r="M1100" t="s">
        <v>691</v>
      </c>
      <c r="P1100" t="s">
        <v>692</v>
      </c>
      <c r="Q1100" t="s">
        <v>37</v>
      </c>
      <c r="R1100">
        <v>256</v>
      </c>
      <c r="S1100" t="s">
        <v>693</v>
      </c>
      <c r="T1100" t="s">
        <v>327</v>
      </c>
      <c r="U1100" t="s">
        <v>53</v>
      </c>
      <c r="V1100" t="s">
        <v>303</v>
      </c>
    </row>
    <row r="1101" spans="1:22" hidden="1" x14ac:dyDescent="0.2">
      <c r="A1101" t="s">
        <v>683</v>
      </c>
      <c r="B1101" t="s">
        <v>23</v>
      </c>
      <c r="C1101" t="s">
        <v>312</v>
      </c>
      <c r="D1101" t="s">
        <v>684</v>
      </c>
      <c r="E1101" t="s">
        <v>685</v>
      </c>
      <c r="F1101" t="s">
        <v>686</v>
      </c>
      <c r="G1101" t="s">
        <v>687</v>
      </c>
      <c r="H1101" t="s">
        <v>25</v>
      </c>
      <c r="I1101" t="s">
        <v>688</v>
      </c>
      <c r="J1101" t="s">
        <v>689</v>
      </c>
      <c r="K1101" t="s">
        <v>25</v>
      </c>
      <c r="L1101" t="s">
        <v>690</v>
      </c>
      <c r="M1101" t="s">
        <v>691</v>
      </c>
      <c r="P1101" t="s">
        <v>692</v>
      </c>
      <c r="Q1101" t="s">
        <v>37</v>
      </c>
      <c r="R1101">
        <v>256</v>
      </c>
      <c r="S1101" t="s">
        <v>693</v>
      </c>
      <c r="T1101" t="s">
        <v>198</v>
      </c>
      <c r="U1101" t="s">
        <v>53</v>
      </c>
      <c r="V1101" t="s">
        <v>303</v>
      </c>
    </row>
    <row r="1102" spans="1:22" hidden="1" x14ac:dyDescent="0.2">
      <c r="A1102" t="s">
        <v>683</v>
      </c>
      <c r="B1102" t="s">
        <v>23</v>
      </c>
      <c r="C1102" t="s">
        <v>312</v>
      </c>
      <c r="D1102" t="s">
        <v>684</v>
      </c>
      <c r="E1102" t="s">
        <v>685</v>
      </c>
      <c r="F1102" t="s">
        <v>686</v>
      </c>
      <c r="G1102" t="s">
        <v>687</v>
      </c>
      <c r="H1102" t="s">
        <v>25</v>
      </c>
      <c r="I1102" t="s">
        <v>688</v>
      </c>
      <c r="J1102" t="s">
        <v>689</v>
      </c>
      <c r="K1102" t="s">
        <v>25</v>
      </c>
      <c r="L1102" t="s">
        <v>690</v>
      </c>
      <c r="M1102" t="s">
        <v>691</v>
      </c>
      <c r="P1102" t="s">
        <v>692</v>
      </c>
      <c r="Q1102" t="s">
        <v>37</v>
      </c>
      <c r="R1102">
        <v>256</v>
      </c>
      <c r="S1102" t="s">
        <v>693</v>
      </c>
      <c r="T1102" t="s">
        <v>80</v>
      </c>
      <c r="U1102" t="s">
        <v>53</v>
      </c>
      <c r="V1102" t="s">
        <v>303</v>
      </c>
    </row>
    <row r="1103" spans="1:22" hidden="1" x14ac:dyDescent="0.2">
      <c r="A1103" t="s">
        <v>694</v>
      </c>
      <c r="B1103" t="s">
        <v>23</v>
      </c>
      <c r="C1103" t="s">
        <v>695</v>
      </c>
      <c r="D1103" t="s">
        <v>25</v>
      </c>
      <c r="E1103" t="s">
        <v>696</v>
      </c>
      <c r="F1103" t="s">
        <v>697</v>
      </c>
      <c r="G1103" t="s">
        <v>698</v>
      </c>
      <c r="H1103" t="s">
        <v>699</v>
      </c>
      <c r="I1103" t="s">
        <v>700</v>
      </c>
      <c r="J1103" t="s">
        <v>25</v>
      </c>
      <c r="K1103" t="s">
        <v>25</v>
      </c>
      <c r="L1103" t="s">
        <v>701</v>
      </c>
      <c r="M1103" t="s">
        <v>702</v>
      </c>
      <c r="O1103" t="s">
        <v>703</v>
      </c>
      <c r="T1103" t="s">
        <v>58</v>
      </c>
      <c r="U1103" t="s">
        <v>25</v>
      </c>
      <c r="V1103" t="s">
        <v>25</v>
      </c>
    </row>
    <row r="1104" spans="1:22" hidden="1" x14ac:dyDescent="0.2">
      <c r="A1104" t="s">
        <v>694</v>
      </c>
      <c r="B1104" t="s">
        <v>23</v>
      </c>
      <c r="C1104" t="s">
        <v>695</v>
      </c>
      <c r="D1104" t="s">
        <v>25</v>
      </c>
      <c r="E1104" t="s">
        <v>696</v>
      </c>
      <c r="F1104" t="s">
        <v>697</v>
      </c>
      <c r="G1104" t="s">
        <v>698</v>
      </c>
      <c r="H1104" t="s">
        <v>699</v>
      </c>
      <c r="I1104" t="s">
        <v>700</v>
      </c>
      <c r="J1104" t="s">
        <v>25</v>
      </c>
      <c r="K1104" t="s">
        <v>25</v>
      </c>
      <c r="L1104" t="s">
        <v>701</v>
      </c>
      <c r="M1104" t="s">
        <v>702</v>
      </c>
      <c r="O1104" t="s">
        <v>703</v>
      </c>
      <c r="T1104" t="s">
        <v>59</v>
      </c>
      <c r="U1104" t="s">
        <v>25</v>
      </c>
      <c r="V1104" t="s">
        <v>25</v>
      </c>
    </row>
    <row r="1105" spans="1:22" hidden="1" x14ac:dyDescent="0.2">
      <c r="A1105" t="s">
        <v>694</v>
      </c>
      <c r="B1105" t="s">
        <v>23</v>
      </c>
      <c r="C1105" t="s">
        <v>695</v>
      </c>
      <c r="D1105" t="s">
        <v>25</v>
      </c>
      <c r="E1105" t="s">
        <v>696</v>
      </c>
      <c r="F1105" t="s">
        <v>697</v>
      </c>
      <c r="G1105" t="s">
        <v>698</v>
      </c>
      <c r="H1105" t="s">
        <v>699</v>
      </c>
      <c r="I1105" t="s">
        <v>700</v>
      </c>
      <c r="J1105" t="s">
        <v>25</v>
      </c>
      <c r="K1105" t="s">
        <v>25</v>
      </c>
      <c r="L1105" t="s">
        <v>701</v>
      </c>
      <c r="M1105" t="s">
        <v>702</v>
      </c>
      <c r="O1105" t="s">
        <v>703</v>
      </c>
      <c r="T1105" t="s">
        <v>60</v>
      </c>
      <c r="U1105" t="s">
        <v>25</v>
      </c>
      <c r="V1105" t="s">
        <v>25</v>
      </c>
    </row>
    <row r="1106" spans="1:22" hidden="1" x14ac:dyDescent="0.2">
      <c r="A1106" t="s">
        <v>694</v>
      </c>
      <c r="B1106" t="s">
        <v>23</v>
      </c>
      <c r="C1106" t="s">
        <v>695</v>
      </c>
      <c r="D1106" t="s">
        <v>25</v>
      </c>
      <c r="E1106" t="s">
        <v>696</v>
      </c>
      <c r="F1106" t="s">
        <v>697</v>
      </c>
      <c r="G1106" t="s">
        <v>698</v>
      </c>
      <c r="H1106" t="s">
        <v>699</v>
      </c>
      <c r="I1106" t="s">
        <v>700</v>
      </c>
      <c r="J1106" t="s">
        <v>25</v>
      </c>
      <c r="K1106" t="s">
        <v>25</v>
      </c>
      <c r="L1106" t="s">
        <v>701</v>
      </c>
      <c r="M1106" t="s">
        <v>702</v>
      </c>
      <c r="O1106" t="s">
        <v>703</v>
      </c>
      <c r="T1106" t="s">
        <v>62</v>
      </c>
      <c r="U1106" t="s">
        <v>25</v>
      </c>
      <c r="V1106" t="s">
        <v>25</v>
      </c>
    </row>
    <row r="1107" spans="1:22" hidden="1" x14ac:dyDescent="0.2">
      <c r="A1107" t="s">
        <v>694</v>
      </c>
      <c r="B1107" t="s">
        <v>23</v>
      </c>
      <c r="C1107" t="s">
        <v>695</v>
      </c>
      <c r="D1107" t="s">
        <v>25</v>
      </c>
      <c r="E1107" t="s">
        <v>696</v>
      </c>
      <c r="F1107" t="s">
        <v>697</v>
      </c>
      <c r="G1107" t="s">
        <v>698</v>
      </c>
      <c r="H1107" t="s">
        <v>699</v>
      </c>
      <c r="I1107" t="s">
        <v>700</v>
      </c>
      <c r="J1107" t="s">
        <v>25</v>
      </c>
      <c r="K1107" t="s">
        <v>25</v>
      </c>
      <c r="L1107" t="s">
        <v>701</v>
      </c>
      <c r="M1107" t="s">
        <v>702</v>
      </c>
      <c r="O1107" t="s">
        <v>703</v>
      </c>
      <c r="T1107" t="s">
        <v>80</v>
      </c>
      <c r="U1107" t="s">
        <v>25</v>
      </c>
      <c r="V1107" t="s">
        <v>25</v>
      </c>
    </row>
    <row r="1108" spans="1:22" hidden="1" x14ac:dyDescent="0.2">
      <c r="A1108" t="s">
        <v>704</v>
      </c>
      <c r="B1108" t="s">
        <v>23</v>
      </c>
      <c r="C1108" t="s">
        <v>705</v>
      </c>
      <c r="D1108" t="s">
        <v>25</v>
      </c>
      <c r="E1108" t="s">
        <v>706</v>
      </c>
      <c r="F1108" t="s">
        <v>707</v>
      </c>
      <c r="G1108" t="s">
        <v>708</v>
      </c>
      <c r="H1108" t="s">
        <v>709</v>
      </c>
      <c r="I1108" t="s">
        <v>25</v>
      </c>
      <c r="J1108" t="s">
        <v>710</v>
      </c>
      <c r="K1108" t="s">
        <v>711</v>
      </c>
      <c r="L1108" t="s">
        <v>712</v>
      </c>
      <c r="M1108" t="s">
        <v>713</v>
      </c>
      <c r="O1108" t="s">
        <v>624</v>
      </c>
      <c r="P1108" t="s">
        <v>36</v>
      </c>
      <c r="Q1108" t="s">
        <v>37</v>
      </c>
      <c r="R1108">
        <v>5</v>
      </c>
      <c r="S1108" t="s">
        <v>38</v>
      </c>
      <c r="T1108" t="s">
        <v>102</v>
      </c>
    </row>
    <row r="1109" spans="1:22" hidden="1" x14ac:dyDescent="0.2">
      <c r="A1109" t="s">
        <v>704</v>
      </c>
      <c r="B1109" t="s">
        <v>23</v>
      </c>
      <c r="C1109" t="s">
        <v>705</v>
      </c>
      <c r="D1109" t="s">
        <v>25</v>
      </c>
      <c r="E1109" t="s">
        <v>706</v>
      </c>
      <c r="F1109" t="s">
        <v>707</v>
      </c>
      <c r="G1109" t="s">
        <v>708</v>
      </c>
      <c r="H1109" t="s">
        <v>709</v>
      </c>
      <c r="I1109" t="s">
        <v>25</v>
      </c>
      <c r="J1109" t="s">
        <v>710</v>
      </c>
      <c r="K1109" t="s">
        <v>711</v>
      </c>
      <c r="L1109" t="s">
        <v>712</v>
      </c>
      <c r="M1109" t="s">
        <v>713</v>
      </c>
      <c r="O1109" t="s">
        <v>624</v>
      </c>
      <c r="P1109" t="s">
        <v>36</v>
      </c>
      <c r="Q1109" t="s">
        <v>37</v>
      </c>
      <c r="R1109">
        <v>5</v>
      </c>
      <c r="S1109" t="s">
        <v>38</v>
      </c>
      <c r="T1109" t="s">
        <v>103</v>
      </c>
    </row>
    <row r="1110" spans="1:22" hidden="1" x14ac:dyDescent="0.2">
      <c r="A1110" t="s">
        <v>704</v>
      </c>
      <c r="B1110" t="s">
        <v>23</v>
      </c>
      <c r="C1110" t="s">
        <v>705</v>
      </c>
      <c r="D1110" t="s">
        <v>25</v>
      </c>
      <c r="E1110" t="s">
        <v>706</v>
      </c>
      <c r="F1110" t="s">
        <v>707</v>
      </c>
      <c r="G1110" t="s">
        <v>708</v>
      </c>
      <c r="H1110" t="s">
        <v>709</v>
      </c>
      <c r="I1110" t="s">
        <v>25</v>
      </c>
      <c r="J1110" t="s">
        <v>710</v>
      </c>
      <c r="K1110" t="s">
        <v>711</v>
      </c>
      <c r="L1110" t="s">
        <v>712</v>
      </c>
      <c r="M1110" t="s">
        <v>713</v>
      </c>
      <c r="O1110" t="s">
        <v>624</v>
      </c>
      <c r="P1110" t="s">
        <v>40</v>
      </c>
      <c r="Q1110" t="s">
        <v>37</v>
      </c>
      <c r="R1110">
        <v>20</v>
      </c>
      <c r="S1110" t="s">
        <v>41</v>
      </c>
      <c r="T1110" t="s">
        <v>102</v>
      </c>
    </row>
    <row r="1111" spans="1:22" hidden="1" x14ac:dyDescent="0.2">
      <c r="A1111" t="s">
        <v>704</v>
      </c>
      <c r="B1111" t="s">
        <v>23</v>
      </c>
      <c r="C1111" t="s">
        <v>705</v>
      </c>
      <c r="D1111" t="s">
        <v>25</v>
      </c>
      <c r="E1111" t="s">
        <v>706</v>
      </c>
      <c r="F1111" t="s">
        <v>707</v>
      </c>
      <c r="G1111" t="s">
        <v>708</v>
      </c>
      <c r="H1111" t="s">
        <v>709</v>
      </c>
      <c r="I1111" t="s">
        <v>25</v>
      </c>
      <c r="J1111" t="s">
        <v>710</v>
      </c>
      <c r="K1111" t="s">
        <v>711</v>
      </c>
      <c r="L1111" t="s">
        <v>712</v>
      </c>
      <c r="M1111" t="s">
        <v>713</v>
      </c>
      <c r="O1111" t="s">
        <v>624</v>
      </c>
      <c r="P1111" t="s">
        <v>40</v>
      </c>
      <c r="Q1111" t="s">
        <v>37</v>
      </c>
      <c r="R1111">
        <v>20</v>
      </c>
      <c r="S1111" t="s">
        <v>41</v>
      </c>
      <c r="T1111" t="s">
        <v>103</v>
      </c>
    </row>
    <row r="1112" spans="1:22" hidden="1" x14ac:dyDescent="0.2">
      <c r="A1112" t="s">
        <v>714</v>
      </c>
      <c r="B1112" t="s">
        <v>23</v>
      </c>
      <c r="C1112" t="s">
        <v>715</v>
      </c>
      <c r="D1112" t="s">
        <v>25</v>
      </c>
      <c r="E1112" t="s">
        <v>716</v>
      </c>
      <c r="F1112" t="s">
        <v>25</v>
      </c>
      <c r="G1112" t="s">
        <v>25</v>
      </c>
      <c r="H1112" t="s">
        <v>717</v>
      </c>
      <c r="I1112" t="s">
        <v>25</v>
      </c>
      <c r="J1112" t="s">
        <v>25</v>
      </c>
      <c r="K1112" t="s">
        <v>25</v>
      </c>
      <c r="N1112" t="s">
        <v>25</v>
      </c>
      <c r="T1112" t="s">
        <v>102</v>
      </c>
      <c r="U1112" t="s">
        <v>25</v>
      </c>
      <c r="V1112" t="s">
        <v>25</v>
      </c>
    </row>
    <row r="1113" spans="1:22" hidden="1" x14ac:dyDescent="0.2">
      <c r="A1113" t="s">
        <v>714</v>
      </c>
      <c r="B1113" t="s">
        <v>23</v>
      </c>
      <c r="C1113" t="s">
        <v>715</v>
      </c>
      <c r="D1113" t="s">
        <v>25</v>
      </c>
      <c r="E1113" t="s">
        <v>716</v>
      </c>
      <c r="F1113" t="s">
        <v>25</v>
      </c>
      <c r="G1113" t="s">
        <v>25</v>
      </c>
      <c r="H1113" t="s">
        <v>717</v>
      </c>
      <c r="I1113" t="s">
        <v>25</v>
      </c>
      <c r="J1113" t="s">
        <v>25</v>
      </c>
      <c r="K1113" t="s">
        <v>25</v>
      </c>
      <c r="N1113" t="s">
        <v>25</v>
      </c>
      <c r="T1113" t="s">
        <v>103</v>
      </c>
      <c r="U1113" t="s">
        <v>25</v>
      </c>
      <c r="V1113" t="s">
        <v>25</v>
      </c>
    </row>
    <row r="1114" spans="1:22" hidden="1" x14ac:dyDescent="0.2">
      <c r="A1114" t="s">
        <v>718</v>
      </c>
      <c r="B1114" t="s">
        <v>23</v>
      </c>
      <c r="C1114" t="s">
        <v>56</v>
      </c>
      <c r="D1114" t="s">
        <v>719</v>
      </c>
      <c r="E1114" t="s">
        <v>720</v>
      </c>
      <c r="F1114" t="s">
        <v>721</v>
      </c>
      <c r="G1114" t="s">
        <v>722</v>
      </c>
      <c r="H1114" t="s">
        <v>723</v>
      </c>
      <c r="I1114" t="s">
        <v>724</v>
      </c>
      <c r="J1114" t="s">
        <v>725</v>
      </c>
      <c r="K1114" t="s">
        <v>726</v>
      </c>
      <c r="L1114" t="s">
        <v>727</v>
      </c>
      <c r="M1114" t="s">
        <v>728</v>
      </c>
      <c r="O1114" t="s">
        <v>729</v>
      </c>
      <c r="P1114" t="s">
        <v>730</v>
      </c>
      <c r="Q1114" t="s">
        <v>37</v>
      </c>
      <c r="R1114">
        <v>3</v>
      </c>
      <c r="S1114" t="s">
        <v>731</v>
      </c>
      <c r="T1114" t="s">
        <v>57</v>
      </c>
      <c r="U1114" t="s">
        <v>157</v>
      </c>
      <c r="V1114" t="s">
        <v>105</v>
      </c>
    </row>
    <row r="1115" spans="1:22" hidden="1" x14ac:dyDescent="0.2">
      <c r="A1115" t="s">
        <v>718</v>
      </c>
      <c r="B1115" t="s">
        <v>23</v>
      </c>
      <c r="C1115" t="s">
        <v>56</v>
      </c>
      <c r="D1115" t="s">
        <v>719</v>
      </c>
      <c r="E1115" t="s">
        <v>720</v>
      </c>
      <c r="F1115" t="s">
        <v>721</v>
      </c>
      <c r="G1115" t="s">
        <v>722</v>
      </c>
      <c r="H1115" t="s">
        <v>723</v>
      </c>
      <c r="I1115" t="s">
        <v>724</v>
      </c>
      <c r="J1115" t="s">
        <v>725</v>
      </c>
      <c r="K1115" t="s">
        <v>726</v>
      </c>
      <c r="L1115" t="s">
        <v>727</v>
      </c>
      <c r="M1115" t="s">
        <v>728</v>
      </c>
      <c r="O1115" t="s">
        <v>729</v>
      </c>
      <c r="P1115" t="s">
        <v>730</v>
      </c>
      <c r="Q1115" t="s">
        <v>37</v>
      </c>
      <c r="R1115">
        <v>3</v>
      </c>
      <c r="S1115" t="s">
        <v>731</v>
      </c>
      <c r="T1115" t="s">
        <v>57</v>
      </c>
      <c r="U1115" t="s">
        <v>157</v>
      </c>
      <c r="V1115" t="s">
        <v>277</v>
      </c>
    </row>
    <row r="1116" spans="1:22" hidden="1" x14ac:dyDescent="0.2">
      <c r="A1116" t="s">
        <v>718</v>
      </c>
      <c r="B1116" t="s">
        <v>23</v>
      </c>
      <c r="C1116" t="s">
        <v>56</v>
      </c>
      <c r="D1116" t="s">
        <v>719</v>
      </c>
      <c r="E1116" t="s">
        <v>720</v>
      </c>
      <c r="F1116" t="s">
        <v>721</v>
      </c>
      <c r="G1116" t="s">
        <v>722</v>
      </c>
      <c r="H1116" t="s">
        <v>723</v>
      </c>
      <c r="I1116" t="s">
        <v>724</v>
      </c>
      <c r="J1116" t="s">
        <v>725</v>
      </c>
      <c r="K1116" t="s">
        <v>726</v>
      </c>
      <c r="L1116" t="s">
        <v>727</v>
      </c>
      <c r="M1116" t="s">
        <v>728</v>
      </c>
      <c r="O1116" t="s">
        <v>729</v>
      </c>
      <c r="P1116" t="s">
        <v>730</v>
      </c>
      <c r="Q1116" t="s">
        <v>37</v>
      </c>
      <c r="R1116">
        <v>3</v>
      </c>
      <c r="S1116" t="s">
        <v>731</v>
      </c>
      <c r="T1116" t="s">
        <v>57</v>
      </c>
      <c r="U1116" t="s">
        <v>55</v>
      </c>
      <c r="V1116" t="s">
        <v>113</v>
      </c>
    </row>
    <row r="1117" spans="1:22" hidden="1" x14ac:dyDescent="0.2">
      <c r="A1117" t="s">
        <v>718</v>
      </c>
      <c r="B1117" t="s">
        <v>23</v>
      </c>
      <c r="C1117" t="s">
        <v>56</v>
      </c>
      <c r="D1117" t="s">
        <v>719</v>
      </c>
      <c r="E1117" t="s">
        <v>720</v>
      </c>
      <c r="F1117" t="s">
        <v>721</v>
      </c>
      <c r="G1117" t="s">
        <v>722</v>
      </c>
      <c r="H1117" t="s">
        <v>723</v>
      </c>
      <c r="I1117" t="s">
        <v>724</v>
      </c>
      <c r="J1117" t="s">
        <v>725</v>
      </c>
      <c r="K1117" t="s">
        <v>726</v>
      </c>
      <c r="L1117" t="s">
        <v>727</v>
      </c>
      <c r="M1117" t="s">
        <v>728</v>
      </c>
      <c r="O1117" t="s">
        <v>729</v>
      </c>
      <c r="P1117" t="s">
        <v>730</v>
      </c>
      <c r="Q1117" t="s">
        <v>37</v>
      </c>
      <c r="R1117">
        <v>3</v>
      </c>
      <c r="S1117" t="s">
        <v>731</v>
      </c>
      <c r="T1117" t="s">
        <v>57</v>
      </c>
      <c r="U1117" t="s">
        <v>55</v>
      </c>
      <c r="V1117" t="s">
        <v>195</v>
      </c>
    </row>
    <row r="1118" spans="1:22" hidden="1" x14ac:dyDescent="0.2">
      <c r="A1118" t="s">
        <v>718</v>
      </c>
      <c r="B1118" t="s">
        <v>23</v>
      </c>
      <c r="C1118" t="s">
        <v>56</v>
      </c>
      <c r="D1118" t="s">
        <v>719</v>
      </c>
      <c r="E1118" t="s">
        <v>720</v>
      </c>
      <c r="F1118" t="s">
        <v>721</v>
      </c>
      <c r="G1118" t="s">
        <v>722</v>
      </c>
      <c r="H1118" t="s">
        <v>723</v>
      </c>
      <c r="I1118" t="s">
        <v>724</v>
      </c>
      <c r="J1118" t="s">
        <v>725</v>
      </c>
      <c r="K1118" t="s">
        <v>726</v>
      </c>
      <c r="L1118" t="s">
        <v>727</v>
      </c>
      <c r="M1118" t="s">
        <v>728</v>
      </c>
      <c r="O1118" t="s">
        <v>729</v>
      </c>
      <c r="P1118" t="s">
        <v>730</v>
      </c>
      <c r="Q1118" t="s">
        <v>37</v>
      </c>
      <c r="R1118">
        <v>3</v>
      </c>
      <c r="S1118" t="s">
        <v>731</v>
      </c>
      <c r="T1118" t="s">
        <v>57</v>
      </c>
      <c r="U1118" t="s">
        <v>55</v>
      </c>
      <c r="V1118" t="s">
        <v>143</v>
      </c>
    </row>
    <row r="1119" spans="1:22" hidden="1" x14ac:dyDescent="0.2">
      <c r="A1119" t="s">
        <v>718</v>
      </c>
      <c r="B1119" t="s">
        <v>23</v>
      </c>
      <c r="C1119" t="s">
        <v>56</v>
      </c>
      <c r="D1119" t="s">
        <v>719</v>
      </c>
      <c r="E1119" t="s">
        <v>720</v>
      </c>
      <c r="F1119" t="s">
        <v>721</v>
      </c>
      <c r="G1119" t="s">
        <v>722</v>
      </c>
      <c r="H1119" t="s">
        <v>723</v>
      </c>
      <c r="I1119" t="s">
        <v>724</v>
      </c>
      <c r="J1119" t="s">
        <v>725</v>
      </c>
      <c r="K1119" t="s">
        <v>726</v>
      </c>
      <c r="L1119" t="s">
        <v>727</v>
      </c>
      <c r="M1119" t="s">
        <v>728</v>
      </c>
      <c r="O1119" t="s">
        <v>729</v>
      </c>
      <c r="P1119" t="s">
        <v>730</v>
      </c>
      <c r="Q1119" t="s">
        <v>37</v>
      </c>
      <c r="R1119">
        <v>3</v>
      </c>
      <c r="S1119" t="s">
        <v>731</v>
      </c>
      <c r="T1119" t="s">
        <v>57</v>
      </c>
      <c r="U1119" t="s">
        <v>53</v>
      </c>
      <c r="V1119" t="s">
        <v>76</v>
      </c>
    </row>
    <row r="1120" spans="1:22" hidden="1" x14ac:dyDescent="0.2">
      <c r="A1120" t="s">
        <v>718</v>
      </c>
      <c r="B1120" t="s">
        <v>23</v>
      </c>
      <c r="C1120" t="s">
        <v>56</v>
      </c>
      <c r="D1120" t="s">
        <v>719</v>
      </c>
      <c r="E1120" t="s">
        <v>720</v>
      </c>
      <c r="F1120" t="s">
        <v>721</v>
      </c>
      <c r="G1120" t="s">
        <v>722</v>
      </c>
      <c r="H1120" t="s">
        <v>723</v>
      </c>
      <c r="I1120" t="s">
        <v>724</v>
      </c>
      <c r="J1120" t="s">
        <v>725</v>
      </c>
      <c r="K1120" t="s">
        <v>726</v>
      </c>
      <c r="L1120" t="s">
        <v>727</v>
      </c>
      <c r="M1120" t="s">
        <v>728</v>
      </c>
      <c r="O1120" t="s">
        <v>729</v>
      </c>
      <c r="P1120" t="s">
        <v>730</v>
      </c>
      <c r="Q1120" t="s">
        <v>37</v>
      </c>
      <c r="R1120">
        <v>3</v>
      </c>
      <c r="S1120" t="s">
        <v>731</v>
      </c>
      <c r="T1120" t="s">
        <v>57</v>
      </c>
      <c r="U1120" t="s">
        <v>53</v>
      </c>
      <c r="V1120" t="s">
        <v>235</v>
      </c>
    </row>
    <row r="1121" spans="1:22" hidden="1" x14ac:dyDescent="0.2">
      <c r="A1121" t="s">
        <v>718</v>
      </c>
      <c r="B1121" t="s">
        <v>23</v>
      </c>
      <c r="C1121" t="s">
        <v>56</v>
      </c>
      <c r="D1121" t="s">
        <v>719</v>
      </c>
      <c r="E1121" t="s">
        <v>720</v>
      </c>
      <c r="F1121" t="s">
        <v>721</v>
      </c>
      <c r="G1121" t="s">
        <v>722</v>
      </c>
      <c r="H1121" t="s">
        <v>723</v>
      </c>
      <c r="I1121" t="s">
        <v>724</v>
      </c>
      <c r="J1121" t="s">
        <v>725</v>
      </c>
      <c r="K1121" t="s">
        <v>726</v>
      </c>
      <c r="L1121" t="s">
        <v>727</v>
      </c>
      <c r="M1121" t="s">
        <v>728</v>
      </c>
      <c r="O1121" t="s">
        <v>729</v>
      </c>
      <c r="P1121" t="s">
        <v>730</v>
      </c>
      <c r="Q1121" t="s">
        <v>37</v>
      </c>
      <c r="R1121">
        <v>3</v>
      </c>
      <c r="S1121" t="s">
        <v>731</v>
      </c>
      <c r="T1121" t="s">
        <v>57</v>
      </c>
      <c r="U1121" t="s">
        <v>53</v>
      </c>
      <c r="V1121" t="s">
        <v>508</v>
      </c>
    </row>
    <row r="1122" spans="1:22" hidden="1" x14ac:dyDescent="0.2">
      <c r="A1122" t="s">
        <v>718</v>
      </c>
      <c r="B1122" t="s">
        <v>23</v>
      </c>
      <c r="C1122" t="s">
        <v>56</v>
      </c>
      <c r="D1122" t="s">
        <v>719</v>
      </c>
      <c r="E1122" t="s">
        <v>720</v>
      </c>
      <c r="F1122" t="s">
        <v>721</v>
      </c>
      <c r="G1122" t="s">
        <v>722</v>
      </c>
      <c r="H1122" t="s">
        <v>723</v>
      </c>
      <c r="I1122" t="s">
        <v>724</v>
      </c>
      <c r="J1122" t="s">
        <v>725</v>
      </c>
      <c r="K1122" t="s">
        <v>726</v>
      </c>
      <c r="L1122" t="s">
        <v>727</v>
      </c>
      <c r="M1122" t="s">
        <v>728</v>
      </c>
      <c r="O1122" t="s">
        <v>729</v>
      </c>
      <c r="P1122" t="s">
        <v>730</v>
      </c>
      <c r="Q1122" t="s">
        <v>37</v>
      </c>
      <c r="R1122">
        <v>3</v>
      </c>
      <c r="S1122" t="s">
        <v>731</v>
      </c>
      <c r="T1122" t="s">
        <v>57</v>
      </c>
      <c r="U1122" t="s">
        <v>157</v>
      </c>
      <c r="V1122" t="s">
        <v>84</v>
      </c>
    </row>
    <row r="1123" spans="1:22" hidden="1" x14ac:dyDescent="0.2">
      <c r="A1123" t="s">
        <v>718</v>
      </c>
      <c r="B1123" t="s">
        <v>23</v>
      </c>
      <c r="C1123" t="s">
        <v>56</v>
      </c>
      <c r="D1123" t="s">
        <v>719</v>
      </c>
      <c r="E1123" t="s">
        <v>720</v>
      </c>
      <c r="F1123" t="s">
        <v>721</v>
      </c>
      <c r="G1123" t="s">
        <v>722</v>
      </c>
      <c r="H1123" t="s">
        <v>723</v>
      </c>
      <c r="I1123" t="s">
        <v>724</v>
      </c>
      <c r="J1123" t="s">
        <v>725</v>
      </c>
      <c r="K1123" t="s">
        <v>726</v>
      </c>
      <c r="L1123" t="s">
        <v>727</v>
      </c>
      <c r="M1123" t="s">
        <v>728</v>
      </c>
      <c r="O1123" t="s">
        <v>729</v>
      </c>
      <c r="P1123" t="s">
        <v>730</v>
      </c>
      <c r="Q1123" t="s">
        <v>37</v>
      </c>
      <c r="R1123">
        <v>3</v>
      </c>
      <c r="S1123" t="s">
        <v>731</v>
      </c>
      <c r="T1123" t="s">
        <v>57</v>
      </c>
      <c r="U1123" t="s">
        <v>157</v>
      </c>
      <c r="V1123" t="s">
        <v>43</v>
      </c>
    </row>
    <row r="1124" spans="1:22" hidden="1" x14ac:dyDescent="0.2">
      <c r="A1124" t="s">
        <v>718</v>
      </c>
      <c r="B1124" t="s">
        <v>23</v>
      </c>
      <c r="C1124" t="s">
        <v>56</v>
      </c>
      <c r="D1124" t="s">
        <v>719</v>
      </c>
      <c r="E1124" t="s">
        <v>720</v>
      </c>
      <c r="F1124" t="s">
        <v>721</v>
      </c>
      <c r="G1124" t="s">
        <v>722</v>
      </c>
      <c r="H1124" t="s">
        <v>723</v>
      </c>
      <c r="I1124" t="s">
        <v>724</v>
      </c>
      <c r="J1124" t="s">
        <v>725</v>
      </c>
      <c r="K1124" t="s">
        <v>726</v>
      </c>
      <c r="L1124" t="s">
        <v>727</v>
      </c>
      <c r="M1124" t="s">
        <v>728</v>
      </c>
      <c r="O1124" t="s">
        <v>729</v>
      </c>
      <c r="P1124" t="s">
        <v>730</v>
      </c>
      <c r="Q1124" t="s">
        <v>37</v>
      </c>
      <c r="R1124">
        <v>3</v>
      </c>
      <c r="S1124" t="s">
        <v>731</v>
      </c>
      <c r="T1124" t="s">
        <v>57</v>
      </c>
      <c r="U1124" t="s">
        <v>53</v>
      </c>
      <c r="V1124" t="s">
        <v>196</v>
      </c>
    </row>
    <row r="1125" spans="1:22" hidden="1" x14ac:dyDescent="0.2">
      <c r="A1125" t="s">
        <v>718</v>
      </c>
      <c r="B1125" t="s">
        <v>23</v>
      </c>
      <c r="C1125" t="s">
        <v>56</v>
      </c>
      <c r="D1125" t="s">
        <v>719</v>
      </c>
      <c r="E1125" t="s">
        <v>720</v>
      </c>
      <c r="F1125" t="s">
        <v>721</v>
      </c>
      <c r="G1125" t="s">
        <v>722</v>
      </c>
      <c r="H1125" t="s">
        <v>723</v>
      </c>
      <c r="I1125" t="s">
        <v>724</v>
      </c>
      <c r="J1125" t="s">
        <v>725</v>
      </c>
      <c r="K1125" t="s">
        <v>726</v>
      </c>
      <c r="L1125" t="s">
        <v>727</v>
      </c>
      <c r="M1125" t="s">
        <v>728</v>
      </c>
      <c r="O1125" t="s">
        <v>729</v>
      </c>
      <c r="P1125" t="s">
        <v>730</v>
      </c>
      <c r="Q1125" t="s">
        <v>37</v>
      </c>
      <c r="R1125">
        <v>3</v>
      </c>
      <c r="S1125" t="s">
        <v>731</v>
      </c>
      <c r="T1125" t="s">
        <v>39</v>
      </c>
      <c r="U1125" t="s">
        <v>157</v>
      </c>
      <c r="V1125" t="s">
        <v>105</v>
      </c>
    </row>
    <row r="1126" spans="1:22" hidden="1" x14ac:dyDescent="0.2">
      <c r="A1126" t="s">
        <v>718</v>
      </c>
      <c r="B1126" t="s">
        <v>23</v>
      </c>
      <c r="C1126" t="s">
        <v>56</v>
      </c>
      <c r="D1126" t="s">
        <v>719</v>
      </c>
      <c r="E1126" t="s">
        <v>720</v>
      </c>
      <c r="F1126" t="s">
        <v>721</v>
      </c>
      <c r="G1126" t="s">
        <v>722</v>
      </c>
      <c r="H1126" t="s">
        <v>723</v>
      </c>
      <c r="I1126" t="s">
        <v>724</v>
      </c>
      <c r="J1126" t="s">
        <v>725</v>
      </c>
      <c r="K1126" t="s">
        <v>726</v>
      </c>
      <c r="L1126" t="s">
        <v>727</v>
      </c>
      <c r="M1126" t="s">
        <v>728</v>
      </c>
      <c r="O1126" t="s">
        <v>729</v>
      </c>
      <c r="P1126" t="s">
        <v>730</v>
      </c>
      <c r="Q1126" t="s">
        <v>37</v>
      </c>
      <c r="R1126">
        <v>3</v>
      </c>
      <c r="S1126" t="s">
        <v>731</v>
      </c>
      <c r="T1126" t="s">
        <v>39</v>
      </c>
      <c r="U1126" t="s">
        <v>157</v>
      </c>
      <c r="V1126" t="s">
        <v>277</v>
      </c>
    </row>
    <row r="1127" spans="1:22" hidden="1" x14ac:dyDescent="0.2">
      <c r="A1127" t="s">
        <v>718</v>
      </c>
      <c r="B1127" t="s">
        <v>23</v>
      </c>
      <c r="C1127" t="s">
        <v>56</v>
      </c>
      <c r="D1127" t="s">
        <v>719</v>
      </c>
      <c r="E1127" t="s">
        <v>720</v>
      </c>
      <c r="F1127" t="s">
        <v>721</v>
      </c>
      <c r="G1127" t="s">
        <v>722</v>
      </c>
      <c r="H1127" t="s">
        <v>723</v>
      </c>
      <c r="I1127" t="s">
        <v>724</v>
      </c>
      <c r="J1127" t="s">
        <v>725</v>
      </c>
      <c r="K1127" t="s">
        <v>726</v>
      </c>
      <c r="L1127" t="s">
        <v>727</v>
      </c>
      <c r="M1127" t="s">
        <v>728</v>
      </c>
      <c r="O1127" t="s">
        <v>729</v>
      </c>
      <c r="P1127" t="s">
        <v>730</v>
      </c>
      <c r="Q1127" t="s">
        <v>37</v>
      </c>
      <c r="R1127">
        <v>3</v>
      </c>
      <c r="S1127" t="s">
        <v>731</v>
      </c>
      <c r="T1127" t="s">
        <v>39</v>
      </c>
      <c r="U1127" t="s">
        <v>55</v>
      </c>
      <c r="V1127" t="s">
        <v>113</v>
      </c>
    </row>
    <row r="1128" spans="1:22" hidden="1" x14ac:dyDescent="0.2">
      <c r="A1128" t="s">
        <v>718</v>
      </c>
      <c r="B1128" t="s">
        <v>23</v>
      </c>
      <c r="C1128" t="s">
        <v>56</v>
      </c>
      <c r="D1128" t="s">
        <v>719</v>
      </c>
      <c r="E1128" t="s">
        <v>720</v>
      </c>
      <c r="F1128" t="s">
        <v>721</v>
      </c>
      <c r="G1128" t="s">
        <v>722</v>
      </c>
      <c r="H1128" t="s">
        <v>723</v>
      </c>
      <c r="I1128" t="s">
        <v>724</v>
      </c>
      <c r="J1128" t="s">
        <v>725</v>
      </c>
      <c r="K1128" t="s">
        <v>726</v>
      </c>
      <c r="L1128" t="s">
        <v>727</v>
      </c>
      <c r="M1128" t="s">
        <v>728</v>
      </c>
      <c r="O1128" t="s">
        <v>729</v>
      </c>
      <c r="P1128" t="s">
        <v>730</v>
      </c>
      <c r="Q1128" t="s">
        <v>37</v>
      </c>
      <c r="R1128">
        <v>3</v>
      </c>
      <c r="S1128" t="s">
        <v>731</v>
      </c>
      <c r="T1128" t="s">
        <v>39</v>
      </c>
      <c r="U1128" t="s">
        <v>55</v>
      </c>
      <c r="V1128" t="s">
        <v>195</v>
      </c>
    </row>
    <row r="1129" spans="1:22" hidden="1" x14ac:dyDescent="0.2">
      <c r="A1129" t="s">
        <v>718</v>
      </c>
      <c r="B1129" t="s">
        <v>23</v>
      </c>
      <c r="C1129" t="s">
        <v>56</v>
      </c>
      <c r="D1129" t="s">
        <v>719</v>
      </c>
      <c r="E1129" t="s">
        <v>720</v>
      </c>
      <c r="F1129" t="s">
        <v>721</v>
      </c>
      <c r="G1129" t="s">
        <v>722</v>
      </c>
      <c r="H1129" t="s">
        <v>723</v>
      </c>
      <c r="I1129" t="s">
        <v>724</v>
      </c>
      <c r="J1129" t="s">
        <v>725</v>
      </c>
      <c r="K1129" t="s">
        <v>726</v>
      </c>
      <c r="L1129" t="s">
        <v>727</v>
      </c>
      <c r="M1129" t="s">
        <v>728</v>
      </c>
      <c r="O1129" t="s">
        <v>729</v>
      </c>
      <c r="P1129" t="s">
        <v>730</v>
      </c>
      <c r="Q1129" t="s">
        <v>37</v>
      </c>
      <c r="R1129">
        <v>3</v>
      </c>
      <c r="S1129" t="s">
        <v>731</v>
      </c>
      <c r="T1129" t="s">
        <v>39</v>
      </c>
      <c r="U1129" t="s">
        <v>55</v>
      </c>
      <c r="V1129" t="s">
        <v>143</v>
      </c>
    </row>
    <row r="1130" spans="1:22" hidden="1" x14ac:dyDescent="0.2">
      <c r="A1130" t="s">
        <v>718</v>
      </c>
      <c r="B1130" t="s">
        <v>23</v>
      </c>
      <c r="C1130" t="s">
        <v>56</v>
      </c>
      <c r="D1130" t="s">
        <v>719</v>
      </c>
      <c r="E1130" t="s">
        <v>720</v>
      </c>
      <c r="F1130" t="s">
        <v>721</v>
      </c>
      <c r="G1130" t="s">
        <v>722</v>
      </c>
      <c r="H1130" t="s">
        <v>723</v>
      </c>
      <c r="I1130" t="s">
        <v>724</v>
      </c>
      <c r="J1130" t="s">
        <v>725</v>
      </c>
      <c r="K1130" t="s">
        <v>726</v>
      </c>
      <c r="L1130" t="s">
        <v>727</v>
      </c>
      <c r="M1130" t="s">
        <v>728</v>
      </c>
      <c r="O1130" t="s">
        <v>729</v>
      </c>
      <c r="P1130" t="s">
        <v>730</v>
      </c>
      <c r="Q1130" t="s">
        <v>37</v>
      </c>
      <c r="R1130">
        <v>3</v>
      </c>
      <c r="S1130" t="s">
        <v>731</v>
      </c>
      <c r="T1130" t="s">
        <v>39</v>
      </c>
      <c r="U1130" t="s">
        <v>53</v>
      </c>
      <c r="V1130" t="s">
        <v>76</v>
      </c>
    </row>
    <row r="1131" spans="1:22" hidden="1" x14ac:dyDescent="0.2">
      <c r="A1131" t="s">
        <v>718</v>
      </c>
      <c r="B1131" t="s">
        <v>23</v>
      </c>
      <c r="C1131" t="s">
        <v>56</v>
      </c>
      <c r="D1131" t="s">
        <v>719</v>
      </c>
      <c r="E1131" t="s">
        <v>720</v>
      </c>
      <c r="F1131" t="s">
        <v>721</v>
      </c>
      <c r="G1131" t="s">
        <v>722</v>
      </c>
      <c r="H1131" t="s">
        <v>723</v>
      </c>
      <c r="I1131" t="s">
        <v>724</v>
      </c>
      <c r="J1131" t="s">
        <v>725</v>
      </c>
      <c r="K1131" t="s">
        <v>726</v>
      </c>
      <c r="L1131" t="s">
        <v>727</v>
      </c>
      <c r="M1131" t="s">
        <v>728</v>
      </c>
      <c r="O1131" t="s">
        <v>729</v>
      </c>
      <c r="P1131" t="s">
        <v>730</v>
      </c>
      <c r="Q1131" t="s">
        <v>37</v>
      </c>
      <c r="R1131">
        <v>3</v>
      </c>
      <c r="S1131" t="s">
        <v>731</v>
      </c>
      <c r="T1131" t="s">
        <v>39</v>
      </c>
      <c r="U1131" t="s">
        <v>53</v>
      </c>
      <c r="V1131" t="s">
        <v>235</v>
      </c>
    </row>
    <row r="1132" spans="1:22" hidden="1" x14ac:dyDescent="0.2">
      <c r="A1132" t="s">
        <v>718</v>
      </c>
      <c r="B1132" t="s">
        <v>23</v>
      </c>
      <c r="C1132" t="s">
        <v>56</v>
      </c>
      <c r="D1132" t="s">
        <v>719</v>
      </c>
      <c r="E1132" t="s">
        <v>720</v>
      </c>
      <c r="F1132" t="s">
        <v>721</v>
      </c>
      <c r="G1132" t="s">
        <v>722</v>
      </c>
      <c r="H1132" t="s">
        <v>723</v>
      </c>
      <c r="I1132" t="s">
        <v>724</v>
      </c>
      <c r="J1132" t="s">
        <v>725</v>
      </c>
      <c r="K1132" t="s">
        <v>726</v>
      </c>
      <c r="L1132" t="s">
        <v>727</v>
      </c>
      <c r="M1132" t="s">
        <v>728</v>
      </c>
      <c r="O1132" t="s">
        <v>729</v>
      </c>
      <c r="P1132" t="s">
        <v>730</v>
      </c>
      <c r="Q1132" t="s">
        <v>37</v>
      </c>
      <c r="R1132">
        <v>3</v>
      </c>
      <c r="S1132" t="s">
        <v>731</v>
      </c>
      <c r="T1132" t="s">
        <v>39</v>
      </c>
      <c r="U1132" t="s">
        <v>53</v>
      </c>
      <c r="V1132" t="s">
        <v>508</v>
      </c>
    </row>
    <row r="1133" spans="1:22" hidden="1" x14ac:dyDescent="0.2">
      <c r="A1133" t="s">
        <v>718</v>
      </c>
      <c r="B1133" t="s">
        <v>23</v>
      </c>
      <c r="C1133" t="s">
        <v>56</v>
      </c>
      <c r="D1133" t="s">
        <v>719</v>
      </c>
      <c r="E1133" t="s">
        <v>720</v>
      </c>
      <c r="F1133" t="s">
        <v>721</v>
      </c>
      <c r="G1133" t="s">
        <v>722</v>
      </c>
      <c r="H1133" t="s">
        <v>723</v>
      </c>
      <c r="I1133" t="s">
        <v>724</v>
      </c>
      <c r="J1133" t="s">
        <v>725</v>
      </c>
      <c r="K1133" t="s">
        <v>726</v>
      </c>
      <c r="L1133" t="s">
        <v>727</v>
      </c>
      <c r="M1133" t="s">
        <v>728</v>
      </c>
      <c r="O1133" t="s">
        <v>729</v>
      </c>
      <c r="P1133" t="s">
        <v>730</v>
      </c>
      <c r="Q1133" t="s">
        <v>37</v>
      </c>
      <c r="R1133">
        <v>3</v>
      </c>
      <c r="S1133" t="s">
        <v>731</v>
      </c>
      <c r="T1133" t="s">
        <v>39</v>
      </c>
      <c r="U1133" t="s">
        <v>157</v>
      </c>
      <c r="V1133" t="s">
        <v>84</v>
      </c>
    </row>
    <row r="1134" spans="1:22" hidden="1" x14ac:dyDescent="0.2">
      <c r="A1134" t="s">
        <v>718</v>
      </c>
      <c r="B1134" t="s">
        <v>23</v>
      </c>
      <c r="C1134" t="s">
        <v>56</v>
      </c>
      <c r="D1134" t="s">
        <v>719</v>
      </c>
      <c r="E1134" t="s">
        <v>720</v>
      </c>
      <c r="F1134" t="s">
        <v>721</v>
      </c>
      <c r="G1134" t="s">
        <v>722</v>
      </c>
      <c r="H1134" t="s">
        <v>723</v>
      </c>
      <c r="I1134" t="s">
        <v>724</v>
      </c>
      <c r="J1134" t="s">
        <v>725</v>
      </c>
      <c r="K1134" t="s">
        <v>726</v>
      </c>
      <c r="L1134" t="s">
        <v>727</v>
      </c>
      <c r="M1134" t="s">
        <v>728</v>
      </c>
      <c r="O1134" t="s">
        <v>729</v>
      </c>
      <c r="P1134" t="s">
        <v>730</v>
      </c>
      <c r="Q1134" t="s">
        <v>37</v>
      </c>
      <c r="R1134">
        <v>3</v>
      </c>
      <c r="S1134" t="s">
        <v>731</v>
      </c>
      <c r="T1134" t="s">
        <v>39</v>
      </c>
      <c r="U1134" t="s">
        <v>157</v>
      </c>
      <c r="V1134" t="s">
        <v>43</v>
      </c>
    </row>
    <row r="1135" spans="1:22" hidden="1" x14ac:dyDescent="0.2">
      <c r="A1135" t="s">
        <v>718</v>
      </c>
      <c r="B1135" t="s">
        <v>23</v>
      </c>
      <c r="C1135" t="s">
        <v>56</v>
      </c>
      <c r="D1135" t="s">
        <v>719</v>
      </c>
      <c r="E1135" t="s">
        <v>720</v>
      </c>
      <c r="F1135" t="s">
        <v>721</v>
      </c>
      <c r="G1135" t="s">
        <v>722</v>
      </c>
      <c r="H1135" t="s">
        <v>723</v>
      </c>
      <c r="I1135" t="s">
        <v>724</v>
      </c>
      <c r="J1135" t="s">
        <v>725</v>
      </c>
      <c r="K1135" t="s">
        <v>726</v>
      </c>
      <c r="L1135" t="s">
        <v>727</v>
      </c>
      <c r="M1135" t="s">
        <v>728</v>
      </c>
      <c r="O1135" t="s">
        <v>729</v>
      </c>
      <c r="P1135" t="s">
        <v>730</v>
      </c>
      <c r="Q1135" t="s">
        <v>37</v>
      </c>
      <c r="R1135">
        <v>3</v>
      </c>
      <c r="S1135" t="s">
        <v>731</v>
      </c>
      <c r="T1135" t="s">
        <v>39</v>
      </c>
      <c r="U1135" t="s">
        <v>53</v>
      </c>
      <c r="V1135" t="s">
        <v>196</v>
      </c>
    </row>
    <row r="1136" spans="1:22" hidden="1" x14ac:dyDescent="0.2">
      <c r="A1136" t="s">
        <v>718</v>
      </c>
      <c r="B1136" t="s">
        <v>23</v>
      </c>
      <c r="C1136" t="s">
        <v>56</v>
      </c>
      <c r="D1136" t="s">
        <v>719</v>
      </c>
      <c r="E1136" t="s">
        <v>720</v>
      </c>
      <c r="F1136" t="s">
        <v>721</v>
      </c>
      <c r="G1136" t="s">
        <v>722</v>
      </c>
      <c r="H1136" t="s">
        <v>723</v>
      </c>
      <c r="I1136" t="s">
        <v>724</v>
      </c>
      <c r="J1136" t="s">
        <v>725</v>
      </c>
      <c r="K1136" t="s">
        <v>726</v>
      </c>
      <c r="L1136" t="s">
        <v>727</v>
      </c>
      <c r="M1136" t="s">
        <v>728</v>
      </c>
      <c r="O1136" t="s">
        <v>729</v>
      </c>
      <c r="P1136" t="s">
        <v>730</v>
      </c>
      <c r="Q1136" t="s">
        <v>37</v>
      </c>
      <c r="R1136">
        <v>3</v>
      </c>
      <c r="S1136" t="s">
        <v>731</v>
      </c>
      <c r="T1136" t="s">
        <v>58</v>
      </c>
      <c r="U1136" t="s">
        <v>157</v>
      </c>
      <c r="V1136" t="s">
        <v>105</v>
      </c>
    </row>
    <row r="1137" spans="1:22" hidden="1" x14ac:dyDescent="0.2">
      <c r="A1137" t="s">
        <v>718</v>
      </c>
      <c r="B1137" t="s">
        <v>23</v>
      </c>
      <c r="C1137" t="s">
        <v>56</v>
      </c>
      <c r="D1137" t="s">
        <v>719</v>
      </c>
      <c r="E1137" t="s">
        <v>720</v>
      </c>
      <c r="F1137" t="s">
        <v>721</v>
      </c>
      <c r="G1137" t="s">
        <v>722</v>
      </c>
      <c r="H1137" t="s">
        <v>723</v>
      </c>
      <c r="I1137" t="s">
        <v>724</v>
      </c>
      <c r="J1137" t="s">
        <v>725</v>
      </c>
      <c r="K1137" t="s">
        <v>726</v>
      </c>
      <c r="L1137" t="s">
        <v>727</v>
      </c>
      <c r="M1137" t="s">
        <v>728</v>
      </c>
      <c r="O1137" t="s">
        <v>729</v>
      </c>
      <c r="P1137" t="s">
        <v>730</v>
      </c>
      <c r="Q1137" t="s">
        <v>37</v>
      </c>
      <c r="R1137">
        <v>3</v>
      </c>
      <c r="S1137" t="s">
        <v>731</v>
      </c>
      <c r="T1137" t="s">
        <v>58</v>
      </c>
      <c r="U1137" t="s">
        <v>157</v>
      </c>
      <c r="V1137" t="s">
        <v>277</v>
      </c>
    </row>
    <row r="1138" spans="1:22" hidden="1" x14ac:dyDescent="0.2">
      <c r="A1138" t="s">
        <v>718</v>
      </c>
      <c r="B1138" t="s">
        <v>23</v>
      </c>
      <c r="C1138" t="s">
        <v>56</v>
      </c>
      <c r="D1138" t="s">
        <v>719</v>
      </c>
      <c r="E1138" t="s">
        <v>720</v>
      </c>
      <c r="F1138" t="s">
        <v>721</v>
      </c>
      <c r="G1138" t="s">
        <v>722</v>
      </c>
      <c r="H1138" t="s">
        <v>723</v>
      </c>
      <c r="I1138" t="s">
        <v>724</v>
      </c>
      <c r="J1138" t="s">
        <v>725</v>
      </c>
      <c r="K1138" t="s">
        <v>726</v>
      </c>
      <c r="L1138" t="s">
        <v>727</v>
      </c>
      <c r="M1138" t="s">
        <v>728</v>
      </c>
      <c r="O1138" t="s">
        <v>729</v>
      </c>
      <c r="P1138" t="s">
        <v>730</v>
      </c>
      <c r="Q1138" t="s">
        <v>37</v>
      </c>
      <c r="R1138">
        <v>3</v>
      </c>
      <c r="S1138" t="s">
        <v>731</v>
      </c>
      <c r="T1138" t="s">
        <v>58</v>
      </c>
      <c r="U1138" t="s">
        <v>55</v>
      </c>
      <c r="V1138" t="s">
        <v>113</v>
      </c>
    </row>
    <row r="1139" spans="1:22" hidden="1" x14ac:dyDescent="0.2">
      <c r="A1139" t="s">
        <v>718</v>
      </c>
      <c r="B1139" t="s">
        <v>23</v>
      </c>
      <c r="C1139" t="s">
        <v>56</v>
      </c>
      <c r="D1139" t="s">
        <v>719</v>
      </c>
      <c r="E1139" t="s">
        <v>720</v>
      </c>
      <c r="F1139" t="s">
        <v>721</v>
      </c>
      <c r="G1139" t="s">
        <v>722</v>
      </c>
      <c r="H1139" t="s">
        <v>723</v>
      </c>
      <c r="I1139" t="s">
        <v>724</v>
      </c>
      <c r="J1139" t="s">
        <v>725</v>
      </c>
      <c r="K1139" t="s">
        <v>726</v>
      </c>
      <c r="L1139" t="s">
        <v>727</v>
      </c>
      <c r="M1139" t="s">
        <v>728</v>
      </c>
      <c r="O1139" t="s">
        <v>729</v>
      </c>
      <c r="P1139" t="s">
        <v>730</v>
      </c>
      <c r="Q1139" t="s">
        <v>37</v>
      </c>
      <c r="R1139">
        <v>3</v>
      </c>
      <c r="S1139" t="s">
        <v>731</v>
      </c>
      <c r="T1139" t="s">
        <v>58</v>
      </c>
      <c r="U1139" t="s">
        <v>55</v>
      </c>
      <c r="V1139" t="s">
        <v>195</v>
      </c>
    </row>
    <row r="1140" spans="1:22" hidden="1" x14ac:dyDescent="0.2">
      <c r="A1140" t="s">
        <v>718</v>
      </c>
      <c r="B1140" t="s">
        <v>23</v>
      </c>
      <c r="C1140" t="s">
        <v>56</v>
      </c>
      <c r="D1140" t="s">
        <v>719</v>
      </c>
      <c r="E1140" t="s">
        <v>720</v>
      </c>
      <c r="F1140" t="s">
        <v>721</v>
      </c>
      <c r="G1140" t="s">
        <v>722</v>
      </c>
      <c r="H1140" t="s">
        <v>723</v>
      </c>
      <c r="I1140" t="s">
        <v>724</v>
      </c>
      <c r="J1140" t="s">
        <v>725</v>
      </c>
      <c r="K1140" t="s">
        <v>726</v>
      </c>
      <c r="L1140" t="s">
        <v>727</v>
      </c>
      <c r="M1140" t="s">
        <v>728</v>
      </c>
      <c r="O1140" t="s">
        <v>729</v>
      </c>
      <c r="P1140" t="s">
        <v>730</v>
      </c>
      <c r="Q1140" t="s">
        <v>37</v>
      </c>
      <c r="R1140">
        <v>3</v>
      </c>
      <c r="S1140" t="s">
        <v>731</v>
      </c>
      <c r="T1140" t="s">
        <v>58</v>
      </c>
      <c r="U1140" t="s">
        <v>55</v>
      </c>
      <c r="V1140" t="s">
        <v>143</v>
      </c>
    </row>
    <row r="1141" spans="1:22" hidden="1" x14ac:dyDescent="0.2">
      <c r="A1141" t="s">
        <v>718</v>
      </c>
      <c r="B1141" t="s">
        <v>23</v>
      </c>
      <c r="C1141" t="s">
        <v>56</v>
      </c>
      <c r="D1141" t="s">
        <v>719</v>
      </c>
      <c r="E1141" t="s">
        <v>720</v>
      </c>
      <c r="F1141" t="s">
        <v>721</v>
      </c>
      <c r="G1141" t="s">
        <v>722</v>
      </c>
      <c r="H1141" t="s">
        <v>723</v>
      </c>
      <c r="I1141" t="s">
        <v>724</v>
      </c>
      <c r="J1141" t="s">
        <v>725</v>
      </c>
      <c r="K1141" t="s">
        <v>726</v>
      </c>
      <c r="L1141" t="s">
        <v>727</v>
      </c>
      <c r="M1141" t="s">
        <v>728</v>
      </c>
      <c r="O1141" t="s">
        <v>729</v>
      </c>
      <c r="P1141" t="s">
        <v>730</v>
      </c>
      <c r="Q1141" t="s">
        <v>37</v>
      </c>
      <c r="R1141">
        <v>3</v>
      </c>
      <c r="S1141" t="s">
        <v>731</v>
      </c>
      <c r="T1141" t="s">
        <v>58</v>
      </c>
      <c r="U1141" t="s">
        <v>53</v>
      </c>
      <c r="V1141" t="s">
        <v>76</v>
      </c>
    </row>
    <row r="1142" spans="1:22" hidden="1" x14ac:dyDescent="0.2">
      <c r="A1142" t="s">
        <v>718</v>
      </c>
      <c r="B1142" t="s">
        <v>23</v>
      </c>
      <c r="C1142" t="s">
        <v>56</v>
      </c>
      <c r="D1142" t="s">
        <v>719</v>
      </c>
      <c r="E1142" t="s">
        <v>720</v>
      </c>
      <c r="F1142" t="s">
        <v>721</v>
      </c>
      <c r="G1142" t="s">
        <v>722</v>
      </c>
      <c r="H1142" t="s">
        <v>723</v>
      </c>
      <c r="I1142" t="s">
        <v>724</v>
      </c>
      <c r="J1142" t="s">
        <v>725</v>
      </c>
      <c r="K1142" t="s">
        <v>726</v>
      </c>
      <c r="L1142" t="s">
        <v>727</v>
      </c>
      <c r="M1142" t="s">
        <v>728</v>
      </c>
      <c r="O1142" t="s">
        <v>729</v>
      </c>
      <c r="P1142" t="s">
        <v>730</v>
      </c>
      <c r="Q1142" t="s">
        <v>37</v>
      </c>
      <c r="R1142">
        <v>3</v>
      </c>
      <c r="S1142" t="s">
        <v>731</v>
      </c>
      <c r="T1142" t="s">
        <v>58</v>
      </c>
      <c r="U1142" t="s">
        <v>53</v>
      </c>
      <c r="V1142" t="s">
        <v>235</v>
      </c>
    </row>
    <row r="1143" spans="1:22" hidden="1" x14ac:dyDescent="0.2">
      <c r="A1143" t="s">
        <v>718</v>
      </c>
      <c r="B1143" t="s">
        <v>23</v>
      </c>
      <c r="C1143" t="s">
        <v>56</v>
      </c>
      <c r="D1143" t="s">
        <v>719</v>
      </c>
      <c r="E1143" t="s">
        <v>720</v>
      </c>
      <c r="F1143" t="s">
        <v>721</v>
      </c>
      <c r="G1143" t="s">
        <v>722</v>
      </c>
      <c r="H1143" t="s">
        <v>723</v>
      </c>
      <c r="I1143" t="s">
        <v>724</v>
      </c>
      <c r="J1143" t="s">
        <v>725</v>
      </c>
      <c r="K1143" t="s">
        <v>726</v>
      </c>
      <c r="L1143" t="s">
        <v>727</v>
      </c>
      <c r="M1143" t="s">
        <v>728</v>
      </c>
      <c r="O1143" t="s">
        <v>729</v>
      </c>
      <c r="P1143" t="s">
        <v>730</v>
      </c>
      <c r="Q1143" t="s">
        <v>37</v>
      </c>
      <c r="R1143">
        <v>3</v>
      </c>
      <c r="S1143" t="s">
        <v>731</v>
      </c>
      <c r="T1143" t="s">
        <v>58</v>
      </c>
      <c r="U1143" t="s">
        <v>53</v>
      </c>
      <c r="V1143" t="s">
        <v>508</v>
      </c>
    </row>
    <row r="1144" spans="1:22" hidden="1" x14ac:dyDescent="0.2">
      <c r="A1144" t="s">
        <v>718</v>
      </c>
      <c r="B1144" t="s">
        <v>23</v>
      </c>
      <c r="C1144" t="s">
        <v>56</v>
      </c>
      <c r="D1144" t="s">
        <v>719</v>
      </c>
      <c r="E1144" t="s">
        <v>720</v>
      </c>
      <c r="F1144" t="s">
        <v>721</v>
      </c>
      <c r="G1144" t="s">
        <v>722</v>
      </c>
      <c r="H1144" t="s">
        <v>723</v>
      </c>
      <c r="I1144" t="s">
        <v>724</v>
      </c>
      <c r="J1144" t="s">
        <v>725</v>
      </c>
      <c r="K1144" t="s">
        <v>726</v>
      </c>
      <c r="L1144" t="s">
        <v>727</v>
      </c>
      <c r="M1144" t="s">
        <v>728</v>
      </c>
      <c r="O1144" t="s">
        <v>729</v>
      </c>
      <c r="P1144" t="s">
        <v>730</v>
      </c>
      <c r="Q1144" t="s">
        <v>37</v>
      </c>
      <c r="R1144">
        <v>3</v>
      </c>
      <c r="S1144" t="s">
        <v>731</v>
      </c>
      <c r="T1144" t="s">
        <v>58</v>
      </c>
      <c r="U1144" t="s">
        <v>157</v>
      </c>
      <c r="V1144" t="s">
        <v>84</v>
      </c>
    </row>
    <row r="1145" spans="1:22" hidden="1" x14ac:dyDescent="0.2">
      <c r="A1145" t="s">
        <v>718</v>
      </c>
      <c r="B1145" t="s">
        <v>23</v>
      </c>
      <c r="C1145" t="s">
        <v>56</v>
      </c>
      <c r="D1145" t="s">
        <v>719</v>
      </c>
      <c r="E1145" t="s">
        <v>720</v>
      </c>
      <c r="F1145" t="s">
        <v>721</v>
      </c>
      <c r="G1145" t="s">
        <v>722</v>
      </c>
      <c r="H1145" t="s">
        <v>723</v>
      </c>
      <c r="I1145" t="s">
        <v>724</v>
      </c>
      <c r="J1145" t="s">
        <v>725</v>
      </c>
      <c r="K1145" t="s">
        <v>726</v>
      </c>
      <c r="L1145" t="s">
        <v>727</v>
      </c>
      <c r="M1145" t="s">
        <v>728</v>
      </c>
      <c r="O1145" t="s">
        <v>729</v>
      </c>
      <c r="P1145" t="s">
        <v>730</v>
      </c>
      <c r="Q1145" t="s">
        <v>37</v>
      </c>
      <c r="R1145">
        <v>3</v>
      </c>
      <c r="S1145" t="s">
        <v>731</v>
      </c>
      <c r="T1145" t="s">
        <v>58</v>
      </c>
      <c r="U1145" t="s">
        <v>157</v>
      </c>
      <c r="V1145" t="s">
        <v>43</v>
      </c>
    </row>
    <row r="1146" spans="1:22" hidden="1" x14ac:dyDescent="0.2">
      <c r="A1146" t="s">
        <v>718</v>
      </c>
      <c r="B1146" t="s">
        <v>23</v>
      </c>
      <c r="C1146" t="s">
        <v>56</v>
      </c>
      <c r="D1146" t="s">
        <v>719</v>
      </c>
      <c r="E1146" t="s">
        <v>720</v>
      </c>
      <c r="F1146" t="s">
        <v>721</v>
      </c>
      <c r="G1146" t="s">
        <v>722</v>
      </c>
      <c r="H1146" t="s">
        <v>723</v>
      </c>
      <c r="I1146" t="s">
        <v>724</v>
      </c>
      <c r="J1146" t="s">
        <v>725</v>
      </c>
      <c r="K1146" t="s">
        <v>726</v>
      </c>
      <c r="L1146" t="s">
        <v>727</v>
      </c>
      <c r="M1146" t="s">
        <v>728</v>
      </c>
      <c r="O1146" t="s">
        <v>729</v>
      </c>
      <c r="P1146" t="s">
        <v>730</v>
      </c>
      <c r="Q1146" t="s">
        <v>37</v>
      </c>
      <c r="R1146">
        <v>3</v>
      </c>
      <c r="S1146" t="s">
        <v>731</v>
      </c>
      <c r="T1146" t="s">
        <v>58</v>
      </c>
      <c r="U1146" t="s">
        <v>53</v>
      </c>
      <c r="V1146" t="s">
        <v>196</v>
      </c>
    </row>
    <row r="1147" spans="1:22" hidden="1" x14ac:dyDescent="0.2">
      <c r="A1147" t="s">
        <v>718</v>
      </c>
      <c r="B1147" t="s">
        <v>23</v>
      </c>
      <c r="C1147" t="s">
        <v>56</v>
      </c>
      <c r="D1147" t="s">
        <v>719</v>
      </c>
      <c r="E1147" t="s">
        <v>720</v>
      </c>
      <c r="F1147" t="s">
        <v>721</v>
      </c>
      <c r="G1147" t="s">
        <v>722</v>
      </c>
      <c r="H1147" t="s">
        <v>723</v>
      </c>
      <c r="I1147" t="s">
        <v>724</v>
      </c>
      <c r="J1147" t="s">
        <v>725</v>
      </c>
      <c r="K1147" t="s">
        <v>726</v>
      </c>
      <c r="L1147" t="s">
        <v>727</v>
      </c>
      <c r="M1147" t="s">
        <v>728</v>
      </c>
      <c r="O1147" t="s">
        <v>729</v>
      </c>
      <c r="P1147" t="s">
        <v>730</v>
      </c>
      <c r="Q1147" t="s">
        <v>37</v>
      </c>
      <c r="R1147">
        <v>3</v>
      </c>
      <c r="S1147" t="s">
        <v>731</v>
      </c>
      <c r="T1147" t="s">
        <v>59</v>
      </c>
      <c r="U1147" t="s">
        <v>157</v>
      </c>
      <c r="V1147" t="s">
        <v>105</v>
      </c>
    </row>
    <row r="1148" spans="1:22" hidden="1" x14ac:dyDescent="0.2">
      <c r="A1148" t="s">
        <v>718</v>
      </c>
      <c r="B1148" t="s">
        <v>23</v>
      </c>
      <c r="C1148" t="s">
        <v>56</v>
      </c>
      <c r="D1148" t="s">
        <v>719</v>
      </c>
      <c r="E1148" t="s">
        <v>720</v>
      </c>
      <c r="F1148" t="s">
        <v>721</v>
      </c>
      <c r="G1148" t="s">
        <v>722</v>
      </c>
      <c r="H1148" t="s">
        <v>723</v>
      </c>
      <c r="I1148" t="s">
        <v>724</v>
      </c>
      <c r="J1148" t="s">
        <v>725</v>
      </c>
      <c r="K1148" t="s">
        <v>726</v>
      </c>
      <c r="L1148" t="s">
        <v>727</v>
      </c>
      <c r="M1148" t="s">
        <v>728</v>
      </c>
      <c r="O1148" t="s">
        <v>729</v>
      </c>
      <c r="P1148" t="s">
        <v>730</v>
      </c>
      <c r="Q1148" t="s">
        <v>37</v>
      </c>
      <c r="R1148">
        <v>3</v>
      </c>
      <c r="S1148" t="s">
        <v>731</v>
      </c>
      <c r="T1148" t="s">
        <v>59</v>
      </c>
      <c r="U1148" t="s">
        <v>157</v>
      </c>
      <c r="V1148" t="s">
        <v>277</v>
      </c>
    </row>
    <row r="1149" spans="1:22" hidden="1" x14ac:dyDescent="0.2">
      <c r="A1149" t="s">
        <v>718</v>
      </c>
      <c r="B1149" t="s">
        <v>23</v>
      </c>
      <c r="C1149" t="s">
        <v>56</v>
      </c>
      <c r="D1149" t="s">
        <v>719</v>
      </c>
      <c r="E1149" t="s">
        <v>720</v>
      </c>
      <c r="F1149" t="s">
        <v>721</v>
      </c>
      <c r="G1149" t="s">
        <v>722</v>
      </c>
      <c r="H1149" t="s">
        <v>723</v>
      </c>
      <c r="I1149" t="s">
        <v>724</v>
      </c>
      <c r="J1149" t="s">
        <v>725</v>
      </c>
      <c r="K1149" t="s">
        <v>726</v>
      </c>
      <c r="L1149" t="s">
        <v>727</v>
      </c>
      <c r="M1149" t="s">
        <v>728</v>
      </c>
      <c r="O1149" t="s">
        <v>729</v>
      </c>
      <c r="P1149" t="s">
        <v>730</v>
      </c>
      <c r="Q1149" t="s">
        <v>37</v>
      </c>
      <c r="R1149">
        <v>3</v>
      </c>
      <c r="S1149" t="s">
        <v>731</v>
      </c>
      <c r="T1149" t="s">
        <v>59</v>
      </c>
      <c r="U1149" t="s">
        <v>55</v>
      </c>
      <c r="V1149" t="s">
        <v>113</v>
      </c>
    </row>
    <row r="1150" spans="1:22" hidden="1" x14ac:dyDescent="0.2">
      <c r="A1150" t="s">
        <v>718</v>
      </c>
      <c r="B1150" t="s">
        <v>23</v>
      </c>
      <c r="C1150" t="s">
        <v>56</v>
      </c>
      <c r="D1150" t="s">
        <v>719</v>
      </c>
      <c r="E1150" t="s">
        <v>720</v>
      </c>
      <c r="F1150" t="s">
        <v>721</v>
      </c>
      <c r="G1150" t="s">
        <v>722</v>
      </c>
      <c r="H1150" t="s">
        <v>723</v>
      </c>
      <c r="I1150" t="s">
        <v>724</v>
      </c>
      <c r="J1150" t="s">
        <v>725</v>
      </c>
      <c r="K1150" t="s">
        <v>726</v>
      </c>
      <c r="L1150" t="s">
        <v>727</v>
      </c>
      <c r="M1150" t="s">
        <v>728</v>
      </c>
      <c r="O1150" t="s">
        <v>729</v>
      </c>
      <c r="P1150" t="s">
        <v>730</v>
      </c>
      <c r="Q1150" t="s">
        <v>37</v>
      </c>
      <c r="R1150">
        <v>3</v>
      </c>
      <c r="S1150" t="s">
        <v>731</v>
      </c>
      <c r="T1150" t="s">
        <v>59</v>
      </c>
      <c r="U1150" t="s">
        <v>55</v>
      </c>
      <c r="V1150" t="s">
        <v>195</v>
      </c>
    </row>
    <row r="1151" spans="1:22" hidden="1" x14ac:dyDescent="0.2">
      <c r="A1151" t="s">
        <v>718</v>
      </c>
      <c r="B1151" t="s">
        <v>23</v>
      </c>
      <c r="C1151" t="s">
        <v>56</v>
      </c>
      <c r="D1151" t="s">
        <v>719</v>
      </c>
      <c r="E1151" t="s">
        <v>720</v>
      </c>
      <c r="F1151" t="s">
        <v>721</v>
      </c>
      <c r="G1151" t="s">
        <v>722</v>
      </c>
      <c r="H1151" t="s">
        <v>723</v>
      </c>
      <c r="I1151" t="s">
        <v>724</v>
      </c>
      <c r="J1151" t="s">
        <v>725</v>
      </c>
      <c r="K1151" t="s">
        <v>726</v>
      </c>
      <c r="L1151" t="s">
        <v>727</v>
      </c>
      <c r="M1151" t="s">
        <v>728</v>
      </c>
      <c r="O1151" t="s">
        <v>729</v>
      </c>
      <c r="P1151" t="s">
        <v>730</v>
      </c>
      <c r="Q1151" t="s">
        <v>37</v>
      </c>
      <c r="R1151">
        <v>3</v>
      </c>
      <c r="S1151" t="s">
        <v>731</v>
      </c>
      <c r="T1151" t="s">
        <v>59</v>
      </c>
      <c r="U1151" t="s">
        <v>55</v>
      </c>
      <c r="V1151" t="s">
        <v>143</v>
      </c>
    </row>
    <row r="1152" spans="1:22" hidden="1" x14ac:dyDescent="0.2">
      <c r="A1152" t="s">
        <v>718</v>
      </c>
      <c r="B1152" t="s">
        <v>23</v>
      </c>
      <c r="C1152" t="s">
        <v>56</v>
      </c>
      <c r="D1152" t="s">
        <v>719</v>
      </c>
      <c r="E1152" t="s">
        <v>720</v>
      </c>
      <c r="F1152" t="s">
        <v>721</v>
      </c>
      <c r="G1152" t="s">
        <v>722</v>
      </c>
      <c r="H1152" t="s">
        <v>723</v>
      </c>
      <c r="I1152" t="s">
        <v>724</v>
      </c>
      <c r="J1152" t="s">
        <v>725</v>
      </c>
      <c r="K1152" t="s">
        <v>726</v>
      </c>
      <c r="L1152" t="s">
        <v>727</v>
      </c>
      <c r="M1152" t="s">
        <v>728</v>
      </c>
      <c r="O1152" t="s">
        <v>729</v>
      </c>
      <c r="P1152" t="s">
        <v>730</v>
      </c>
      <c r="Q1152" t="s">
        <v>37</v>
      </c>
      <c r="R1152">
        <v>3</v>
      </c>
      <c r="S1152" t="s">
        <v>731</v>
      </c>
      <c r="T1152" t="s">
        <v>59</v>
      </c>
      <c r="U1152" t="s">
        <v>53</v>
      </c>
      <c r="V1152" t="s">
        <v>76</v>
      </c>
    </row>
    <row r="1153" spans="1:22" hidden="1" x14ac:dyDescent="0.2">
      <c r="A1153" t="s">
        <v>718</v>
      </c>
      <c r="B1153" t="s">
        <v>23</v>
      </c>
      <c r="C1153" t="s">
        <v>56</v>
      </c>
      <c r="D1153" t="s">
        <v>719</v>
      </c>
      <c r="E1153" t="s">
        <v>720</v>
      </c>
      <c r="F1153" t="s">
        <v>721</v>
      </c>
      <c r="G1153" t="s">
        <v>722</v>
      </c>
      <c r="H1153" t="s">
        <v>723</v>
      </c>
      <c r="I1153" t="s">
        <v>724</v>
      </c>
      <c r="J1153" t="s">
        <v>725</v>
      </c>
      <c r="K1153" t="s">
        <v>726</v>
      </c>
      <c r="L1153" t="s">
        <v>727</v>
      </c>
      <c r="M1153" t="s">
        <v>728</v>
      </c>
      <c r="O1153" t="s">
        <v>729</v>
      </c>
      <c r="P1153" t="s">
        <v>730</v>
      </c>
      <c r="Q1153" t="s">
        <v>37</v>
      </c>
      <c r="R1153">
        <v>3</v>
      </c>
      <c r="S1153" t="s">
        <v>731</v>
      </c>
      <c r="T1153" t="s">
        <v>59</v>
      </c>
      <c r="U1153" t="s">
        <v>53</v>
      </c>
      <c r="V1153" t="s">
        <v>235</v>
      </c>
    </row>
    <row r="1154" spans="1:22" hidden="1" x14ac:dyDescent="0.2">
      <c r="A1154" t="s">
        <v>718</v>
      </c>
      <c r="B1154" t="s">
        <v>23</v>
      </c>
      <c r="C1154" t="s">
        <v>56</v>
      </c>
      <c r="D1154" t="s">
        <v>719</v>
      </c>
      <c r="E1154" t="s">
        <v>720</v>
      </c>
      <c r="F1154" t="s">
        <v>721</v>
      </c>
      <c r="G1154" t="s">
        <v>722</v>
      </c>
      <c r="H1154" t="s">
        <v>723</v>
      </c>
      <c r="I1154" t="s">
        <v>724</v>
      </c>
      <c r="J1154" t="s">
        <v>725</v>
      </c>
      <c r="K1154" t="s">
        <v>726</v>
      </c>
      <c r="L1154" t="s">
        <v>727</v>
      </c>
      <c r="M1154" t="s">
        <v>728</v>
      </c>
      <c r="O1154" t="s">
        <v>729</v>
      </c>
      <c r="P1154" t="s">
        <v>730</v>
      </c>
      <c r="Q1154" t="s">
        <v>37</v>
      </c>
      <c r="R1154">
        <v>3</v>
      </c>
      <c r="S1154" t="s">
        <v>731</v>
      </c>
      <c r="T1154" t="s">
        <v>59</v>
      </c>
      <c r="U1154" t="s">
        <v>53</v>
      </c>
      <c r="V1154" t="s">
        <v>508</v>
      </c>
    </row>
    <row r="1155" spans="1:22" hidden="1" x14ac:dyDescent="0.2">
      <c r="A1155" t="s">
        <v>718</v>
      </c>
      <c r="B1155" t="s">
        <v>23</v>
      </c>
      <c r="C1155" t="s">
        <v>56</v>
      </c>
      <c r="D1155" t="s">
        <v>719</v>
      </c>
      <c r="E1155" t="s">
        <v>720</v>
      </c>
      <c r="F1155" t="s">
        <v>721</v>
      </c>
      <c r="G1155" t="s">
        <v>722</v>
      </c>
      <c r="H1155" t="s">
        <v>723</v>
      </c>
      <c r="I1155" t="s">
        <v>724</v>
      </c>
      <c r="J1155" t="s">
        <v>725</v>
      </c>
      <c r="K1155" t="s">
        <v>726</v>
      </c>
      <c r="L1155" t="s">
        <v>727</v>
      </c>
      <c r="M1155" t="s">
        <v>728</v>
      </c>
      <c r="O1155" t="s">
        <v>729</v>
      </c>
      <c r="P1155" t="s">
        <v>730</v>
      </c>
      <c r="Q1155" t="s">
        <v>37</v>
      </c>
      <c r="R1155">
        <v>3</v>
      </c>
      <c r="S1155" t="s">
        <v>731</v>
      </c>
      <c r="T1155" t="s">
        <v>59</v>
      </c>
      <c r="U1155" t="s">
        <v>157</v>
      </c>
      <c r="V1155" t="s">
        <v>84</v>
      </c>
    </row>
    <row r="1156" spans="1:22" hidden="1" x14ac:dyDescent="0.2">
      <c r="A1156" t="s">
        <v>718</v>
      </c>
      <c r="B1156" t="s">
        <v>23</v>
      </c>
      <c r="C1156" t="s">
        <v>56</v>
      </c>
      <c r="D1156" t="s">
        <v>719</v>
      </c>
      <c r="E1156" t="s">
        <v>720</v>
      </c>
      <c r="F1156" t="s">
        <v>721</v>
      </c>
      <c r="G1156" t="s">
        <v>722</v>
      </c>
      <c r="H1156" t="s">
        <v>723</v>
      </c>
      <c r="I1156" t="s">
        <v>724</v>
      </c>
      <c r="J1156" t="s">
        <v>725</v>
      </c>
      <c r="K1156" t="s">
        <v>726</v>
      </c>
      <c r="L1156" t="s">
        <v>727</v>
      </c>
      <c r="M1156" t="s">
        <v>728</v>
      </c>
      <c r="O1156" t="s">
        <v>729</v>
      </c>
      <c r="P1156" t="s">
        <v>730</v>
      </c>
      <c r="Q1156" t="s">
        <v>37</v>
      </c>
      <c r="R1156">
        <v>3</v>
      </c>
      <c r="S1156" t="s">
        <v>731</v>
      </c>
      <c r="T1156" t="s">
        <v>59</v>
      </c>
      <c r="U1156" t="s">
        <v>157</v>
      </c>
      <c r="V1156" t="s">
        <v>43</v>
      </c>
    </row>
    <row r="1157" spans="1:22" hidden="1" x14ac:dyDescent="0.2">
      <c r="A1157" t="s">
        <v>718</v>
      </c>
      <c r="B1157" t="s">
        <v>23</v>
      </c>
      <c r="C1157" t="s">
        <v>56</v>
      </c>
      <c r="D1157" t="s">
        <v>719</v>
      </c>
      <c r="E1157" t="s">
        <v>720</v>
      </c>
      <c r="F1157" t="s">
        <v>721</v>
      </c>
      <c r="G1157" t="s">
        <v>722</v>
      </c>
      <c r="H1157" t="s">
        <v>723</v>
      </c>
      <c r="I1157" t="s">
        <v>724</v>
      </c>
      <c r="J1157" t="s">
        <v>725</v>
      </c>
      <c r="K1157" t="s">
        <v>726</v>
      </c>
      <c r="L1157" t="s">
        <v>727</v>
      </c>
      <c r="M1157" t="s">
        <v>728</v>
      </c>
      <c r="O1157" t="s">
        <v>729</v>
      </c>
      <c r="P1157" t="s">
        <v>730</v>
      </c>
      <c r="Q1157" t="s">
        <v>37</v>
      </c>
      <c r="R1157">
        <v>3</v>
      </c>
      <c r="S1157" t="s">
        <v>731</v>
      </c>
      <c r="T1157" t="s">
        <v>59</v>
      </c>
      <c r="U1157" t="s">
        <v>53</v>
      </c>
      <c r="V1157" t="s">
        <v>196</v>
      </c>
    </row>
    <row r="1158" spans="1:22" hidden="1" x14ac:dyDescent="0.2">
      <c r="A1158" t="s">
        <v>718</v>
      </c>
      <c r="B1158" t="s">
        <v>23</v>
      </c>
      <c r="C1158" t="s">
        <v>56</v>
      </c>
      <c r="D1158" t="s">
        <v>719</v>
      </c>
      <c r="E1158" t="s">
        <v>720</v>
      </c>
      <c r="F1158" t="s">
        <v>721</v>
      </c>
      <c r="G1158" t="s">
        <v>722</v>
      </c>
      <c r="H1158" t="s">
        <v>723</v>
      </c>
      <c r="I1158" t="s">
        <v>724</v>
      </c>
      <c r="J1158" t="s">
        <v>725</v>
      </c>
      <c r="K1158" t="s">
        <v>726</v>
      </c>
      <c r="L1158" t="s">
        <v>727</v>
      </c>
      <c r="M1158" t="s">
        <v>728</v>
      </c>
      <c r="O1158" t="s">
        <v>729</v>
      </c>
      <c r="P1158" t="s">
        <v>730</v>
      </c>
      <c r="Q1158" t="s">
        <v>37</v>
      </c>
      <c r="R1158">
        <v>3</v>
      </c>
      <c r="S1158" t="s">
        <v>731</v>
      </c>
      <c r="T1158" t="s">
        <v>60</v>
      </c>
      <c r="U1158" t="s">
        <v>157</v>
      </c>
      <c r="V1158" t="s">
        <v>105</v>
      </c>
    </row>
    <row r="1159" spans="1:22" hidden="1" x14ac:dyDescent="0.2">
      <c r="A1159" t="s">
        <v>718</v>
      </c>
      <c r="B1159" t="s">
        <v>23</v>
      </c>
      <c r="C1159" t="s">
        <v>56</v>
      </c>
      <c r="D1159" t="s">
        <v>719</v>
      </c>
      <c r="E1159" t="s">
        <v>720</v>
      </c>
      <c r="F1159" t="s">
        <v>721</v>
      </c>
      <c r="G1159" t="s">
        <v>722</v>
      </c>
      <c r="H1159" t="s">
        <v>723</v>
      </c>
      <c r="I1159" t="s">
        <v>724</v>
      </c>
      <c r="J1159" t="s">
        <v>725</v>
      </c>
      <c r="K1159" t="s">
        <v>726</v>
      </c>
      <c r="L1159" t="s">
        <v>727</v>
      </c>
      <c r="M1159" t="s">
        <v>728</v>
      </c>
      <c r="O1159" t="s">
        <v>729</v>
      </c>
      <c r="P1159" t="s">
        <v>730</v>
      </c>
      <c r="Q1159" t="s">
        <v>37</v>
      </c>
      <c r="R1159">
        <v>3</v>
      </c>
      <c r="S1159" t="s">
        <v>731</v>
      </c>
      <c r="T1159" t="s">
        <v>60</v>
      </c>
      <c r="U1159" t="s">
        <v>157</v>
      </c>
      <c r="V1159" t="s">
        <v>277</v>
      </c>
    </row>
    <row r="1160" spans="1:22" hidden="1" x14ac:dyDescent="0.2">
      <c r="A1160" t="s">
        <v>718</v>
      </c>
      <c r="B1160" t="s">
        <v>23</v>
      </c>
      <c r="C1160" t="s">
        <v>56</v>
      </c>
      <c r="D1160" t="s">
        <v>719</v>
      </c>
      <c r="E1160" t="s">
        <v>720</v>
      </c>
      <c r="F1160" t="s">
        <v>721</v>
      </c>
      <c r="G1160" t="s">
        <v>722</v>
      </c>
      <c r="H1160" t="s">
        <v>723</v>
      </c>
      <c r="I1160" t="s">
        <v>724</v>
      </c>
      <c r="J1160" t="s">
        <v>725</v>
      </c>
      <c r="K1160" t="s">
        <v>726</v>
      </c>
      <c r="L1160" t="s">
        <v>727</v>
      </c>
      <c r="M1160" t="s">
        <v>728</v>
      </c>
      <c r="O1160" t="s">
        <v>729</v>
      </c>
      <c r="P1160" t="s">
        <v>730</v>
      </c>
      <c r="Q1160" t="s">
        <v>37</v>
      </c>
      <c r="R1160">
        <v>3</v>
      </c>
      <c r="S1160" t="s">
        <v>731</v>
      </c>
      <c r="T1160" t="s">
        <v>60</v>
      </c>
      <c r="U1160" t="s">
        <v>55</v>
      </c>
      <c r="V1160" t="s">
        <v>113</v>
      </c>
    </row>
    <row r="1161" spans="1:22" hidden="1" x14ac:dyDescent="0.2">
      <c r="A1161" t="s">
        <v>718</v>
      </c>
      <c r="B1161" t="s">
        <v>23</v>
      </c>
      <c r="C1161" t="s">
        <v>56</v>
      </c>
      <c r="D1161" t="s">
        <v>719</v>
      </c>
      <c r="E1161" t="s">
        <v>720</v>
      </c>
      <c r="F1161" t="s">
        <v>721</v>
      </c>
      <c r="G1161" t="s">
        <v>722</v>
      </c>
      <c r="H1161" t="s">
        <v>723</v>
      </c>
      <c r="I1161" t="s">
        <v>724</v>
      </c>
      <c r="J1161" t="s">
        <v>725</v>
      </c>
      <c r="K1161" t="s">
        <v>726</v>
      </c>
      <c r="L1161" t="s">
        <v>727</v>
      </c>
      <c r="M1161" t="s">
        <v>728</v>
      </c>
      <c r="O1161" t="s">
        <v>729</v>
      </c>
      <c r="P1161" t="s">
        <v>730</v>
      </c>
      <c r="Q1161" t="s">
        <v>37</v>
      </c>
      <c r="R1161">
        <v>3</v>
      </c>
      <c r="S1161" t="s">
        <v>731</v>
      </c>
      <c r="T1161" t="s">
        <v>60</v>
      </c>
      <c r="U1161" t="s">
        <v>55</v>
      </c>
      <c r="V1161" t="s">
        <v>195</v>
      </c>
    </row>
    <row r="1162" spans="1:22" hidden="1" x14ac:dyDescent="0.2">
      <c r="A1162" t="s">
        <v>718</v>
      </c>
      <c r="B1162" t="s">
        <v>23</v>
      </c>
      <c r="C1162" t="s">
        <v>56</v>
      </c>
      <c r="D1162" t="s">
        <v>719</v>
      </c>
      <c r="E1162" t="s">
        <v>720</v>
      </c>
      <c r="F1162" t="s">
        <v>721</v>
      </c>
      <c r="G1162" t="s">
        <v>722</v>
      </c>
      <c r="H1162" t="s">
        <v>723</v>
      </c>
      <c r="I1162" t="s">
        <v>724</v>
      </c>
      <c r="J1162" t="s">
        <v>725</v>
      </c>
      <c r="K1162" t="s">
        <v>726</v>
      </c>
      <c r="L1162" t="s">
        <v>727</v>
      </c>
      <c r="M1162" t="s">
        <v>728</v>
      </c>
      <c r="O1162" t="s">
        <v>729</v>
      </c>
      <c r="P1162" t="s">
        <v>730</v>
      </c>
      <c r="Q1162" t="s">
        <v>37</v>
      </c>
      <c r="R1162">
        <v>3</v>
      </c>
      <c r="S1162" t="s">
        <v>731</v>
      </c>
      <c r="T1162" t="s">
        <v>60</v>
      </c>
      <c r="U1162" t="s">
        <v>55</v>
      </c>
      <c r="V1162" t="s">
        <v>143</v>
      </c>
    </row>
    <row r="1163" spans="1:22" hidden="1" x14ac:dyDescent="0.2">
      <c r="A1163" t="s">
        <v>718</v>
      </c>
      <c r="B1163" t="s">
        <v>23</v>
      </c>
      <c r="C1163" t="s">
        <v>56</v>
      </c>
      <c r="D1163" t="s">
        <v>719</v>
      </c>
      <c r="E1163" t="s">
        <v>720</v>
      </c>
      <c r="F1163" t="s">
        <v>721</v>
      </c>
      <c r="G1163" t="s">
        <v>722</v>
      </c>
      <c r="H1163" t="s">
        <v>723</v>
      </c>
      <c r="I1163" t="s">
        <v>724</v>
      </c>
      <c r="J1163" t="s">
        <v>725</v>
      </c>
      <c r="K1163" t="s">
        <v>726</v>
      </c>
      <c r="L1163" t="s">
        <v>727</v>
      </c>
      <c r="M1163" t="s">
        <v>728</v>
      </c>
      <c r="O1163" t="s">
        <v>729</v>
      </c>
      <c r="P1163" t="s">
        <v>730</v>
      </c>
      <c r="Q1163" t="s">
        <v>37</v>
      </c>
      <c r="R1163">
        <v>3</v>
      </c>
      <c r="S1163" t="s">
        <v>731</v>
      </c>
      <c r="T1163" t="s">
        <v>60</v>
      </c>
      <c r="U1163" t="s">
        <v>53</v>
      </c>
      <c r="V1163" t="s">
        <v>76</v>
      </c>
    </row>
    <row r="1164" spans="1:22" hidden="1" x14ac:dyDescent="0.2">
      <c r="A1164" t="s">
        <v>718</v>
      </c>
      <c r="B1164" t="s">
        <v>23</v>
      </c>
      <c r="C1164" t="s">
        <v>56</v>
      </c>
      <c r="D1164" t="s">
        <v>719</v>
      </c>
      <c r="E1164" t="s">
        <v>720</v>
      </c>
      <c r="F1164" t="s">
        <v>721</v>
      </c>
      <c r="G1164" t="s">
        <v>722</v>
      </c>
      <c r="H1164" t="s">
        <v>723</v>
      </c>
      <c r="I1164" t="s">
        <v>724</v>
      </c>
      <c r="J1164" t="s">
        <v>725</v>
      </c>
      <c r="K1164" t="s">
        <v>726</v>
      </c>
      <c r="L1164" t="s">
        <v>727</v>
      </c>
      <c r="M1164" t="s">
        <v>728</v>
      </c>
      <c r="O1164" t="s">
        <v>729</v>
      </c>
      <c r="P1164" t="s">
        <v>730</v>
      </c>
      <c r="Q1164" t="s">
        <v>37</v>
      </c>
      <c r="R1164">
        <v>3</v>
      </c>
      <c r="S1164" t="s">
        <v>731</v>
      </c>
      <c r="T1164" t="s">
        <v>60</v>
      </c>
      <c r="U1164" t="s">
        <v>53</v>
      </c>
      <c r="V1164" t="s">
        <v>235</v>
      </c>
    </row>
    <row r="1165" spans="1:22" hidden="1" x14ac:dyDescent="0.2">
      <c r="A1165" t="s">
        <v>718</v>
      </c>
      <c r="B1165" t="s">
        <v>23</v>
      </c>
      <c r="C1165" t="s">
        <v>56</v>
      </c>
      <c r="D1165" t="s">
        <v>719</v>
      </c>
      <c r="E1165" t="s">
        <v>720</v>
      </c>
      <c r="F1165" t="s">
        <v>721</v>
      </c>
      <c r="G1165" t="s">
        <v>722</v>
      </c>
      <c r="H1165" t="s">
        <v>723</v>
      </c>
      <c r="I1165" t="s">
        <v>724</v>
      </c>
      <c r="J1165" t="s">
        <v>725</v>
      </c>
      <c r="K1165" t="s">
        <v>726</v>
      </c>
      <c r="L1165" t="s">
        <v>727</v>
      </c>
      <c r="M1165" t="s">
        <v>728</v>
      </c>
      <c r="O1165" t="s">
        <v>729</v>
      </c>
      <c r="P1165" t="s">
        <v>730</v>
      </c>
      <c r="Q1165" t="s">
        <v>37</v>
      </c>
      <c r="R1165">
        <v>3</v>
      </c>
      <c r="S1165" t="s">
        <v>731</v>
      </c>
      <c r="T1165" t="s">
        <v>60</v>
      </c>
      <c r="U1165" t="s">
        <v>53</v>
      </c>
      <c r="V1165" t="s">
        <v>508</v>
      </c>
    </row>
    <row r="1166" spans="1:22" hidden="1" x14ac:dyDescent="0.2">
      <c r="A1166" t="s">
        <v>718</v>
      </c>
      <c r="B1166" t="s">
        <v>23</v>
      </c>
      <c r="C1166" t="s">
        <v>56</v>
      </c>
      <c r="D1166" t="s">
        <v>719</v>
      </c>
      <c r="E1166" t="s">
        <v>720</v>
      </c>
      <c r="F1166" t="s">
        <v>721</v>
      </c>
      <c r="G1166" t="s">
        <v>722</v>
      </c>
      <c r="H1166" t="s">
        <v>723</v>
      </c>
      <c r="I1166" t="s">
        <v>724</v>
      </c>
      <c r="J1166" t="s">
        <v>725</v>
      </c>
      <c r="K1166" t="s">
        <v>726</v>
      </c>
      <c r="L1166" t="s">
        <v>727</v>
      </c>
      <c r="M1166" t="s">
        <v>728</v>
      </c>
      <c r="O1166" t="s">
        <v>729</v>
      </c>
      <c r="P1166" t="s">
        <v>730</v>
      </c>
      <c r="Q1166" t="s">
        <v>37</v>
      </c>
      <c r="R1166">
        <v>3</v>
      </c>
      <c r="S1166" t="s">
        <v>731</v>
      </c>
      <c r="T1166" t="s">
        <v>60</v>
      </c>
      <c r="U1166" t="s">
        <v>157</v>
      </c>
      <c r="V1166" t="s">
        <v>84</v>
      </c>
    </row>
    <row r="1167" spans="1:22" hidden="1" x14ac:dyDescent="0.2">
      <c r="A1167" t="s">
        <v>718</v>
      </c>
      <c r="B1167" t="s">
        <v>23</v>
      </c>
      <c r="C1167" t="s">
        <v>56</v>
      </c>
      <c r="D1167" t="s">
        <v>719</v>
      </c>
      <c r="E1167" t="s">
        <v>720</v>
      </c>
      <c r="F1167" t="s">
        <v>721</v>
      </c>
      <c r="G1167" t="s">
        <v>722</v>
      </c>
      <c r="H1167" t="s">
        <v>723</v>
      </c>
      <c r="I1167" t="s">
        <v>724</v>
      </c>
      <c r="J1167" t="s">
        <v>725</v>
      </c>
      <c r="K1167" t="s">
        <v>726</v>
      </c>
      <c r="L1167" t="s">
        <v>727</v>
      </c>
      <c r="M1167" t="s">
        <v>728</v>
      </c>
      <c r="O1167" t="s">
        <v>729</v>
      </c>
      <c r="P1167" t="s">
        <v>730</v>
      </c>
      <c r="Q1167" t="s">
        <v>37</v>
      </c>
      <c r="R1167">
        <v>3</v>
      </c>
      <c r="S1167" t="s">
        <v>731</v>
      </c>
      <c r="T1167" t="s">
        <v>60</v>
      </c>
      <c r="U1167" t="s">
        <v>157</v>
      </c>
      <c r="V1167" t="s">
        <v>43</v>
      </c>
    </row>
    <row r="1168" spans="1:22" hidden="1" x14ac:dyDescent="0.2">
      <c r="A1168" t="s">
        <v>718</v>
      </c>
      <c r="B1168" t="s">
        <v>23</v>
      </c>
      <c r="C1168" t="s">
        <v>56</v>
      </c>
      <c r="D1168" t="s">
        <v>719</v>
      </c>
      <c r="E1168" t="s">
        <v>720</v>
      </c>
      <c r="F1168" t="s">
        <v>721</v>
      </c>
      <c r="G1168" t="s">
        <v>722</v>
      </c>
      <c r="H1168" t="s">
        <v>723</v>
      </c>
      <c r="I1168" t="s">
        <v>724</v>
      </c>
      <c r="J1168" t="s">
        <v>725</v>
      </c>
      <c r="K1168" t="s">
        <v>726</v>
      </c>
      <c r="L1168" t="s">
        <v>727</v>
      </c>
      <c r="M1168" t="s">
        <v>728</v>
      </c>
      <c r="O1168" t="s">
        <v>729</v>
      </c>
      <c r="P1168" t="s">
        <v>730</v>
      </c>
      <c r="Q1168" t="s">
        <v>37</v>
      </c>
      <c r="R1168">
        <v>3</v>
      </c>
      <c r="S1168" t="s">
        <v>731</v>
      </c>
      <c r="T1168" t="s">
        <v>60</v>
      </c>
      <c r="U1168" t="s">
        <v>53</v>
      </c>
      <c r="V1168" t="s">
        <v>196</v>
      </c>
    </row>
    <row r="1169" spans="1:22" hidden="1" x14ac:dyDescent="0.2">
      <c r="A1169" t="s">
        <v>718</v>
      </c>
      <c r="B1169" t="s">
        <v>23</v>
      </c>
      <c r="C1169" t="s">
        <v>56</v>
      </c>
      <c r="D1169" t="s">
        <v>719</v>
      </c>
      <c r="E1169" t="s">
        <v>720</v>
      </c>
      <c r="F1169" t="s">
        <v>721</v>
      </c>
      <c r="G1169" t="s">
        <v>722</v>
      </c>
      <c r="H1169" t="s">
        <v>723</v>
      </c>
      <c r="I1169" t="s">
        <v>724</v>
      </c>
      <c r="J1169" t="s">
        <v>725</v>
      </c>
      <c r="K1169" t="s">
        <v>726</v>
      </c>
      <c r="L1169" t="s">
        <v>727</v>
      </c>
      <c r="M1169" t="s">
        <v>728</v>
      </c>
      <c r="O1169" t="s">
        <v>729</v>
      </c>
      <c r="P1169" t="s">
        <v>730</v>
      </c>
      <c r="Q1169" t="s">
        <v>37</v>
      </c>
      <c r="R1169">
        <v>3</v>
      </c>
      <c r="S1169" t="s">
        <v>731</v>
      </c>
      <c r="T1169" t="s">
        <v>131</v>
      </c>
      <c r="U1169" t="s">
        <v>157</v>
      </c>
      <c r="V1169" t="s">
        <v>105</v>
      </c>
    </row>
    <row r="1170" spans="1:22" hidden="1" x14ac:dyDescent="0.2">
      <c r="A1170" t="s">
        <v>718</v>
      </c>
      <c r="B1170" t="s">
        <v>23</v>
      </c>
      <c r="C1170" t="s">
        <v>56</v>
      </c>
      <c r="D1170" t="s">
        <v>719</v>
      </c>
      <c r="E1170" t="s">
        <v>720</v>
      </c>
      <c r="F1170" t="s">
        <v>721</v>
      </c>
      <c r="G1170" t="s">
        <v>722</v>
      </c>
      <c r="H1170" t="s">
        <v>723</v>
      </c>
      <c r="I1170" t="s">
        <v>724</v>
      </c>
      <c r="J1170" t="s">
        <v>725</v>
      </c>
      <c r="K1170" t="s">
        <v>726</v>
      </c>
      <c r="L1170" t="s">
        <v>727</v>
      </c>
      <c r="M1170" t="s">
        <v>728</v>
      </c>
      <c r="O1170" t="s">
        <v>729</v>
      </c>
      <c r="P1170" t="s">
        <v>730</v>
      </c>
      <c r="Q1170" t="s">
        <v>37</v>
      </c>
      <c r="R1170">
        <v>3</v>
      </c>
      <c r="S1170" t="s">
        <v>731</v>
      </c>
      <c r="T1170" t="s">
        <v>131</v>
      </c>
      <c r="U1170" t="s">
        <v>157</v>
      </c>
      <c r="V1170" t="s">
        <v>277</v>
      </c>
    </row>
    <row r="1171" spans="1:22" hidden="1" x14ac:dyDescent="0.2">
      <c r="A1171" t="s">
        <v>718</v>
      </c>
      <c r="B1171" t="s">
        <v>23</v>
      </c>
      <c r="C1171" t="s">
        <v>56</v>
      </c>
      <c r="D1171" t="s">
        <v>719</v>
      </c>
      <c r="E1171" t="s">
        <v>720</v>
      </c>
      <c r="F1171" t="s">
        <v>721</v>
      </c>
      <c r="G1171" t="s">
        <v>722</v>
      </c>
      <c r="H1171" t="s">
        <v>723</v>
      </c>
      <c r="I1171" t="s">
        <v>724</v>
      </c>
      <c r="J1171" t="s">
        <v>725</v>
      </c>
      <c r="K1171" t="s">
        <v>726</v>
      </c>
      <c r="L1171" t="s">
        <v>727</v>
      </c>
      <c r="M1171" t="s">
        <v>728</v>
      </c>
      <c r="O1171" t="s">
        <v>729</v>
      </c>
      <c r="P1171" t="s">
        <v>730</v>
      </c>
      <c r="Q1171" t="s">
        <v>37</v>
      </c>
      <c r="R1171">
        <v>3</v>
      </c>
      <c r="S1171" t="s">
        <v>731</v>
      </c>
      <c r="T1171" t="s">
        <v>131</v>
      </c>
      <c r="U1171" t="s">
        <v>55</v>
      </c>
      <c r="V1171" t="s">
        <v>113</v>
      </c>
    </row>
    <row r="1172" spans="1:22" hidden="1" x14ac:dyDescent="0.2">
      <c r="A1172" t="s">
        <v>718</v>
      </c>
      <c r="B1172" t="s">
        <v>23</v>
      </c>
      <c r="C1172" t="s">
        <v>56</v>
      </c>
      <c r="D1172" t="s">
        <v>719</v>
      </c>
      <c r="E1172" t="s">
        <v>720</v>
      </c>
      <c r="F1172" t="s">
        <v>721</v>
      </c>
      <c r="G1172" t="s">
        <v>722</v>
      </c>
      <c r="H1172" t="s">
        <v>723</v>
      </c>
      <c r="I1172" t="s">
        <v>724</v>
      </c>
      <c r="J1172" t="s">
        <v>725</v>
      </c>
      <c r="K1172" t="s">
        <v>726</v>
      </c>
      <c r="L1172" t="s">
        <v>727</v>
      </c>
      <c r="M1172" t="s">
        <v>728</v>
      </c>
      <c r="O1172" t="s">
        <v>729</v>
      </c>
      <c r="P1172" t="s">
        <v>730</v>
      </c>
      <c r="Q1172" t="s">
        <v>37</v>
      </c>
      <c r="R1172">
        <v>3</v>
      </c>
      <c r="S1172" t="s">
        <v>731</v>
      </c>
      <c r="T1172" t="s">
        <v>131</v>
      </c>
      <c r="U1172" t="s">
        <v>55</v>
      </c>
      <c r="V1172" t="s">
        <v>195</v>
      </c>
    </row>
    <row r="1173" spans="1:22" hidden="1" x14ac:dyDescent="0.2">
      <c r="A1173" t="s">
        <v>718</v>
      </c>
      <c r="B1173" t="s">
        <v>23</v>
      </c>
      <c r="C1173" t="s">
        <v>56</v>
      </c>
      <c r="D1173" t="s">
        <v>719</v>
      </c>
      <c r="E1173" t="s">
        <v>720</v>
      </c>
      <c r="F1173" t="s">
        <v>721</v>
      </c>
      <c r="G1173" t="s">
        <v>722</v>
      </c>
      <c r="H1173" t="s">
        <v>723</v>
      </c>
      <c r="I1173" t="s">
        <v>724</v>
      </c>
      <c r="J1173" t="s">
        <v>725</v>
      </c>
      <c r="K1173" t="s">
        <v>726</v>
      </c>
      <c r="L1173" t="s">
        <v>727</v>
      </c>
      <c r="M1173" t="s">
        <v>728</v>
      </c>
      <c r="O1173" t="s">
        <v>729</v>
      </c>
      <c r="P1173" t="s">
        <v>730</v>
      </c>
      <c r="Q1173" t="s">
        <v>37</v>
      </c>
      <c r="R1173">
        <v>3</v>
      </c>
      <c r="S1173" t="s">
        <v>731</v>
      </c>
      <c r="T1173" t="s">
        <v>131</v>
      </c>
      <c r="U1173" t="s">
        <v>55</v>
      </c>
      <c r="V1173" t="s">
        <v>143</v>
      </c>
    </row>
    <row r="1174" spans="1:22" hidden="1" x14ac:dyDescent="0.2">
      <c r="A1174" t="s">
        <v>718</v>
      </c>
      <c r="B1174" t="s">
        <v>23</v>
      </c>
      <c r="C1174" t="s">
        <v>56</v>
      </c>
      <c r="D1174" t="s">
        <v>719</v>
      </c>
      <c r="E1174" t="s">
        <v>720</v>
      </c>
      <c r="F1174" t="s">
        <v>721</v>
      </c>
      <c r="G1174" t="s">
        <v>722</v>
      </c>
      <c r="H1174" t="s">
        <v>723</v>
      </c>
      <c r="I1174" t="s">
        <v>724</v>
      </c>
      <c r="J1174" t="s">
        <v>725</v>
      </c>
      <c r="K1174" t="s">
        <v>726</v>
      </c>
      <c r="L1174" t="s">
        <v>727</v>
      </c>
      <c r="M1174" t="s">
        <v>728</v>
      </c>
      <c r="O1174" t="s">
        <v>729</v>
      </c>
      <c r="P1174" t="s">
        <v>730</v>
      </c>
      <c r="Q1174" t="s">
        <v>37</v>
      </c>
      <c r="R1174">
        <v>3</v>
      </c>
      <c r="S1174" t="s">
        <v>731</v>
      </c>
      <c r="T1174" t="s">
        <v>131</v>
      </c>
      <c r="U1174" t="s">
        <v>53</v>
      </c>
      <c r="V1174" t="s">
        <v>76</v>
      </c>
    </row>
    <row r="1175" spans="1:22" hidden="1" x14ac:dyDescent="0.2">
      <c r="A1175" t="s">
        <v>718</v>
      </c>
      <c r="B1175" t="s">
        <v>23</v>
      </c>
      <c r="C1175" t="s">
        <v>56</v>
      </c>
      <c r="D1175" t="s">
        <v>719</v>
      </c>
      <c r="E1175" t="s">
        <v>720</v>
      </c>
      <c r="F1175" t="s">
        <v>721</v>
      </c>
      <c r="G1175" t="s">
        <v>722</v>
      </c>
      <c r="H1175" t="s">
        <v>723</v>
      </c>
      <c r="I1175" t="s">
        <v>724</v>
      </c>
      <c r="J1175" t="s">
        <v>725</v>
      </c>
      <c r="K1175" t="s">
        <v>726</v>
      </c>
      <c r="L1175" t="s">
        <v>727</v>
      </c>
      <c r="M1175" t="s">
        <v>728</v>
      </c>
      <c r="O1175" t="s">
        <v>729</v>
      </c>
      <c r="P1175" t="s">
        <v>730</v>
      </c>
      <c r="Q1175" t="s">
        <v>37</v>
      </c>
      <c r="R1175">
        <v>3</v>
      </c>
      <c r="S1175" t="s">
        <v>731</v>
      </c>
      <c r="T1175" t="s">
        <v>131</v>
      </c>
      <c r="U1175" t="s">
        <v>53</v>
      </c>
      <c r="V1175" t="s">
        <v>235</v>
      </c>
    </row>
    <row r="1176" spans="1:22" hidden="1" x14ac:dyDescent="0.2">
      <c r="A1176" t="s">
        <v>718</v>
      </c>
      <c r="B1176" t="s">
        <v>23</v>
      </c>
      <c r="C1176" t="s">
        <v>56</v>
      </c>
      <c r="D1176" t="s">
        <v>719</v>
      </c>
      <c r="E1176" t="s">
        <v>720</v>
      </c>
      <c r="F1176" t="s">
        <v>721</v>
      </c>
      <c r="G1176" t="s">
        <v>722</v>
      </c>
      <c r="H1176" t="s">
        <v>723</v>
      </c>
      <c r="I1176" t="s">
        <v>724</v>
      </c>
      <c r="J1176" t="s">
        <v>725</v>
      </c>
      <c r="K1176" t="s">
        <v>726</v>
      </c>
      <c r="L1176" t="s">
        <v>727</v>
      </c>
      <c r="M1176" t="s">
        <v>728</v>
      </c>
      <c r="O1176" t="s">
        <v>729</v>
      </c>
      <c r="P1176" t="s">
        <v>730</v>
      </c>
      <c r="Q1176" t="s">
        <v>37</v>
      </c>
      <c r="R1176">
        <v>3</v>
      </c>
      <c r="S1176" t="s">
        <v>731</v>
      </c>
      <c r="T1176" t="s">
        <v>131</v>
      </c>
      <c r="U1176" t="s">
        <v>53</v>
      </c>
      <c r="V1176" t="s">
        <v>508</v>
      </c>
    </row>
    <row r="1177" spans="1:22" hidden="1" x14ac:dyDescent="0.2">
      <c r="A1177" t="s">
        <v>718</v>
      </c>
      <c r="B1177" t="s">
        <v>23</v>
      </c>
      <c r="C1177" t="s">
        <v>56</v>
      </c>
      <c r="D1177" t="s">
        <v>719</v>
      </c>
      <c r="E1177" t="s">
        <v>720</v>
      </c>
      <c r="F1177" t="s">
        <v>721</v>
      </c>
      <c r="G1177" t="s">
        <v>722</v>
      </c>
      <c r="H1177" t="s">
        <v>723</v>
      </c>
      <c r="I1177" t="s">
        <v>724</v>
      </c>
      <c r="J1177" t="s">
        <v>725</v>
      </c>
      <c r="K1177" t="s">
        <v>726</v>
      </c>
      <c r="L1177" t="s">
        <v>727</v>
      </c>
      <c r="M1177" t="s">
        <v>728</v>
      </c>
      <c r="O1177" t="s">
        <v>729</v>
      </c>
      <c r="P1177" t="s">
        <v>730</v>
      </c>
      <c r="Q1177" t="s">
        <v>37</v>
      </c>
      <c r="R1177">
        <v>3</v>
      </c>
      <c r="S1177" t="s">
        <v>731</v>
      </c>
      <c r="T1177" t="s">
        <v>131</v>
      </c>
      <c r="U1177" t="s">
        <v>157</v>
      </c>
      <c r="V1177" t="s">
        <v>84</v>
      </c>
    </row>
    <row r="1178" spans="1:22" hidden="1" x14ac:dyDescent="0.2">
      <c r="A1178" t="s">
        <v>718</v>
      </c>
      <c r="B1178" t="s">
        <v>23</v>
      </c>
      <c r="C1178" t="s">
        <v>56</v>
      </c>
      <c r="D1178" t="s">
        <v>719</v>
      </c>
      <c r="E1178" t="s">
        <v>720</v>
      </c>
      <c r="F1178" t="s">
        <v>721</v>
      </c>
      <c r="G1178" t="s">
        <v>722</v>
      </c>
      <c r="H1178" t="s">
        <v>723</v>
      </c>
      <c r="I1178" t="s">
        <v>724</v>
      </c>
      <c r="J1178" t="s">
        <v>725</v>
      </c>
      <c r="K1178" t="s">
        <v>726</v>
      </c>
      <c r="L1178" t="s">
        <v>727</v>
      </c>
      <c r="M1178" t="s">
        <v>728</v>
      </c>
      <c r="O1178" t="s">
        <v>729</v>
      </c>
      <c r="P1178" t="s">
        <v>730</v>
      </c>
      <c r="Q1178" t="s">
        <v>37</v>
      </c>
      <c r="R1178">
        <v>3</v>
      </c>
      <c r="S1178" t="s">
        <v>731</v>
      </c>
      <c r="T1178" t="s">
        <v>131</v>
      </c>
      <c r="U1178" t="s">
        <v>157</v>
      </c>
      <c r="V1178" t="s">
        <v>43</v>
      </c>
    </row>
    <row r="1179" spans="1:22" hidden="1" x14ac:dyDescent="0.2">
      <c r="A1179" t="s">
        <v>718</v>
      </c>
      <c r="B1179" t="s">
        <v>23</v>
      </c>
      <c r="C1179" t="s">
        <v>56</v>
      </c>
      <c r="D1179" t="s">
        <v>719</v>
      </c>
      <c r="E1179" t="s">
        <v>720</v>
      </c>
      <c r="F1179" t="s">
        <v>721</v>
      </c>
      <c r="G1179" t="s">
        <v>722</v>
      </c>
      <c r="H1179" t="s">
        <v>723</v>
      </c>
      <c r="I1179" t="s">
        <v>724</v>
      </c>
      <c r="J1179" t="s">
        <v>725</v>
      </c>
      <c r="K1179" t="s">
        <v>726</v>
      </c>
      <c r="L1179" t="s">
        <v>727</v>
      </c>
      <c r="M1179" t="s">
        <v>728</v>
      </c>
      <c r="O1179" t="s">
        <v>729</v>
      </c>
      <c r="P1179" t="s">
        <v>730</v>
      </c>
      <c r="Q1179" t="s">
        <v>37</v>
      </c>
      <c r="R1179">
        <v>3</v>
      </c>
      <c r="S1179" t="s">
        <v>731</v>
      </c>
      <c r="T1179" t="s">
        <v>131</v>
      </c>
      <c r="U1179" t="s">
        <v>53</v>
      </c>
      <c r="V1179" t="s">
        <v>196</v>
      </c>
    </row>
    <row r="1180" spans="1:22" hidden="1" x14ac:dyDescent="0.2">
      <c r="A1180" t="s">
        <v>718</v>
      </c>
      <c r="B1180" t="s">
        <v>23</v>
      </c>
      <c r="C1180" t="s">
        <v>56</v>
      </c>
      <c r="D1180" t="s">
        <v>719</v>
      </c>
      <c r="E1180" t="s">
        <v>720</v>
      </c>
      <c r="F1180" t="s">
        <v>721</v>
      </c>
      <c r="G1180" t="s">
        <v>722</v>
      </c>
      <c r="H1180" t="s">
        <v>723</v>
      </c>
      <c r="I1180" t="s">
        <v>724</v>
      </c>
      <c r="J1180" t="s">
        <v>725</v>
      </c>
      <c r="K1180" t="s">
        <v>726</v>
      </c>
      <c r="L1180" t="s">
        <v>727</v>
      </c>
      <c r="M1180" t="s">
        <v>728</v>
      </c>
      <c r="O1180" t="s">
        <v>729</v>
      </c>
      <c r="P1180" t="s">
        <v>730</v>
      </c>
      <c r="Q1180" t="s">
        <v>37</v>
      </c>
      <c r="R1180">
        <v>3</v>
      </c>
      <c r="S1180" t="s">
        <v>731</v>
      </c>
      <c r="T1180" t="s">
        <v>198</v>
      </c>
      <c r="U1180" t="s">
        <v>157</v>
      </c>
      <c r="V1180" t="s">
        <v>105</v>
      </c>
    </row>
    <row r="1181" spans="1:22" hidden="1" x14ac:dyDescent="0.2">
      <c r="A1181" t="s">
        <v>718</v>
      </c>
      <c r="B1181" t="s">
        <v>23</v>
      </c>
      <c r="C1181" t="s">
        <v>56</v>
      </c>
      <c r="D1181" t="s">
        <v>719</v>
      </c>
      <c r="E1181" t="s">
        <v>720</v>
      </c>
      <c r="F1181" t="s">
        <v>721</v>
      </c>
      <c r="G1181" t="s">
        <v>722</v>
      </c>
      <c r="H1181" t="s">
        <v>723</v>
      </c>
      <c r="I1181" t="s">
        <v>724</v>
      </c>
      <c r="J1181" t="s">
        <v>725</v>
      </c>
      <c r="K1181" t="s">
        <v>726</v>
      </c>
      <c r="L1181" t="s">
        <v>727</v>
      </c>
      <c r="M1181" t="s">
        <v>728</v>
      </c>
      <c r="O1181" t="s">
        <v>729</v>
      </c>
      <c r="P1181" t="s">
        <v>730</v>
      </c>
      <c r="Q1181" t="s">
        <v>37</v>
      </c>
      <c r="R1181">
        <v>3</v>
      </c>
      <c r="S1181" t="s">
        <v>731</v>
      </c>
      <c r="T1181" t="s">
        <v>198</v>
      </c>
      <c r="U1181" t="s">
        <v>157</v>
      </c>
      <c r="V1181" t="s">
        <v>277</v>
      </c>
    </row>
    <row r="1182" spans="1:22" hidden="1" x14ac:dyDescent="0.2">
      <c r="A1182" t="s">
        <v>718</v>
      </c>
      <c r="B1182" t="s">
        <v>23</v>
      </c>
      <c r="C1182" t="s">
        <v>56</v>
      </c>
      <c r="D1182" t="s">
        <v>719</v>
      </c>
      <c r="E1182" t="s">
        <v>720</v>
      </c>
      <c r="F1182" t="s">
        <v>721</v>
      </c>
      <c r="G1182" t="s">
        <v>722</v>
      </c>
      <c r="H1182" t="s">
        <v>723</v>
      </c>
      <c r="I1182" t="s">
        <v>724</v>
      </c>
      <c r="J1182" t="s">
        <v>725</v>
      </c>
      <c r="K1182" t="s">
        <v>726</v>
      </c>
      <c r="L1182" t="s">
        <v>727</v>
      </c>
      <c r="M1182" t="s">
        <v>728</v>
      </c>
      <c r="O1182" t="s">
        <v>729</v>
      </c>
      <c r="P1182" t="s">
        <v>730</v>
      </c>
      <c r="Q1182" t="s">
        <v>37</v>
      </c>
      <c r="R1182">
        <v>3</v>
      </c>
      <c r="S1182" t="s">
        <v>731</v>
      </c>
      <c r="T1182" t="s">
        <v>198</v>
      </c>
      <c r="U1182" t="s">
        <v>55</v>
      </c>
      <c r="V1182" t="s">
        <v>113</v>
      </c>
    </row>
    <row r="1183" spans="1:22" hidden="1" x14ac:dyDescent="0.2">
      <c r="A1183" t="s">
        <v>718</v>
      </c>
      <c r="B1183" t="s">
        <v>23</v>
      </c>
      <c r="C1183" t="s">
        <v>56</v>
      </c>
      <c r="D1183" t="s">
        <v>719</v>
      </c>
      <c r="E1183" t="s">
        <v>720</v>
      </c>
      <c r="F1183" t="s">
        <v>721</v>
      </c>
      <c r="G1183" t="s">
        <v>722</v>
      </c>
      <c r="H1183" t="s">
        <v>723</v>
      </c>
      <c r="I1183" t="s">
        <v>724</v>
      </c>
      <c r="J1183" t="s">
        <v>725</v>
      </c>
      <c r="K1183" t="s">
        <v>726</v>
      </c>
      <c r="L1183" t="s">
        <v>727</v>
      </c>
      <c r="M1183" t="s">
        <v>728</v>
      </c>
      <c r="O1183" t="s">
        <v>729</v>
      </c>
      <c r="P1183" t="s">
        <v>730</v>
      </c>
      <c r="Q1183" t="s">
        <v>37</v>
      </c>
      <c r="R1183">
        <v>3</v>
      </c>
      <c r="S1183" t="s">
        <v>731</v>
      </c>
      <c r="T1183" t="s">
        <v>198</v>
      </c>
      <c r="U1183" t="s">
        <v>55</v>
      </c>
      <c r="V1183" t="s">
        <v>195</v>
      </c>
    </row>
    <row r="1184" spans="1:22" hidden="1" x14ac:dyDescent="0.2">
      <c r="A1184" t="s">
        <v>718</v>
      </c>
      <c r="B1184" t="s">
        <v>23</v>
      </c>
      <c r="C1184" t="s">
        <v>56</v>
      </c>
      <c r="D1184" t="s">
        <v>719</v>
      </c>
      <c r="E1184" t="s">
        <v>720</v>
      </c>
      <c r="F1184" t="s">
        <v>721</v>
      </c>
      <c r="G1184" t="s">
        <v>722</v>
      </c>
      <c r="H1184" t="s">
        <v>723</v>
      </c>
      <c r="I1184" t="s">
        <v>724</v>
      </c>
      <c r="J1184" t="s">
        <v>725</v>
      </c>
      <c r="K1184" t="s">
        <v>726</v>
      </c>
      <c r="L1184" t="s">
        <v>727</v>
      </c>
      <c r="M1184" t="s">
        <v>728</v>
      </c>
      <c r="O1184" t="s">
        <v>729</v>
      </c>
      <c r="P1184" t="s">
        <v>730</v>
      </c>
      <c r="Q1184" t="s">
        <v>37</v>
      </c>
      <c r="R1184">
        <v>3</v>
      </c>
      <c r="S1184" t="s">
        <v>731</v>
      </c>
      <c r="T1184" t="s">
        <v>198</v>
      </c>
      <c r="U1184" t="s">
        <v>55</v>
      </c>
      <c r="V1184" t="s">
        <v>143</v>
      </c>
    </row>
    <row r="1185" spans="1:22" hidden="1" x14ac:dyDescent="0.2">
      <c r="A1185" t="s">
        <v>718</v>
      </c>
      <c r="B1185" t="s">
        <v>23</v>
      </c>
      <c r="C1185" t="s">
        <v>56</v>
      </c>
      <c r="D1185" t="s">
        <v>719</v>
      </c>
      <c r="E1185" t="s">
        <v>720</v>
      </c>
      <c r="F1185" t="s">
        <v>721</v>
      </c>
      <c r="G1185" t="s">
        <v>722</v>
      </c>
      <c r="H1185" t="s">
        <v>723</v>
      </c>
      <c r="I1185" t="s">
        <v>724</v>
      </c>
      <c r="J1185" t="s">
        <v>725</v>
      </c>
      <c r="K1185" t="s">
        <v>726</v>
      </c>
      <c r="L1185" t="s">
        <v>727</v>
      </c>
      <c r="M1185" t="s">
        <v>728</v>
      </c>
      <c r="O1185" t="s">
        <v>729</v>
      </c>
      <c r="P1185" t="s">
        <v>730</v>
      </c>
      <c r="Q1185" t="s">
        <v>37</v>
      </c>
      <c r="R1185">
        <v>3</v>
      </c>
      <c r="S1185" t="s">
        <v>731</v>
      </c>
      <c r="T1185" t="s">
        <v>198</v>
      </c>
      <c r="U1185" t="s">
        <v>53</v>
      </c>
      <c r="V1185" t="s">
        <v>76</v>
      </c>
    </row>
    <row r="1186" spans="1:22" hidden="1" x14ac:dyDescent="0.2">
      <c r="A1186" t="s">
        <v>718</v>
      </c>
      <c r="B1186" t="s">
        <v>23</v>
      </c>
      <c r="C1186" t="s">
        <v>56</v>
      </c>
      <c r="D1186" t="s">
        <v>719</v>
      </c>
      <c r="E1186" t="s">
        <v>720</v>
      </c>
      <c r="F1186" t="s">
        <v>721</v>
      </c>
      <c r="G1186" t="s">
        <v>722</v>
      </c>
      <c r="H1186" t="s">
        <v>723</v>
      </c>
      <c r="I1186" t="s">
        <v>724</v>
      </c>
      <c r="J1186" t="s">
        <v>725</v>
      </c>
      <c r="K1186" t="s">
        <v>726</v>
      </c>
      <c r="L1186" t="s">
        <v>727</v>
      </c>
      <c r="M1186" t="s">
        <v>728</v>
      </c>
      <c r="O1186" t="s">
        <v>729</v>
      </c>
      <c r="P1186" t="s">
        <v>730</v>
      </c>
      <c r="Q1186" t="s">
        <v>37</v>
      </c>
      <c r="R1186">
        <v>3</v>
      </c>
      <c r="S1186" t="s">
        <v>731</v>
      </c>
      <c r="T1186" t="s">
        <v>198</v>
      </c>
      <c r="U1186" t="s">
        <v>53</v>
      </c>
      <c r="V1186" t="s">
        <v>235</v>
      </c>
    </row>
    <row r="1187" spans="1:22" hidden="1" x14ac:dyDescent="0.2">
      <c r="A1187" t="s">
        <v>718</v>
      </c>
      <c r="B1187" t="s">
        <v>23</v>
      </c>
      <c r="C1187" t="s">
        <v>56</v>
      </c>
      <c r="D1187" t="s">
        <v>719</v>
      </c>
      <c r="E1187" t="s">
        <v>720</v>
      </c>
      <c r="F1187" t="s">
        <v>721</v>
      </c>
      <c r="G1187" t="s">
        <v>722</v>
      </c>
      <c r="H1187" t="s">
        <v>723</v>
      </c>
      <c r="I1187" t="s">
        <v>724</v>
      </c>
      <c r="J1187" t="s">
        <v>725</v>
      </c>
      <c r="K1187" t="s">
        <v>726</v>
      </c>
      <c r="L1187" t="s">
        <v>727</v>
      </c>
      <c r="M1187" t="s">
        <v>728</v>
      </c>
      <c r="O1187" t="s">
        <v>729</v>
      </c>
      <c r="P1187" t="s">
        <v>730</v>
      </c>
      <c r="Q1187" t="s">
        <v>37</v>
      </c>
      <c r="R1187">
        <v>3</v>
      </c>
      <c r="S1187" t="s">
        <v>731</v>
      </c>
      <c r="T1187" t="s">
        <v>198</v>
      </c>
      <c r="U1187" t="s">
        <v>53</v>
      </c>
      <c r="V1187" t="s">
        <v>508</v>
      </c>
    </row>
    <row r="1188" spans="1:22" hidden="1" x14ac:dyDescent="0.2">
      <c r="A1188" t="s">
        <v>718</v>
      </c>
      <c r="B1188" t="s">
        <v>23</v>
      </c>
      <c r="C1188" t="s">
        <v>56</v>
      </c>
      <c r="D1188" t="s">
        <v>719</v>
      </c>
      <c r="E1188" t="s">
        <v>720</v>
      </c>
      <c r="F1188" t="s">
        <v>721</v>
      </c>
      <c r="G1188" t="s">
        <v>722</v>
      </c>
      <c r="H1188" t="s">
        <v>723</v>
      </c>
      <c r="I1188" t="s">
        <v>724</v>
      </c>
      <c r="J1188" t="s">
        <v>725</v>
      </c>
      <c r="K1188" t="s">
        <v>726</v>
      </c>
      <c r="L1188" t="s">
        <v>727</v>
      </c>
      <c r="M1188" t="s">
        <v>728</v>
      </c>
      <c r="O1188" t="s">
        <v>729</v>
      </c>
      <c r="P1188" t="s">
        <v>730</v>
      </c>
      <c r="Q1188" t="s">
        <v>37</v>
      </c>
      <c r="R1188">
        <v>3</v>
      </c>
      <c r="S1188" t="s">
        <v>731</v>
      </c>
      <c r="T1188" t="s">
        <v>198</v>
      </c>
      <c r="U1188" t="s">
        <v>157</v>
      </c>
      <c r="V1188" t="s">
        <v>84</v>
      </c>
    </row>
    <row r="1189" spans="1:22" hidden="1" x14ac:dyDescent="0.2">
      <c r="A1189" t="s">
        <v>718</v>
      </c>
      <c r="B1189" t="s">
        <v>23</v>
      </c>
      <c r="C1189" t="s">
        <v>56</v>
      </c>
      <c r="D1189" t="s">
        <v>719</v>
      </c>
      <c r="E1189" t="s">
        <v>720</v>
      </c>
      <c r="F1189" t="s">
        <v>721</v>
      </c>
      <c r="G1189" t="s">
        <v>722</v>
      </c>
      <c r="H1189" t="s">
        <v>723</v>
      </c>
      <c r="I1189" t="s">
        <v>724</v>
      </c>
      <c r="J1189" t="s">
        <v>725</v>
      </c>
      <c r="K1189" t="s">
        <v>726</v>
      </c>
      <c r="L1189" t="s">
        <v>727</v>
      </c>
      <c r="M1189" t="s">
        <v>728</v>
      </c>
      <c r="O1189" t="s">
        <v>729</v>
      </c>
      <c r="P1189" t="s">
        <v>730</v>
      </c>
      <c r="Q1189" t="s">
        <v>37</v>
      </c>
      <c r="R1189">
        <v>3</v>
      </c>
      <c r="S1189" t="s">
        <v>731</v>
      </c>
      <c r="T1189" t="s">
        <v>198</v>
      </c>
      <c r="U1189" t="s">
        <v>157</v>
      </c>
      <c r="V1189" t="s">
        <v>43</v>
      </c>
    </row>
    <row r="1190" spans="1:22" hidden="1" x14ac:dyDescent="0.2">
      <c r="A1190" t="s">
        <v>718</v>
      </c>
      <c r="B1190" t="s">
        <v>23</v>
      </c>
      <c r="C1190" t="s">
        <v>56</v>
      </c>
      <c r="D1190" t="s">
        <v>719</v>
      </c>
      <c r="E1190" t="s">
        <v>720</v>
      </c>
      <c r="F1190" t="s">
        <v>721</v>
      </c>
      <c r="G1190" t="s">
        <v>722</v>
      </c>
      <c r="H1190" t="s">
        <v>723</v>
      </c>
      <c r="I1190" t="s">
        <v>724</v>
      </c>
      <c r="J1190" t="s">
        <v>725</v>
      </c>
      <c r="K1190" t="s">
        <v>726</v>
      </c>
      <c r="L1190" t="s">
        <v>727</v>
      </c>
      <c r="M1190" t="s">
        <v>728</v>
      </c>
      <c r="O1190" t="s">
        <v>729</v>
      </c>
      <c r="P1190" t="s">
        <v>730</v>
      </c>
      <c r="Q1190" t="s">
        <v>37</v>
      </c>
      <c r="R1190">
        <v>3</v>
      </c>
      <c r="S1190" t="s">
        <v>731</v>
      </c>
      <c r="T1190" t="s">
        <v>198</v>
      </c>
      <c r="U1190" t="s">
        <v>53</v>
      </c>
      <c r="V1190" t="s">
        <v>196</v>
      </c>
    </row>
    <row r="1191" spans="1:22" hidden="1" x14ac:dyDescent="0.2">
      <c r="A1191" t="s">
        <v>718</v>
      </c>
      <c r="B1191" t="s">
        <v>23</v>
      </c>
      <c r="C1191" t="s">
        <v>56</v>
      </c>
      <c r="D1191" t="s">
        <v>719</v>
      </c>
      <c r="E1191" t="s">
        <v>720</v>
      </c>
      <c r="F1191" t="s">
        <v>721</v>
      </c>
      <c r="G1191" t="s">
        <v>722</v>
      </c>
      <c r="H1191" t="s">
        <v>723</v>
      </c>
      <c r="I1191" t="s">
        <v>724</v>
      </c>
      <c r="J1191" t="s">
        <v>725</v>
      </c>
      <c r="K1191" t="s">
        <v>726</v>
      </c>
      <c r="L1191" t="s">
        <v>727</v>
      </c>
      <c r="M1191" t="s">
        <v>728</v>
      </c>
      <c r="O1191" t="s">
        <v>729</v>
      </c>
      <c r="P1191" t="s">
        <v>730</v>
      </c>
      <c r="Q1191" t="s">
        <v>37</v>
      </c>
      <c r="R1191">
        <v>3</v>
      </c>
      <c r="S1191" t="s">
        <v>731</v>
      </c>
      <c r="T1191" t="s">
        <v>62</v>
      </c>
      <c r="U1191" t="s">
        <v>157</v>
      </c>
      <c r="V1191" t="s">
        <v>105</v>
      </c>
    </row>
    <row r="1192" spans="1:22" hidden="1" x14ac:dyDescent="0.2">
      <c r="A1192" t="s">
        <v>718</v>
      </c>
      <c r="B1192" t="s">
        <v>23</v>
      </c>
      <c r="C1192" t="s">
        <v>56</v>
      </c>
      <c r="D1192" t="s">
        <v>719</v>
      </c>
      <c r="E1192" t="s">
        <v>720</v>
      </c>
      <c r="F1192" t="s">
        <v>721</v>
      </c>
      <c r="G1192" t="s">
        <v>722</v>
      </c>
      <c r="H1192" t="s">
        <v>723</v>
      </c>
      <c r="I1192" t="s">
        <v>724</v>
      </c>
      <c r="J1192" t="s">
        <v>725</v>
      </c>
      <c r="K1192" t="s">
        <v>726</v>
      </c>
      <c r="L1192" t="s">
        <v>727</v>
      </c>
      <c r="M1192" t="s">
        <v>728</v>
      </c>
      <c r="O1192" t="s">
        <v>729</v>
      </c>
      <c r="P1192" t="s">
        <v>730</v>
      </c>
      <c r="Q1192" t="s">
        <v>37</v>
      </c>
      <c r="R1192">
        <v>3</v>
      </c>
      <c r="S1192" t="s">
        <v>731</v>
      </c>
      <c r="T1192" t="s">
        <v>62</v>
      </c>
      <c r="U1192" t="s">
        <v>157</v>
      </c>
      <c r="V1192" t="s">
        <v>277</v>
      </c>
    </row>
    <row r="1193" spans="1:22" hidden="1" x14ac:dyDescent="0.2">
      <c r="A1193" t="s">
        <v>718</v>
      </c>
      <c r="B1193" t="s">
        <v>23</v>
      </c>
      <c r="C1193" t="s">
        <v>56</v>
      </c>
      <c r="D1193" t="s">
        <v>719</v>
      </c>
      <c r="E1193" t="s">
        <v>720</v>
      </c>
      <c r="F1193" t="s">
        <v>721</v>
      </c>
      <c r="G1193" t="s">
        <v>722</v>
      </c>
      <c r="H1193" t="s">
        <v>723</v>
      </c>
      <c r="I1193" t="s">
        <v>724</v>
      </c>
      <c r="J1193" t="s">
        <v>725</v>
      </c>
      <c r="K1193" t="s">
        <v>726</v>
      </c>
      <c r="L1193" t="s">
        <v>727</v>
      </c>
      <c r="M1193" t="s">
        <v>728</v>
      </c>
      <c r="O1193" t="s">
        <v>729</v>
      </c>
      <c r="P1193" t="s">
        <v>730</v>
      </c>
      <c r="Q1193" t="s">
        <v>37</v>
      </c>
      <c r="R1193">
        <v>3</v>
      </c>
      <c r="S1193" t="s">
        <v>731</v>
      </c>
      <c r="T1193" t="s">
        <v>62</v>
      </c>
      <c r="U1193" t="s">
        <v>55</v>
      </c>
      <c r="V1193" t="s">
        <v>113</v>
      </c>
    </row>
    <row r="1194" spans="1:22" hidden="1" x14ac:dyDescent="0.2">
      <c r="A1194" t="s">
        <v>718</v>
      </c>
      <c r="B1194" t="s">
        <v>23</v>
      </c>
      <c r="C1194" t="s">
        <v>56</v>
      </c>
      <c r="D1194" t="s">
        <v>719</v>
      </c>
      <c r="E1194" t="s">
        <v>720</v>
      </c>
      <c r="F1194" t="s">
        <v>721</v>
      </c>
      <c r="G1194" t="s">
        <v>722</v>
      </c>
      <c r="H1194" t="s">
        <v>723</v>
      </c>
      <c r="I1194" t="s">
        <v>724</v>
      </c>
      <c r="J1194" t="s">
        <v>725</v>
      </c>
      <c r="K1194" t="s">
        <v>726</v>
      </c>
      <c r="L1194" t="s">
        <v>727</v>
      </c>
      <c r="M1194" t="s">
        <v>728</v>
      </c>
      <c r="O1194" t="s">
        <v>729</v>
      </c>
      <c r="P1194" t="s">
        <v>730</v>
      </c>
      <c r="Q1194" t="s">
        <v>37</v>
      </c>
      <c r="R1194">
        <v>3</v>
      </c>
      <c r="S1194" t="s">
        <v>731</v>
      </c>
      <c r="T1194" t="s">
        <v>62</v>
      </c>
      <c r="U1194" t="s">
        <v>55</v>
      </c>
      <c r="V1194" t="s">
        <v>195</v>
      </c>
    </row>
    <row r="1195" spans="1:22" hidden="1" x14ac:dyDescent="0.2">
      <c r="A1195" t="s">
        <v>718</v>
      </c>
      <c r="B1195" t="s">
        <v>23</v>
      </c>
      <c r="C1195" t="s">
        <v>56</v>
      </c>
      <c r="D1195" t="s">
        <v>719</v>
      </c>
      <c r="E1195" t="s">
        <v>720</v>
      </c>
      <c r="F1195" t="s">
        <v>721</v>
      </c>
      <c r="G1195" t="s">
        <v>722</v>
      </c>
      <c r="H1195" t="s">
        <v>723</v>
      </c>
      <c r="I1195" t="s">
        <v>724</v>
      </c>
      <c r="J1195" t="s">
        <v>725</v>
      </c>
      <c r="K1195" t="s">
        <v>726</v>
      </c>
      <c r="L1195" t="s">
        <v>727</v>
      </c>
      <c r="M1195" t="s">
        <v>728</v>
      </c>
      <c r="O1195" t="s">
        <v>729</v>
      </c>
      <c r="P1195" t="s">
        <v>730</v>
      </c>
      <c r="Q1195" t="s">
        <v>37</v>
      </c>
      <c r="R1195">
        <v>3</v>
      </c>
      <c r="S1195" t="s">
        <v>731</v>
      </c>
      <c r="T1195" t="s">
        <v>62</v>
      </c>
      <c r="U1195" t="s">
        <v>55</v>
      </c>
      <c r="V1195" t="s">
        <v>143</v>
      </c>
    </row>
    <row r="1196" spans="1:22" hidden="1" x14ac:dyDescent="0.2">
      <c r="A1196" t="s">
        <v>718</v>
      </c>
      <c r="B1196" t="s">
        <v>23</v>
      </c>
      <c r="C1196" t="s">
        <v>56</v>
      </c>
      <c r="D1196" t="s">
        <v>719</v>
      </c>
      <c r="E1196" t="s">
        <v>720</v>
      </c>
      <c r="F1196" t="s">
        <v>721</v>
      </c>
      <c r="G1196" t="s">
        <v>722</v>
      </c>
      <c r="H1196" t="s">
        <v>723</v>
      </c>
      <c r="I1196" t="s">
        <v>724</v>
      </c>
      <c r="J1196" t="s">
        <v>725</v>
      </c>
      <c r="K1196" t="s">
        <v>726</v>
      </c>
      <c r="L1196" t="s">
        <v>727</v>
      </c>
      <c r="M1196" t="s">
        <v>728</v>
      </c>
      <c r="O1196" t="s">
        <v>729</v>
      </c>
      <c r="P1196" t="s">
        <v>730</v>
      </c>
      <c r="Q1196" t="s">
        <v>37</v>
      </c>
      <c r="R1196">
        <v>3</v>
      </c>
      <c r="S1196" t="s">
        <v>731</v>
      </c>
      <c r="T1196" t="s">
        <v>62</v>
      </c>
      <c r="U1196" t="s">
        <v>53</v>
      </c>
      <c r="V1196" t="s">
        <v>76</v>
      </c>
    </row>
    <row r="1197" spans="1:22" hidden="1" x14ac:dyDescent="0.2">
      <c r="A1197" t="s">
        <v>718</v>
      </c>
      <c r="B1197" t="s">
        <v>23</v>
      </c>
      <c r="C1197" t="s">
        <v>56</v>
      </c>
      <c r="D1197" t="s">
        <v>719</v>
      </c>
      <c r="E1197" t="s">
        <v>720</v>
      </c>
      <c r="F1197" t="s">
        <v>721</v>
      </c>
      <c r="G1197" t="s">
        <v>722</v>
      </c>
      <c r="H1197" t="s">
        <v>723</v>
      </c>
      <c r="I1197" t="s">
        <v>724</v>
      </c>
      <c r="J1197" t="s">
        <v>725</v>
      </c>
      <c r="K1197" t="s">
        <v>726</v>
      </c>
      <c r="L1197" t="s">
        <v>727</v>
      </c>
      <c r="M1197" t="s">
        <v>728</v>
      </c>
      <c r="O1197" t="s">
        <v>729</v>
      </c>
      <c r="P1197" t="s">
        <v>730</v>
      </c>
      <c r="Q1197" t="s">
        <v>37</v>
      </c>
      <c r="R1197">
        <v>3</v>
      </c>
      <c r="S1197" t="s">
        <v>731</v>
      </c>
      <c r="T1197" t="s">
        <v>62</v>
      </c>
      <c r="U1197" t="s">
        <v>53</v>
      </c>
      <c r="V1197" t="s">
        <v>235</v>
      </c>
    </row>
    <row r="1198" spans="1:22" hidden="1" x14ac:dyDescent="0.2">
      <c r="A1198" t="s">
        <v>718</v>
      </c>
      <c r="B1198" t="s">
        <v>23</v>
      </c>
      <c r="C1198" t="s">
        <v>56</v>
      </c>
      <c r="D1198" t="s">
        <v>719</v>
      </c>
      <c r="E1198" t="s">
        <v>720</v>
      </c>
      <c r="F1198" t="s">
        <v>721</v>
      </c>
      <c r="G1198" t="s">
        <v>722</v>
      </c>
      <c r="H1198" t="s">
        <v>723</v>
      </c>
      <c r="I1198" t="s">
        <v>724</v>
      </c>
      <c r="J1198" t="s">
        <v>725</v>
      </c>
      <c r="K1198" t="s">
        <v>726</v>
      </c>
      <c r="L1198" t="s">
        <v>727</v>
      </c>
      <c r="M1198" t="s">
        <v>728</v>
      </c>
      <c r="O1198" t="s">
        <v>729</v>
      </c>
      <c r="P1198" t="s">
        <v>730</v>
      </c>
      <c r="Q1198" t="s">
        <v>37</v>
      </c>
      <c r="R1198">
        <v>3</v>
      </c>
      <c r="S1198" t="s">
        <v>731</v>
      </c>
      <c r="T1198" t="s">
        <v>62</v>
      </c>
      <c r="U1198" t="s">
        <v>53</v>
      </c>
      <c r="V1198" t="s">
        <v>508</v>
      </c>
    </row>
    <row r="1199" spans="1:22" hidden="1" x14ac:dyDescent="0.2">
      <c r="A1199" t="s">
        <v>718</v>
      </c>
      <c r="B1199" t="s">
        <v>23</v>
      </c>
      <c r="C1199" t="s">
        <v>56</v>
      </c>
      <c r="D1199" t="s">
        <v>719</v>
      </c>
      <c r="E1199" t="s">
        <v>720</v>
      </c>
      <c r="F1199" t="s">
        <v>721</v>
      </c>
      <c r="G1199" t="s">
        <v>722</v>
      </c>
      <c r="H1199" t="s">
        <v>723</v>
      </c>
      <c r="I1199" t="s">
        <v>724</v>
      </c>
      <c r="J1199" t="s">
        <v>725</v>
      </c>
      <c r="K1199" t="s">
        <v>726</v>
      </c>
      <c r="L1199" t="s">
        <v>727</v>
      </c>
      <c r="M1199" t="s">
        <v>728</v>
      </c>
      <c r="O1199" t="s">
        <v>729</v>
      </c>
      <c r="P1199" t="s">
        <v>730</v>
      </c>
      <c r="Q1199" t="s">
        <v>37</v>
      </c>
      <c r="R1199">
        <v>3</v>
      </c>
      <c r="S1199" t="s">
        <v>731</v>
      </c>
      <c r="T1199" t="s">
        <v>62</v>
      </c>
      <c r="U1199" t="s">
        <v>157</v>
      </c>
      <c r="V1199" t="s">
        <v>84</v>
      </c>
    </row>
    <row r="1200" spans="1:22" hidden="1" x14ac:dyDescent="0.2">
      <c r="A1200" t="s">
        <v>718</v>
      </c>
      <c r="B1200" t="s">
        <v>23</v>
      </c>
      <c r="C1200" t="s">
        <v>56</v>
      </c>
      <c r="D1200" t="s">
        <v>719</v>
      </c>
      <c r="E1200" t="s">
        <v>720</v>
      </c>
      <c r="F1200" t="s">
        <v>721</v>
      </c>
      <c r="G1200" t="s">
        <v>722</v>
      </c>
      <c r="H1200" t="s">
        <v>723</v>
      </c>
      <c r="I1200" t="s">
        <v>724</v>
      </c>
      <c r="J1200" t="s">
        <v>725</v>
      </c>
      <c r="K1200" t="s">
        <v>726</v>
      </c>
      <c r="L1200" t="s">
        <v>727</v>
      </c>
      <c r="M1200" t="s">
        <v>728</v>
      </c>
      <c r="O1200" t="s">
        <v>729</v>
      </c>
      <c r="P1200" t="s">
        <v>730</v>
      </c>
      <c r="Q1200" t="s">
        <v>37</v>
      </c>
      <c r="R1200">
        <v>3</v>
      </c>
      <c r="S1200" t="s">
        <v>731</v>
      </c>
      <c r="T1200" t="s">
        <v>62</v>
      </c>
      <c r="U1200" t="s">
        <v>157</v>
      </c>
      <c r="V1200" t="s">
        <v>43</v>
      </c>
    </row>
    <row r="1201" spans="1:22" hidden="1" x14ac:dyDescent="0.2">
      <c r="A1201" t="s">
        <v>718</v>
      </c>
      <c r="B1201" t="s">
        <v>23</v>
      </c>
      <c r="C1201" t="s">
        <v>56</v>
      </c>
      <c r="D1201" t="s">
        <v>719</v>
      </c>
      <c r="E1201" t="s">
        <v>720</v>
      </c>
      <c r="F1201" t="s">
        <v>721</v>
      </c>
      <c r="G1201" t="s">
        <v>722</v>
      </c>
      <c r="H1201" t="s">
        <v>723</v>
      </c>
      <c r="I1201" t="s">
        <v>724</v>
      </c>
      <c r="J1201" t="s">
        <v>725</v>
      </c>
      <c r="K1201" t="s">
        <v>726</v>
      </c>
      <c r="L1201" t="s">
        <v>727</v>
      </c>
      <c r="M1201" t="s">
        <v>728</v>
      </c>
      <c r="O1201" t="s">
        <v>729</v>
      </c>
      <c r="P1201" t="s">
        <v>730</v>
      </c>
      <c r="Q1201" t="s">
        <v>37</v>
      </c>
      <c r="R1201">
        <v>3</v>
      </c>
      <c r="S1201" t="s">
        <v>731</v>
      </c>
      <c r="T1201" t="s">
        <v>62</v>
      </c>
      <c r="U1201" t="s">
        <v>53</v>
      </c>
      <c r="V1201" t="s">
        <v>196</v>
      </c>
    </row>
    <row r="1202" spans="1:22" hidden="1" x14ac:dyDescent="0.2">
      <c r="A1202" t="s">
        <v>718</v>
      </c>
      <c r="B1202" t="s">
        <v>23</v>
      </c>
      <c r="C1202" t="s">
        <v>56</v>
      </c>
      <c r="D1202" t="s">
        <v>732</v>
      </c>
      <c r="E1202" t="s">
        <v>720</v>
      </c>
      <c r="F1202" t="s">
        <v>721</v>
      </c>
      <c r="G1202" t="s">
        <v>722</v>
      </c>
      <c r="H1202" t="s">
        <v>723</v>
      </c>
      <c r="I1202" t="s">
        <v>724</v>
      </c>
      <c r="J1202" t="s">
        <v>725</v>
      </c>
      <c r="K1202" t="s">
        <v>726</v>
      </c>
      <c r="L1202" t="s">
        <v>727</v>
      </c>
      <c r="M1202" t="s">
        <v>728</v>
      </c>
      <c r="O1202" t="s">
        <v>729</v>
      </c>
      <c r="P1202" t="s">
        <v>730</v>
      </c>
      <c r="Q1202" t="s">
        <v>37</v>
      </c>
      <c r="R1202">
        <v>3</v>
      </c>
      <c r="S1202" t="s">
        <v>731</v>
      </c>
      <c r="T1202" t="s">
        <v>57</v>
      </c>
      <c r="U1202" t="s">
        <v>157</v>
      </c>
      <c r="V1202" t="s">
        <v>105</v>
      </c>
    </row>
    <row r="1203" spans="1:22" hidden="1" x14ac:dyDescent="0.2">
      <c r="A1203" t="s">
        <v>718</v>
      </c>
      <c r="B1203" t="s">
        <v>23</v>
      </c>
      <c r="C1203" t="s">
        <v>56</v>
      </c>
      <c r="D1203" t="s">
        <v>732</v>
      </c>
      <c r="E1203" t="s">
        <v>720</v>
      </c>
      <c r="F1203" t="s">
        <v>721</v>
      </c>
      <c r="G1203" t="s">
        <v>722</v>
      </c>
      <c r="H1203" t="s">
        <v>723</v>
      </c>
      <c r="I1203" t="s">
        <v>724</v>
      </c>
      <c r="J1203" t="s">
        <v>725</v>
      </c>
      <c r="K1203" t="s">
        <v>726</v>
      </c>
      <c r="L1203" t="s">
        <v>727</v>
      </c>
      <c r="M1203" t="s">
        <v>728</v>
      </c>
      <c r="O1203" t="s">
        <v>729</v>
      </c>
      <c r="P1203" t="s">
        <v>730</v>
      </c>
      <c r="Q1203" t="s">
        <v>37</v>
      </c>
      <c r="R1203">
        <v>3</v>
      </c>
      <c r="S1203" t="s">
        <v>731</v>
      </c>
      <c r="T1203" t="s">
        <v>57</v>
      </c>
      <c r="U1203" t="s">
        <v>157</v>
      </c>
      <c r="V1203" t="s">
        <v>277</v>
      </c>
    </row>
    <row r="1204" spans="1:22" hidden="1" x14ac:dyDescent="0.2">
      <c r="A1204" t="s">
        <v>718</v>
      </c>
      <c r="B1204" t="s">
        <v>23</v>
      </c>
      <c r="C1204" t="s">
        <v>56</v>
      </c>
      <c r="D1204" t="s">
        <v>732</v>
      </c>
      <c r="E1204" t="s">
        <v>720</v>
      </c>
      <c r="F1204" t="s">
        <v>721</v>
      </c>
      <c r="G1204" t="s">
        <v>722</v>
      </c>
      <c r="H1204" t="s">
        <v>723</v>
      </c>
      <c r="I1204" t="s">
        <v>724</v>
      </c>
      <c r="J1204" t="s">
        <v>725</v>
      </c>
      <c r="K1204" t="s">
        <v>726</v>
      </c>
      <c r="L1204" t="s">
        <v>727</v>
      </c>
      <c r="M1204" t="s">
        <v>728</v>
      </c>
      <c r="O1204" t="s">
        <v>729</v>
      </c>
      <c r="P1204" t="s">
        <v>730</v>
      </c>
      <c r="Q1204" t="s">
        <v>37</v>
      </c>
      <c r="R1204">
        <v>3</v>
      </c>
      <c r="S1204" t="s">
        <v>731</v>
      </c>
      <c r="T1204" t="s">
        <v>57</v>
      </c>
      <c r="U1204" t="s">
        <v>55</v>
      </c>
      <c r="V1204" t="s">
        <v>113</v>
      </c>
    </row>
    <row r="1205" spans="1:22" hidden="1" x14ac:dyDescent="0.2">
      <c r="A1205" t="s">
        <v>718</v>
      </c>
      <c r="B1205" t="s">
        <v>23</v>
      </c>
      <c r="C1205" t="s">
        <v>56</v>
      </c>
      <c r="D1205" t="s">
        <v>732</v>
      </c>
      <c r="E1205" t="s">
        <v>720</v>
      </c>
      <c r="F1205" t="s">
        <v>721</v>
      </c>
      <c r="G1205" t="s">
        <v>722</v>
      </c>
      <c r="H1205" t="s">
        <v>723</v>
      </c>
      <c r="I1205" t="s">
        <v>724</v>
      </c>
      <c r="J1205" t="s">
        <v>725</v>
      </c>
      <c r="K1205" t="s">
        <v>726</v>
      </c>
      <c r="L1205" t="s">
        <v>727</v>
      </c>
      <c r="M1205" t="s">
        <v>728</v>
      </c>
      <c r="O1205" t="s">
        <v>729</v>
      </c>
      <c r="P1205" t="s">
        <v>730</v>
      </c>
      <c r="Q1205" t="s">
        <v>37</v>
      </c>
      <c r="R1205">
        <v>3</v>
      </c>
      <c r="S1205" t="s">
        <v>731</v>
      </c>
      <c r="T1205" t="s">
        <v>57</v>
      </c>
      <c r="U1205" t="s">
        <v>55</v>
      </c>
      <c r="V1205" t="s">
        <v>195</v>
      </c>
    </row>
    <row r="1206" spans="1:22" hidden="1" x14ac:dyDescent="0.2">
      <c r="A1206" t="s">
        <v>718</v>
      </c>
      <c r="B1206" t="s">
        <v>23</v>
      </c>
      <c r="C1206" t="s">
        <v>56</v>
      </c>
      <c r="D1206" t="s">
        <v>732</v>
      </c>
      <c r="E1206" t="s">
        <v>720</v>
      </c>
      <c r="F1206" t="s">
        <v>721</v>
      </c>
      <c r="G1206" t="s">
        <v>722</v>
      </c>
      <c r="H1206" t="s">
        <v>723</v>
      </c>
      <c r="I1206" t="s">
        <v>724</v>
      </c>
      <c r="J1206" t="s">
        <v>725</v>
      </c>
      <c r="K1206" t="s">
        <v>726</v>
      </c>
      <c r="L1206" t="s">
        <v>727</v>
      </c>
      <c r="M1206" t="s">
        <v>728</v>
      </c>
      <c r="O1206" t="s">
        <v>729</v>
      </c>
      <c r="P1206" t="s">
        <v>730</v>
      </c>
      <c r="Q1206" t="s">
        <v>37</v>
      </c>
      <c r="R1206">
        <v>3</v>
      </c>
      <c r="S1206" t="s">
        <v>731</v>
      </c>
      <c r="T1206" t="s">
        <v>57</v>
      </c>
      <c r="U1206" t="s">
        <v>55</v>
      </c>
      <c r="V1206" t="s">
        <v>143</v>
      </c>
    </row>
    <row r="1207" spans="1:22" hidden="1" x14ac:dyDescent="0.2">
      <c r="A1207" t="s">
        <v>718</v>
      </c>
      <c r="B1207" t="s">
        <v>23</v>
      </c>
      <c r="C1207" t="s">
        <v>56</v>
      </c>
      <c r="D1207" t="s">
        <v>732</v>
      </c>
      <c r="E1207" t="s">
        <v>720</v>
      </c>
      <c r="F1207" t="s">
        <v>721</v>
      </c>
      <c r="G1207" t="s">
        <v>722</v>
      </c>
      <c r="H1207" t="s">
        <v>723</v>
      </c>
      <c r="I1207" t="s">
        <v>724</v>
      </c>
      <c r="J1207" t="s">
        <v>725</v>
      </c>
      <c r="K1207" t="s">
        <v>726</v>
      </c>
      <c r="L1207" t="s">
        <v>727</v>
      </c>
      <c r="M1207" t="s">
        <v>728</v>
      </c>
      <c r="O1207" t="s">
        <v>729</v>
      </c>
      <c r="P1207" t="s">
        <v>730</v>
      </c>
      <c r="Q1207" t="s">
        <v>37</v>
      </c>
      <c r="R1207">
        <v>3</v>
      </c>
      <c r="S1207" t="s">
        <v>731</v>
      </c>
      <c r="T1207" t="s">
        <v>57</v>
      </c>
      <c r="U1207" t="s">
        <v>53</v>
      </c>
      <c r="V1207" t="s">
        <v>76</v>
      </c>
    </row>
    <row r="1208" spans="1:22" hidden="1" x14ac:dyDescent="0.2">
      <c r="A1208" t="s">
        <v>718</v>
      </c>
      <c r="B1208" t="s">
        <v>23</v>
      </c>
      <c r="C1208" t="s">
        <v>56</v>
      </c>
      <c r="D1208" t="s">
        <v>732</v>
      </c>
      <c r="E1208" t="s">
        <v>720</v>
      </c>
      <c r="F1208" t="s">
        <v>721</v>
      </c>
      <c r="G1208" t="s">
        <v>722</v>
      </c>
      <c r="H1208" t="s">
        <v>723</v>
      </c>
      <c r="I1208" t="s">
        <v>724</v>
      </c>
      <c r="J1208" t="s">
        <v>725</v>
      </c>
      <c r="K1208" t="s">
        <v>726</v>
      </c>
      <c r="L1208" t="s">
        <v>727</v>
      </c>
      <c r="M1208" t="s">
        <v>728</v>
      </c>
      <c r="O1208" t="s">
        <v>729</v>
      </c>
      <c r="P1208" t="s">
        <v>730</v>
      </c>
      <c r="Q1208" t="s">
        <v>37</v>
      </c>
      <c r="R1208">
        <v>3</v>
      </c>
      <c r="S1208" t="s">
        <v>731</v>
      </c>
      <c r="T1208" t="s">
        <v>57</v>
      </c>
      <c r="U1208" t="s">
        <v>53</v>
      </c>
      <c r="V1208" t="s">
        <v>235</v>
      </c>
    </row>
    <row r="1209" spans="1:22" hidden="1" x14ac:dyDescent="0.2">
      <c r="A1209" t="s">
        <v>718</v>
      </c>
      <c r="B1209" t="s">
        <v>23</v>
      </c>
      <c r="C1209" t="s">
        <v>56</v>
      </c>
      <c r="D1209" t="s">
        <v>732</v>
      </c>
      <c r="E1209" t="s">
        <v>720</v>
      </c>
      <c r="F1209" t="s">
        <v>721</v>
      </c>
      <c r="G1209" t="s">
        <v>722</v>
      </c>
      <c r="H1209" t="s">
        <v>723</v>
      </c>
      <c r="I1209" t="s">
        <v>724</v>
      </c>
      <c r="J1209" t="s">
        <v>725</v>
      </c>
      <c r="K1209" t="s">
        <v>726</v>
      </c>
      <c r="L1209" t="s">
        <v>727</v>
      </c>
      <c r="M1209" t="s">
        <v>728</v>
      </c>
      <c r="O1209" t="s">
        <v>729</v>
      </c>
      <c r="P1209" t="s">
        <v>730</v>
      </c>
      <c r="Q1209" t="s">
        <v>37</v>
      </c>
      <c r="R1209">
        <v>3</v>
      </c>
      <c r="S1209" t="s">
        <v>731</v>
      </c>
      <c r="T1209" t="s">
        <v>57</v>
      </c>
      <c r="U1209" t="s">
        <v>53</v>
      </c>
      <c r="V1209" t="s">
        <v>508</v>
      </c>
    </row>
    <row r="1210" spans="1:22" hidden="1" x14ac:dyDescent="0.2">
      <c r="A1210" t="s">
        <v>718</v>
      </c>
      <c r="B1210" t="s">
        <v>23</v>
      </c>
      <c r="C1210" t="s">
        <v>56</v>
      </c>
      <c r="D1210" t="s">
        <v>732</v>
      </c>
      <c r="E1210" t="s">
        <v>720</v>
      </c>
      <c r="F1210" t="s">
        <v>721</v>
      </c>
      <c r="G1210" t="s">
        <v>722</v>
      </c>
      <c r="H1210" t="s">
        <v>723</v>
      </c>
      <c r="I1210" t="s">
        <v>724</v>
      </c>
      <c r="J1210" t="s">
        <v>725</v>
      </c>
      <c r="K1210" t="s">
        <v>726</v>
      </c>
      <c r="L1210" t="s">
        <v>727</v>
      </c>
      <c r="M1210" t="s">
        <v>728</v>
      </c>
      <c r="O1210" t="s">
        <v>729</v>
      </c>
      <c r="P1210" t="s">
        <v>730</v>
      </c>
      <c r="Q1210" t="s">
        <v>37</v>
      </c>
      <c r="R1210">
        <v>3</v>
      </c>
      <c r="S1210" t="s">
        <v>731</v>
      </c>
      <c r="T1210" t="s">
        <v>57</v>
      </c>
      <c r="U1210" t="s">
        <v>157</v>
      </c>
      <c r="V1210" t="s">
        <v>84</v>
      </c>
    </row>
    <row r="1211" spans="1:22" hidden="1" x14ac:dyDescent="0.2">
      <c r="A1211" t="s">
        <v>718</v>
      </c>
      <c r="B1211" t="s">
        <v>23</v>
      </c>
      <c r="C1211" t="s">
        <v>56</v>
      </c>
      <c r="D1211" t="s">
        <v>732</v>
      </c>
      <c r="E1211" t="s">
        <v>720</v>
      </c>
      <c r="F1211" t="s">
        <v>721</v>
      </c>
      <c r="G1211" t="s">
        <v>722</v>
      </c>
      <c r="H1211" t="s">
        <v>723</v>
      </c>
      <c r="I1211" t="s">
        <v>724</v>
      </c>
      <c r="J1211" t="s">
        <v>725</v>
      </c>
      <c r="K1211" t="s">
        <v>726</v>
      </c>
      <c r="L1211" t="s">
        <v>727</v>
      </c>
      <c r="M1211" t="s">
        <v>728</v>
      </c>
      <c r="O1211" t="s">
        <v>729</v>
      </c>
      <c r="P1211" t="s">
        <v>730</v>
      </c>
      <c r="Q1211" t="s">
        <v>37</v>
      </c>
      <c r="R1211">
        <v>3</v>
      </c>
      <c r="S1211" t="s">
        <v>731</v>
      </c>
      <c r="T1211" t="s">
        <v>57</v>
      </c>
      <c r="U1211" t="s">
        <v>157</v>
      </c>
      <c r="V1211" t="s">
        <v>43</v>
      </c>
    </row>
    <row r="1212" spans="1:22" hidden="1" x14ac:dyDescent="0.2">
      <c r="A1212" t="s">
        <v>718</v>
      </c>
      <c r="B1212" t="s">
        <v>23</v>
      </c>
      <c r="C1212" t="s">
        <v>56</v>
      </c>
      <c r="D1212" t="s">
        <v>732</v>
      </c>
      <c r="E1212" t="s">
        <v>720</v>
      </c>
      <c r="F1212" t="s">
        <v>721</v>
      </c>
      <c r="G1212" t="s">
        <v>722</v>
      </c>
      <c r="H1212" t="s">
        <v>723</v>
      </c>
      <c r="I1212" t="s">
        <v>724</v>
      </c>
      <c r="J1212" t="s">
        <v>725</v>
      </c>
      <c r="K1212" t="s">
        <v>726</v>
      </c>
      <c r="L1212" t="s">
        <v>727</v>
      </c>
      <c r="M1212" t="s">
        <v>728</v>
      </c>
      <c r="O1212" t="s">
        <v>729</v>
      </c>
      <c r="P1212" t="s">
        <v>730</v>
      </c>
      <c r="Q1212" t="s">
        <v>37</v>
      </c>
      <c r="R1212">
        <v>3</v>
      </c>
      <c r="S1212" t="s">
        <v>731</v>
      </c>
      <c r="T1212" t="s">
        <v>57</v>
      </c>
      <c r="U1212" t="s">
        <v>53</v>
      </c>
      <c r="V1212" t="s">
        <v>196</v>
      </c>
    </row>
    <row r="1213" spans="1:22" hidden="1" x14ac:dyDescent="0.2">
      <c r="A1213" t="s">
        <v>718</v>
      </c>
      <c r="B1213" t="s">
        <v>23</v>
      </c>
      <c r="C1213" t="s">
        <v>56</v>
      </c>
      <c r="D1213" t="s">
        <v>732</v>
      </c>
      <c r="E1213" t="s">
        <v>720</v>
      </c>
      <c r="F1213" t="s">
        <v>721</v>
      </c>
      <c r="G1213" t="s">
        <v>722</v>
      </c>
      <c r="H1213" t="s">
        <v>723</v>
      </c>
      <c r="I1213" t="s">
        <v>724</v>
      </c>
      <c r="J1213" t="s">
        <v>725</v>
      </c>
      <c r="K1213" t="s">
        <v>726</v>
      </c>
      <c r="L1213" t="s">
        <v>727</v>
      </c>
      <c r="M1213" t="s">
        <v>728</v>
      </c>
      <c r="O1213" t="s">
        <v>729</v>
      </c>
      <c r="P1213" t="s">
        <v>730</v>
      </c>
      <c r="Q1213" t="s">
        <v>37</v>
      </c>
      <c r="R1213">
        <v>3</v>
      </c>
      <c r="S1213" t="s">
        <v>731</v>
      </c>
      <c r="T1213" t="s">
        <v>39</v>
      </c>
      <c r="U1213" t="s">
        <v>157</v>
      </c>
      <c r="V1213" t="s">
        <v>105</v>
      </c>
    </row>
    <row r="1214" spans="1:22" hidden="1" x14ac:dyDescent="0.2">
      <c r="A1214" t="s">
        <v>718</v>
      </c>
      <c r="B1214" t="s">
        <v>23</v>
      </c>
      <c r="C1214" t="s">
        <v>56</v>
      </c>
      <c r="D1214" t="s">
        <v>732</v>
      </c>
      <c r="E1214" t="s">
        <v>720</v>
      </c>
      <c r="F1214" t="s">
        <v>721</v>
      </c>
      <c r="G1214" t="s">
        <v>722</v>
      </c>
      <c r="H1214" t="s">
        <v>723</v>
      </c>
      <c r="I1214" t="s">
        <v>724</v>
      </c>
      <c r="J1214" t="s">
        <v>725</v>
      </c>
      <c r="K1214" t="s">
        <v>726</v>
      </c>
      <c r="L1214" t="s">
        <v>727</v>
      </c>
      <c r="M1214" t="s">
        <v>728</v>
      </c>
      <c r="O1214" t="s">
        <v>729</v>
      </c>
      <c r="P1214" t="s">
        <v>730</v>
      </c>
      <c r="Q1214" t="s">
        <v>37</v>
      </c>
      <c r="R1214">
        <v>3</v>
      </c>
      <c r="S1214" t="s">
        <v>731</v>
      </c>
      <c r="T1214" t="s">
        <v>39</v>
      </c>
      <c r="U1214" t="s">
        <v>157</v>
      </c>
      <c r="V1214" t="s">
        <v>277</v>
      </c>
    </row>
    <row r="1215" spans="1:22" hidden="1" x14ac:dyDescent="0.2">
      <c r="A1215" t="s">
        <v>718</v>
      </c>
      <c r="B1215" t="s">
        <v>23</v>
      </c>
      <c r="C1215" t="s">
        <v>56</v>
      </c>
      <c r="D1215" t="s">
        <v>732</v>
      </c>
      <c r="E1215" t="s">
        <v>720</v>
      </c>
      <c r="F1215" t="s">
        <v>721</v>
      </c>
      <c r="G1215" t="s">
        <v>722</v>
      </c>
      <c r="H1215" t="s">
        <v>723</v>
      </c>
      <c r="I1215" t="s">
        <v>724</v>
      </c>
      <c r="J1215" t="s">
        <v>725</v>
      </c>
      <c r="K1215" t="s">
        <v>726</v>
      </c>
      <c r="L1215" t="s">
        <v>727</v>
      </c>
      <c r="M1215" t="s">
        <v>728</v>
      </c>
      <c r="O1215" t="s">
        <v>729</v>
      </c>
      <c r="P1215" t="s">
        <v>730</v>
      </c>
      <c r="Q1215" t="s">
        <v>37</v>
      </c>
      <c r="R1215">
        <v>3</v>
      </c>
      <c r="S1215" t="s">
        <v>731</v>
      </c>
      <c r="T1215" t="s">
        <v>39</v>
      </c>
      <c r="U1215" t="s">
        <v>55</v>
      </c>
      <c r="V1215" t="s">
        <v>113</v>
      </c>
    </row>
    <row r="1216" spans="1:22" hidden="1" x14ac:dyDescent="0.2">
      <c r="A1216" t="s">
        <v>718</v>
      </c>
      <c r="B1216" t="s">
        <v>23</v>
      </c>
      <c r="C1216" t="s">
        <v>56</v>
      </c>
      <c r="D1216" t="s">
        <v>732</v>
      </c>
      <c r="E1216" t="s">
        <v>720</v>
      </c>
      <c r="F1216" t="s">
        <v>721</v>
      </c>
      <c r="G1216" t="s">
        <v>722</v>
      </c>
      <c r="H1216" t="s">
        <v>723</v>
      </c>
      <c r="I1216" t="s">
        <v>724</v>
      </c>
      <c r="J1216" t="s">
        <v>725</v>
      </c>
      <c r="K1216" t="s">
        <v>726</v>
      </c>
      <c r="L1216" t="s">
        <v>727</v>
      </c>
      <c r="M1216" t="s">
        <v>728</v>
      </c>
      <c r="O1216" t="s">
        <v>729</v>
      </c>
      <c r="P1216" t="s">
        <v>730</v>
      </c>
      <c r="Q1216" t="s">
        <v>37</v>
      </c>
      <c r="R1216">
        <v>3</v>
      </c>
      <c r="S1216" t="s">
        <v>731</v>
      </c>
      <c r="T1216" t="s">
        <v>39</v>
      </c>
      <c r="U1216" t="s">
        <v>55</v>
      </c>
      <c r="V1216" t="s">
        <v>195</v>
      </c>
    </row>
    <row r="1217" spans="1:22" hidden="1" x14ac:dyDescent="0.2">
      <c r="A1217" t="s">
        <v>718</v>
      </c>
      <c r="B1217" t="s">
        <v>23</v>
      </c>
      <c r="C1217" t="s">
        <v>56</v>
      </c>
      <c r="D1217" t="s">
        <v>732</v>
      </c>
      <c r="E1217" t="s">
        <v>720</v>
      </c>
      <c r="F1217" t="s">
        <v>721</v>
      </c>
      <c r="G1217" t="s">
        <v>722</v>
      </c>
      <c r="H1217" t="s">
        <v>723</v>
      </c>
      <c r="I1217" t="s">
        <v>724</v>
      </c>
      <c r="J1217" t="s">
        <v>725</v>
      </c>
      <c r="K1217" t="s">
        <v>726</v>
      </c>
      <c r="L1217" t="s">
        <v>727</v>
      </c>
      <c r="M1217" t="s">
        <v>728</v>
      </c>
      <c r="O1217" t="s">
        <v>729</v>
      </c>
      <c r="P1217" t="s">
        <v>730</v>
      </c>
      <c r="Q1217" t="s">
        <v>37</v>
      </c>
      <c r="R1217">
        <v>3</v>
      </c>
      <c r="S1217" t="s">
        <v>731</v>
      </c>
      <c r="T1217" t="s">
        <v>39</v>
      </c>
      <c r="U1217" t="s">
        <v>55</v>
      </c>
      <c r="V1217" t="s">
        <v>143</v>
      </c>
    </row>
    <row r="1218" spans="1:22" hidden="1" x14ac:dyDescent="0.2">
      <c r="A1218" t="s">
        <v>718</v>
      </c>
      <c r="B1218" t="s">
        <v>23</v>
      </c>
      <c r="C1218" t="s">
        <v>56</v>
      </c>
      <c r="D1218" t="s">
        <v>732</v>
      </c>
      <c r="E1218" t="s">
        <v>720</v>
      </c>
      <c r="F1218" t="s">
        <v>721</v>
      </c>
      <c r="G1218" t="s">
        <v>722</v>
      </c>
      <c r="H1218" t="s">
        <v>723</v>
      </c>
      <c r="I1218" t="s">
        <v>724</v>
      </c>
      <c r="J1218" t="s">
        <v>725</v>
      </c>
      <c r="K1218" t="s">
        <v>726</v>
      </c>
      <c r="L1218" t="s">
        <v>727</v>
      </c>
      <c r="M1218" t="s">
        <v>728</v>
      </c>
      <c r="O1218" t="s">
        <v>729</v>
      </c>
      <c r="P1218" t="s">
        <v>730</v>
      </c>
      <c r="Q1218" t="s">
        <v>37</v>
      </c>
      <c r="R1218">
        <v>3</v>
      </c>
      <c r="S1218" t="s">
        <v>731</v>
      </c>
      <c r="T1218" t="s">
        <v>39</v>
      </c>
      <c r="U1218" t="s">
        <v>53</v>
      </c>
      <c r="V1218" t="s">
        <v>76</v>
      </c>
    </row>
    <row r="1219" spans="1:22" hidden="1" x14ac:dyDescent="0.2">
      <c r="A1219" t="s">
        <v>718</v>
      </c>
      <c r="B1219" t="s">
        <v>23</v>
      </c>
      <c r="C1219" t="s">
        <v>56</v>
      </c>
      <c r="D1219" t="s">
        <v>732</v>
      </c>
      <c r="E1219" t="s">
        <v>720</v>
      </c>
      <c r="F1219" t="s">
        <v>721</v>
      </c>
      <c r="G1219" t="s">
        <v>722</v>
      </c>
      <c r="H1219" t="s">
        <v>723</v>
      </c>
      <c r="I1219" t="s">
        <v>724</v>
      </c>
      <c r="J1219" t="s">
        <v>725</v>
      </c>
      <c r="K1219" t="s">
        <v>726</v>
      </c>
      <c r="L1219" t="s">
        <v>727</v>
      </c>
      <c r="M1219" t="s">
        <v>728</v>
      </c>
      <c r="O1219" t="s">
        <v>729</v>
      </c>
      <c r="P1219" t="s">
        <v>730</v>
      </c>
      <c r="Q1219" t="s">
        <v>37</v>
      </c>
      <c r="R1219">
        <v>3</v>
      </c>
      <c r="S1219" t="s">
        <v>731</v>
      </c>
      <c r="T1219" t="s">
        <v>39</v>
      </c>
      <c r="U1219" t="s">
        <v>53</v>
      </c>
      <c r="V1219" t="s">
        <v>235</v>
      </c>
    </row>
    <row r="1220" spans="1:22" hidden="1" x14ac:dyDescent="0.2">
      <c r="A1220" t="s">
        <v>718</v>
      </c>
      <c r="B1220" t="s">
        <v>23</v>
      </c>
      <c r="C1220" t="s">
        <v>56</v>
      </c>
      <c r="D1220" t="s">
        <v>732</v>
      </c>
      <c r="E1220" t="s">
        <v>720</v>
      </c>
      <c r="F1220" t="s">
        <v>721</v>
      </c>
      <c r="G1220" t="s">
        <v>722</v>
      </c>
      <c r="H1220" t="s">
        <v>723</v>
      </c>
      <c r="I1220" t="s">
        <v>724</v>
      </c>
      <c r="J1220" t="s">
        <v>725</v>
      </c>
      <c r="K1220" t="s">
        <v>726</v>
      </c>
      <c r="L1220" t="s">
        <v>727</v>
      </c>
      <c r="M1220" t="s">
        <v>728</v>
      </c>
      <c r="O1220" t="s">
        <v>729</v>
      </c>
      <c r="P1220" t="s">
        <v>730</v>
      </c>
      <c r="Q1220" t="s">
        <v>37</v>
      </c>
      <c r="R1220">
        <v>3</v>
      </c>
      <c r="S1220" t="s">
        <v>731</v>
      </c>
      <c r="T1220" t="s">
        <v>39</v>
      </c>
      <c r="U1220" t="s">
        <v>53</v>
      </c>
      <c r="V1220" t="s">
        <v>508</v>
      </c>
    </row>
    <row r="1221" spans="1:22" hidden="1" x14ac:dyDescent="0.2">
      <c r="A1221" t="s">
        <v>718</v>
      </c>
      <c r="B1221" t="s">
        <v>23</v>
      </c>
      <c r="C1221" t="s">
        <v>56</v>
      </c>
      <c r="D1221" t="s">
        <v>732</v>
      </c>
      <c r="E1221" t="s">
        <v>720</v>
      </c>
      <c r="F1221" t="s">
        <v>721</v>
      </c>
      <c r="G1221" t="s">
        <v>722</v>
      </c>
      <c r="H1221" t="s">
        <v>723</v>
      </c>
      <c r="I1221" t="s">
        <v>724</v>
      </c>
      <c r="J1221" t="s">
        <v>725</v>
      </c>
      <c r="K1221" t="s">
        <v>726</v>
      </c>
      <c r="L1221" t="s">
        <v>727</v>
      </c>
      <c r="M1221" t="s">
        <v>728</v>
      </c>
      <c r="O1221" t="s">
        <v>729</v>
      </c>
      <c r="P1221" t="s">
        <v>730</v>
      </c>
      <c r="Q1221" t="s">
        <v>37</v>
      </c>
      <c r="R1221">
        <v>3</v>
      </c>
      <c r="S1221" t="s">
        <v>731</v>
      </c>
      <c r="T1221" t="s">
        <v>39</v>
      </c>
      <c r="U1221" t="s">
        <v>157</v>
      </c>
      <c r="V1221" t="s">
        <v>84</v>
      </c>
    </row>
    <row r="1222" spans="1:22" hidden="1" x14ac:dyDescent="0.2">
      <c r="A1222" t="s">
        <v>718</v>
      </c>
      <c r="B1222" t="s">
        <v>23</v>
      </c>
      <c r="C1222" t="s">
        <v>56</v>
      </c>
      <c r="D1222" t="s">
        <v>732</v>
      </c>
      <c r="E1222" t="s">
        <v>720</v>
      </c>
      <c r="F1222" t="s">
        <v>721</v>
      </c>
      <c r="G1222" t="s">
        <v>722</v>
      </c>
      <c r="H1222" t="s">
        <v>723</v>
      </c>
      <c r="I1222" t="s">
        <v>724</v>
      </c>
      <c r="J1222" t="s">
        <v>725</v>
      </c>
      <c r="K1222" t="s">
        <v>726</v>
      </c>
      <c r="L1222" t="s">
        <v>727</v>
      </c>
      <c r="M1222" t="s">
        <v>728</v>
      </c>
      <c r="O1222" t="s">
        <v>729</v>
      </c>
      <c r="P1222" t="s">
        <v>730</v>
      </c>
      <c r="Q1222" t="s">
        <v>37</v>
      </c>
      <c r="R1222">
        <v>3</v>
      </c>
      <c r="S1222" t="s">
        <v>731</v>
      </c>
      <c r="T1222" t="s">
        <v>39</v>
      </c>
      <c r="U1222" t="s">
        <v>157</v>
      </c>
      <c r="V1222" t="s">
        <v>43</v>
      </c>
    </row>
    <row r="1223" spans="1:22" hidden="1" x14ac:dyDescent="0.2">
      <c r="A1223" t="s">
        <v>718</v>
      </c>
      <c r="B1223" t="s">
        <v>23</v>
      </c>
      <c r="C1223" t="s">
        <v>56</v>
      </c>
      <c r="D1223" t="s">
        <v>732</v>
      </c>
      <c r="E1223" t="s">
        <v>720</v>
      </c>
      <c r="F1223" t="s">
        <v>721</v>
      </c>
      <c r="G1223" t="s">
        <v>722</v>
      </c>
      <c r="H1223" t="s">
        <v>723</v>
      </c>
      <c r="I1223" t="s">
        <v>724</v>
      </c>
      <c r="J1223" t="s">
        <v>725</v>
      </c>
      <c r="K1223" t="s">
        <v>726</v>
      </c>
      <c r="L1223" t="s">
        <v>727</v>
      </c>
      <c r="M1223" t="s">
        <v>728</v>
      </c>
      <c r="O1223" t="s">
        <v>729</v>
      </c>
      <c r="P1223" t="s">
        <v>730</v>
      </c>
      <c r="Q1223" t="s">
        <v>37</v>
      </c>
      <c r="R1223">
        <v>3</v>
      </c>
      <c r="S1223" t="s">
        <v>731</v>
      </c>
      <c r="T1223" t="s">
        <v>39</v>
      </c>
      <c r="U1223" t="s">
        <v>53</v>
      </c>
      <c r="V1223" t="s">
        <v>196</v>
      </c>
    </row>
    <row r="1224" spans="1:22" hidden="1" x14ac:dyDescent="0.2">
      <c r="A1224" t="s">
        <v>718</v>
      </c>
      <c r="B1224" t="s">
        <v>23</v>
      </c>
      <c r="C1224" t="s">
        <v>56</v>
      </c>
      <c r="D1224" t="s">
        <v>732</v>
      </c>
      <c r="E1224" t="s">
        <v>720</v>
      </c>
      <c r="F1224" t="s">
        <v>721</v>
      </c>
      <c r="G1224" t="s">
        <v>722</v>
      </c>
      <c r="H1224" t="s">
        <v>723</v>
      </c>
      <c r="I1224" t="s">
        <v>724</v>
      </c>
      <c r="J1224" t="s">
        <v>725</v>
      </c>
      <c r="K1224" t="s">
        <v>726</v>
      </c>
      <c r="L1224" t="s">
        <v>727</v>
      </c>
      <c r="M1224" t="s">
        <v>728</v>
      </c>
      <c r="O1224" t="s">
        <v>729</v>
      </c>
      <c r="P1224" t="s">
        <v>730</v>
      </c>
      <c r="Q1224" t="s">
        <v>37</v>
      </c>
      <c r="R1224">
        <v>3</v>
      </c>
      <c r="S1224" t="s">
        <v>731</v>
      </c>
      <c r="T1224" t="s">
        <v>58</v>
      </c>
      <c r="U1224" t="s">
        <v>157</v>
      </c>
      <c r="V1224" t="s">
        <v>105</v>
      </c>
    </row>
    <row r="1225" spans="1:22" hidden="1" x14ac:dyDescent="0.2">
      <c r="A1225" t="s">
        <v>718</v>
      </c>
      <c r="B1225" t="s">
        <v>23</v>
      </c>
      <c r="C1225" t="s">
        <v>56</v>
      </c>
      <c r="D1225" t="s">
        <v>732</v>
      </c>
      <c r="E1225" t="s">
        <v>720</v>
      </c>
      <c r="F1225" t="s">
        <v>721</v>
      </c>
      <c r="G1225" t="s">
        <v>722</v>
      </c>
      <c r="H1225" t="s">
        <v>723</v>
      </c>
      <c r="I1225" t="s">
        <v>724</v>
      </c>
      <c r="J1225" t="s">
        <v>725</v>
      </c>
      <c r="K1225" t="s">
        <v>726</v>
      </c>
      <c r="L1225" t="s">
        <v>727</v>
      </c>
      <c r="M1225" t="s">
        <v>728</v>
      </c>
      <c r="O1225" t="s">
        <v>729</v>
      </c>
      <c r="P1225" t="s">
        <v>730</v>
      </c>
      <c r="Q1225" t="s">
        <v>37</v>
      </c>
      <c r="R1225">
        <v>3</v>
      </c>
      <c r="S1225" t="s">
        <v>731</v>
      </c>
      <c r="T1225" t="s">
        <v>58</v>
      </c>
      <c r="U1225" t="s">
        <v>157</v>
      </c>
      <c r="V1225" t="s">
        <v>277</v>
      </c>
    </row>
    <row r="1226" spans="1:22" hidden="1" x14ac:dyDescent="0.2">
      <c r="A1226" t="s">
        <v>718</v>
      </c>
      <c r="B1226" t="s">
        <v>23</v>
      </c>
      <c r="C1226" t="s">
        <v>56</v>
      </c>
      <c r="D1226" t="s">
        <v>732</v>
      </c>
      <c r="E1226" t="s">
        <v>720</v>
      </c>
      <c r="F1226" t="s">
        <v>721</v>
      </c>
      <c r="G1226" t="s">
        <v>722</v>
      </c>
      <c r="H1226" t="s">
        <v>723</v>
      </c>
      <c r="I1226" t="s">
        <v>724</v>
      </c>
      <c r="J1226" t="s">
        <v>725</v>
      </c>
      <c r="K1226" t="s">
        <v>726</v>
      </c>
      <c r="L1226" t="s">
        <v>727</v>
      </c>
      <c r="M1226" t="s">
        <v>728</v>
      </c>
      <c r="O1226" t="s">
        <v>729</v>
      </c>
      <c r="P1226" t="s">
        <v>730</v>
      </c>
      <c r="Q1226" t="s">
        <v>37</v>
      </c>
      <c r="R1226">
        <v>3</v>
      </c>
      <c r="S1226" t="s">
        <v>731</v>
      </c>
      <c r="T1226" t="s">
        <v>58</v>
      </c>
      <c r="U1226" t="s">
        <v>55</v>
      </c>
      <c r="V1226" t="s">
        <v>113</v>
      </c>
    </row>
    <row r="1227" spans="1:22" hidden="1" x14ac:dyDescent="0.2">
      <c r="A1227" t="s">
        <v>718</v>
      </c>
      <c r="B1227" t="s">
        <v>23</v>
      </c>
      <c r="C1227" t="s">
        <v>56</v>
      </c>
      <c r="D1227" t="s">
        <v>732</v>
      </c>
      <c r="E1227" t="s">
        <v>720</v>
      </c>
      <c r="F1227" t="s">
        <v>721</v>
      </c>
      <c r="G1227" t="s">
        <v>722</v>
      </c>
      <c r="H1227" t="s">
        <v>723</v>
      </c>
      <c r="I1227" t="s">
        <v>724</v>
      </c>
      <c r="J1227" t="s">
        <v>725</v>
      </c>
      <c r="K1227" t="s">
        <v>726</v>
      </c>
      <c r="L1227" t="s">
        <v>727</v>
      </c>
      <c r="M1227" t="s">
        <v>728</v>
      </c>
      <c r="O1227" t="s">
        <v>729</v>
      </c>
      <c r="P1227" t="s">
        <v>730</v>
      </c>
      <c r="Q1227" t="s">
        <v>37</v>
      </c>
      <c r="R1227">
        <v>3</v>
      </c>
      <c r="S1227" t="s">
        <v>731</v>
      </c>
      <c r="T1227" t="s">
        <v>58</v>
      </c>
      <c r="U1227" t="s">
        <v>55</v>
      </c>
      <c r="V1227" t="s">
        <v>195</v>
      </c>
    </row>
    <row r="1228" spans="1:22" hidden="1" x14ac:dyDescent="0.2">
      <c r="A1228" t="s">
        <v>718</v>
      </c>
      <c r="B1228" t="s">
        <v>23</v>
      </c>
      <c r="C1228" t="s">
        <v>56</v>
      </c>
      <c r="D1228" t="s">
        <v>732</v>
      </c>
      <c r="E1228" t="s">
        <v>720</v>
      </c>
      <c r="F1228" t="s">
        <v>721</v>
      </c>
      <c r="G1228" t="s">
        <v>722</v>
      </c>
      <c r="H1228" t="s">
        <v>723</v>
      </c>
      <c r="I1228" t="s">
        <v>724</v>
      </c>
      <c r="J1228" t="s">
        <v>725</v>
      </c>
      <c r="K1228" t="s">
        <v>726</v>
      </c>
      <c r="L1228" t="s">
        <v>727</v>
      </c>
      <c r="M1228" t="s">
        <v>728</v>
      </c>
      <c r="O1228" t="s">
        <v>729</v>
      </c>
      <c r="P1228" t="s">
        <v>730</v>
      </c>
      <c r="Q1228" t="s">
        <v>37</v>
      </c>
      <c r="R1228">
        <v>3</v>
      </c>
      <c r="S1228" t="s">
        <v>731</v>
      </c>
      <c r="T1228" t="s">
        <v>58</v>
      </c>
      <c r="U1228" t="s">
        <v>55</v>
      </c>
      <c r="V1228" t="s">
        <v>143</v>
      </c>
    </row>
    <row r="1229" spans="1:22" hidden="1" x14ac:dyDescent="0.2">
      <c r="A1229" t="s">
        <v>718</v>
      </c>
      <c r="B1229" t="s">
        <v>23</v>
      </c>
      <c r="C1229" t="s">
        <v>56</v>
      </c>
      <c r="D1229" t="s">
        <v>732</v>
      </c>
      <c r="E1229" t="s">
        <v>720</v>
      </c>
      <c r="F1229" t="s">
        <v>721</v>
      </c>
      <c r="G1229" t="s">
        <v>722</v>
      </c>
      <c r="H1229" t="s">
        <v>723</v>
      </c>
      <c r="I1229" t="s">
        <v>724</v>
      </c>
      <c r="J1229" t="s">
        <v>725</v>
      </c>
      <c r="K1229" t="s">
        <v>726</v>
      </c>
      <c r="L1229" t="s">
        <v>727</v>
      </c>
      <c r="M1229" t="s">
        <v>728</v>
      </c>
      <c r="O1229" t="s">
        <v>729</v>
      </c>
      <c r="P1229" t="s">
        <v>730</v>
      </c>
      <c r="Q1229" t="s">
        <v>37</v>
      </c>
      <c r="R1229">
        <v>3</v>
      </c>
      <c r="S1229" t="s">
        <v>731</v>
      </c>
      <c r="T1229" t="s">
        <v>58</v>
      </c>
      <c r="U1229" t="s">
        <v>53</v>
      </c>
      <c r="V1229" t="s">
        <v>76</v>
      </c>
    </row>
    <row r="1230" spans="1:22" hidden="1" x14ac:dyDescent="0.2">
      <c r="A1230" t="s">
        <v>718</v>
      </c>
      <c r="B1230" t="s">
        <v>23</v>
      </c>
      <c r="C1230" t="s">
        <v>56</v>
      </c>
      <c r="D1230" t="s">
        <v>732</v>
      </c>
      <c r="E1230" t="s">
        <v>720</v>
      </c>
      <c r="F1230" t="s">
        <v>721</v>
      </c>
      <c r="G1230" t="s">
        <v>722</v>
      </c>
      <c r="H1230" t="s">
        <v>723</v>
      </c>
      <c r="I1230" t="s">
        <v>724</v>
      </c>
      <c r="J1230" t="s">
        <v>725</v>
      </c>
      <c r="K1230" t="s">
        <v>726</v>
      </c>
      <c r="L1230" t="s">
        <v>727</v>
      </c>
      <c r="M1230" t="s">
        <v>728</v>
      </c>
      <c r="O1230" t="s">
        <v>729</v>
      </c>
      <c r="P1230" t="s">
        <v>730</v>
      </c>
      <c r="Q1230" t="s">
        <v>37</v>
      </c>
      <c r="R1230">
        <v>3</v>
      </c>
      <c r="S1230" t="s">
        <v>731</v>
      </c>
      <c r="T1230" t="s">
        <v>58</v>
      </c>
      <c r="U1230" t="s">
        <v>53</v>
      </c>
      <c r="V1230" t="s">
        <v>235</v>
      </c>
    </row>
    <row r="1231" spans="1:22" hidden="1" x14ac:dyDescent="0.2">
      <c r="A1231" t="s">
        <v>718</v>
      </c>
      <c r="B1231" t="s">
        <v>23</v>
      </c>
      <c r="C1231" t="s">
        <v>56</v>
      </c>
      <c r="D1231" t="s">
        <v>732</v>
      </c>
      <c r="E1231" t="s">
        <v>720</v>
      </c>
      <c r="F1231" t="s">
        <v>721</v>
      </c>
      <c r="G1231" t="s">
        <v>722</v>
      </c>
      <c r="H1231" t="s">
        <v>723</v>
      </c>
      <c r="I1231" t="s">
        <v>724</v>
      </c>
      <c r="J1231" t="s">
        <v>725</v>
      </c>
      <c r="K1231" t="s">
        <v>726</v>
      </c>
      <c r="L1231" t="s">
        <v>727</v>
      </c>
      <c r="M1231" t="s">
        <v>728</v>
      </c>
      <c r="O1231" t="s">
        <v>729</v>
      </c>
      <c r="P1231" t="s">
        <v>730</v>
      </c>
      <c r="Q1231" t="s">
        <v>37</v>
      </c>
      <c r="R1231">
        <v>3</v>
      </c>
      <c r="S1231" t="s">
        <v>731</v>
      </c>
      <c r="T1231" t="s">
        <v>58</v>
      </c>
      <c r="U1231" t="s">
        <v>53</v>
      </c>
      <c r="V1231" t="s">
        <v>508</v>
      </c>
    </row>
    <row r="1232" spans="1:22" hidden="1" x14ac:dyDescent="0.2">
      <c r="A1232" t="s">
        <v>718</v>
      </c>
      <c r="B1232" t="s">
        <v>23</v>
      </c>
      <c r="C1232" t="s">
        <v>56</v>
      </c>
      <c r="D1232" t="s">
        <v>732</v>
      </c>
      <c r="E1232" t="s">
        <v>720</v>
      </c>
      <c r="F1232" t="s">
        <v>721</v>
      </c>
      <c r="G1232" t="s">
        <v>722</v>
      </c>
      <c r="H1232" t="s">
        <v>723</v>
      </c>
      <c r="I1232" t="s">
        <v>724</v>
      </c>
      <c r="J1232" t="s">
        <v>725</v>
      </c>
      <c r="K1232" t="s">
        <v>726</v>
      </c>
      <c r="L1232" t="s">
        <v>727</v>
      </c>
      <c r="M1232" t="s">
        <v>728</v>
      </c>
      <c r="O1232" t="s">
        <v>729</v>
      </c>
      <c r="P1232" t="s">
        <v>730</v>
      </c>
      <c r="Q1232" t="s">
        <v>37</v>
      </c>
      <c r="R1232">
        <v>3</v>
      </c>
      <c r="S1232" t="s">
        <v>731</v>
      </c>
      <c r="T1232" t="s">
        <v>58</v>
      </c>
      <c r="U1232" t="s">
        <v>157</v>
      </c>
      <c r="V1232" t="s">
        <v>84</v>
      </c>
    </row>
    <row r="1233" spans="1:22" hidden="1" x14ac:dyDescent="0.2">
      <c r="A1233" t="s">
        <v>718</v>
      </c>
      <c r="B1233" t="s">
        <v>23</v>
      </c>
      <c r="C1233" t="s">
        <v>56</v>
      </c>
      <c r="D1233" t="s">
        <v>732</v>
      </c>
      <c r="E1233" t="s">
        <v>720</v>
      </c>
      <c r="F1233" t="s">
        <v>721</v>
      </c>
      <c r="G1233" t="s">
        <v>722</v>
      </c>
      <c r="H1233" t="s">
        <v>723</v>
      </c>
      <c r="I1233" t="s">
        <v>724</v>
      </c>
      <c r="J1233" t="s">
        <v>725</v>
      </c>
      <c r="K1233" t="s">
        <v>726</v>
      </c>
      <c r="L1233" t="s">
        <v>727</v>
      </c>
      <c r="M1233" t="s">
        <v>728</v>
      </c>
      <c r="O1233" t="s">
        <v>729</v>
      </c>
      <c r="P1233" t="s">
        <v>730</v>
      </c>
      <c r="Q1233" t="s">
        <v>37</v>
      </c>
      <c r="R1233">
        <v>3</v>
      </c>
      <c r="S1233" t="s">
        <v>731</v>
      </c>
      <c r="T1233" t="s">
        <v>58</v>
      </c>
      <c r="U1233" t="s">
        <v>157</v>
      </c>
      <c r="V1233" t="s">
        <v>43</v>
      </c>
    </row>
    <row r="1234" spans="1:22" hidden="1" x14ac:dyDescent="0.2">
      <c r="A1234" t="s">
        <v>718</v>
      </c>
      <c r="B1234" t="s">
        <v>23</v>
      </c>
      <c r="C1234" t="s">
        <v>56</v>
      </c>
      <c r="D1234" t="s">
        <v>732</v>
      </c>
      <c r="E1234" t="s">
        <v>720</v>
      </c>
      <c r="F1234" t="s">
        <v>721</v>
      </c>
      <c r="G1234" t="s">
        <v>722</v>
      </c>
      <c r="H1234" t="s">
        <v>723</v>
      </c>
      <c r="I1234" t="s">
        <v>724</v>
      </c>
      <c r="J1234" t="s">
        <v>725</v>
      </c>
      <c r="K1234" t="s">
        <v>726</v>
      </c>
      <c r="L1234" t="s">
        <v>727</v>
      </c>
      <c r="M1234" t="s">
        <v>728</v>
      </c>
      <c r="O1234" t="s">
        <v>729</v>
      </c>
      <c r="P1234" t="s">
        <v>730</v>
      </c>
      <c r="Q1234" t="s">
        <v>37</v>
      </c>
      <c r="R1234">
        <v>3</v>
      </c>
      <c r="S1234" t="s">
        <v>731</v>
      </c>
      <c r="T1234" t="s">
        <v>58</v>
      </c>
      <c r="U1234" t="s">
        <v>53</v>
      </c>
      <c r="V1234" t="s">
        <v>196</v>
      </c>
    </row>
    <row r="1235" spans="1:22" hidden="1" x14ac:dyDescent="0.2">
      <c r="A1235" t="s">
        <v>718</v>
      </c>
      <c r="B1235" t="s">
        <v>23</v>
      </c>
      <c r="C1235" t="s">
        <v>56</v>
      </c>
      <c r="D1235" t="s">
        <v>732</v>
      </c>
      <c r="E1235" t="s">
        <v>720</v>
      </c>
      <c r="F1235" t="s">
        <v>721</v>
      </c>
      <c r="G1235" t="s">
        <v>722</v>
      </c>
      <c r="H1235" t="s">
        <v>723</v>
      </c>
      <c r="I1235" t="s">
        <v>724</v>
      </c>
      <c r="J1235" t="s">
        <v>725</v>
      </c>
      <c r="K1235" t="s">
        <v>726</v>
      </c>
      <c r="L1235" t="s">
        <v>727</v>
      </c>
      <c r="M1235" t="s">
        <v>728</v>
      </c>
      <c r="O1235" t="s">
        <v>729</v>
      </c>
      <c r="P1235" t="s">
        <v>730</v>
      </c>
      <c r="Q1235" t="s">
        <v>37</v>
      </c>
      <c r="R1235">
        <v>3</v>
      </c>
      <c r="S1235" t="s">
        <v>731</v>
      </c>
      <c r="T1235" t="s">
        <v>59</v>
      </c>
      <c r="U1235" t="s">
        <v>157</v>
      </c>
      <c r="V1235" t="s">
        <v>105</v>
      </c>
    </row>
    <row r="1236" spans="1:22" hidden="1" x14ac:dyDescent="0.2">
      <c r="A1236" t="s">
        <v>718</v>
      </c>
      <c r="B1236" t="s">
        <v>23</v>
      </c>
      <c r="C1236" t="s">
        <v>56</v>
      </c>
      <c r="D1236" t="s">
        <v>732</v>
      </c>
      <c r="E1236" t="s">
        <v>720</v>
      </c>
      <c r="F1236" t="s">
        <v>721</v>
      </c>
      <c r="G1236" t="s">
        <v>722</v>
      </c>
      <c r="H1236" t="s">
        <v>723</v>
      </c>
      <c r="I1236" t="s">
        <v>724</v>
      </c>
      <c r="J1236" t="s">
        <v>725</v>
      </c>
      <c r="K1236" t="s">
        <v>726</v>
      </c>
      <c r="L1236" t="s">
        <v>727</v>
      </c>
      <c r="M1236" t="s">
        <v>728</v>
      </c>
      <c r="O1236" t="s">
        <v>729</v>
      </c>
      <c r="P1236" t="s">
        <v>730</v>
      </c>
      <c r="Q1236" t="s">
        <v>37</v>
      </c>
      <c r="R1236">
        <v>3</v>
      </c>
      <c r="S1236" t="s">
        <v>731</v>
      </c>
      <c r="T1236" t="s">
        <v>59</v>
      </c>
      <c r="U1236" t="s">
        <v>157</v>
      </c>
      <c r="V1236" t="s">
        <v>277</v>
      </c>
    </row>
    <row r="1237" spans="1:22" hidden="1" x14ac:dyDescent="0.2">
      <c r="A1237" t="s">
        <v>718</v>
      </c>
      <c r="B1237" t="s">
        <v>23</v>
      </c>
      <c r="C1237" t="s">
        <v>56</v>
      </c>
      <c r="D1237" t="s">
        <v>732</v>
      </c>
      <c r="E1237" t="s">
        <v>720</v>
      </c>
      <c r="F1237" t="s">
        <v>721</v>
      </c>
      <c r="G1237" t="s">
        <v>722</v>
      </c>
      <c r="H1237" t="s">
        <v>723</v>
      </c>
      <c r="I1237" t="s">
        <v>724</v>
      </c>
      <c r="J1237" t="s">
        <v>725</v>
      </c>
      <c r="K1237" t="s">
        <v>726</v>
      </c>
      <c r="L1237" t="s">
        <v>727</v>
      </c>
      <c r="M1237" t="s">
        <v>728</v>
      </c>
      <c r="O1237" t="s">
        <v>729</v>
      </c>
      <c r="P1237" t="s">
        <v>730</v>
      </c>
      <c r="Q1237" t="s">
        <v>37</v>
      </c>
      <c r="R1237">
        <v>3</v>
      </c>
      <c r="S1237" t="s">
        <v>731</v>
      </c>
      <c r="T1237" t="s">
        <v>59</v>
      </c>
      <c r="U1237" t="s">
        <v>55</v>
      </c>
      <c r="V1237" t="s">
        <v>113</v>
      </c>
    </row>
    <row r="1238" spans="1:22" hidden="1" x14ac:dyDescent="0.2">
      <c r="A1238" t="s">
        <v>718</v>
      </c>
      <c r="B1238" t="s">
        <v>23</v>
      </c>
      <c r="C1238" t="s">
        <v>56</v>
      </c>
      <c r="D1238" t="s">
        <v>732</v>
      </c>
      <c r="E1238" t="s">
        <v>720</v>
      </c>
      <c r="F1238" t="s">
        <v>721</v>
      </c>
      <c r="G1238" t="s">
        <v>722</v>
      </c>
      <c r="H1238" t="s">
        <v>723</v>
      </c>
      <c r="I1238" t="s">
        <v>724</v>
      </c>
      <c r="J1238" t="s">
        <v>725</v>
      </c>
      <c r="K1238" t="s">
        <v>726</v>
      </c>
      <c r="L1238" t="s">
        <v>727</v>
      </c>
      <c r="M1238" t="s">
        <v>728</v>
      </c>
      <c r="O1238" t="s">
        <v>729</v>
      </c>
      <c r="P1238" t="s">
        <v>730</v>
      </c>
      <c r="Q1238" t="s">
        <v>37</v>
      </c>
      <c r="R1238">
        <v>3</v>
      </c>
      <c r="S1238" t="s">
        <v>731</v>
      </c>
      <c r="T1238" t="s">
        <v>59</v>
      </c>
      <c r="U1238" t="s">
        <v>55</v>
      </c>
      <c r="V1238" t="s">
        <v>195</v>
      </c>
    </row>
    <row r="1239" spans="1:22" hidden="1" x14ac:dyDescent="0.2">
      <c r="A1239" t="s">
        <v>718</v>
      </c>
      <c r="B1239" t="s">
        <v>23</v>
      </c>
      <c r="C1239" t="s">
        <v>56</v>
      </c>
      <c r="D1239" t="s">
        <v>732</v>
      </c>
      <c r="E1239" t="s">
        <v>720</v>
      </c>
      <c r="F1239" t="s">
        <v>721</v>
      </c>
      <c r="G1239" t="s">
        <v>722</v>
      </c>
      <c r="H1239" t="s">
        <v>723</v>
      </c>
      <c r="I1239" t="s">
        <v>724</v>
      </c>
      <c r="J1239" t="s">
        <v>725</v>
      </c>
      <c r="K1239" t="s">
        <v>726</v>
      </c>
      <c r="L1239" t="s">
        <v>727</v>
      </c>
      <c r="M1239" t="s">
        <v>728</v>
      </c>
      <c r="O1239" t="s">
        <v>729</v>
      </c>
      <c r="P1239" t="s">
        <v>730</v>
      </c>
      <c r="Q1239" t="s">
        <v>37</v>
      </c>
      <c r="R1239">
        <v>3</v>
      </c>
      <c r="S1239" t="s">
        <v>731</v>
      </c>
      <c r="T1239" t="s">
        <v>59</v>
      </c>
      <c r="U1239" t="s">
        <v>55</v>
      </c>
      <c r="V1239" t="s">
        <v>143</v>
      </c>
    </row>
    <row r="1240" spans="1:22" hidden="1" x14ac:dyDescent="0.2">
      <c r="A1240" t="s">
        <v>718</v>
      </c>
      <c r="B1240" t="s">
        <v>23</v>
      </c>
      <c r="C1240" t="s">
        <v>56</v>
      </c>
      <c r="D1240" t="s">
        <v>732</v>
      </c>
      <c r="E1240" t="s">
        <v>720</v>
      </c>
      <c r="F1240" t="s">
        <v>721</v>
      </c>
      <c r="G1240" t="s">
        <v>722</v>
      </c>
      <c r="H1240" t="s">
        <v>723</v>
      </c>
      <c r="I1240" t="s">
        <v>724</v>
      </c>
      <c r="J1240" t="s">
        <v>725</v>
      </c>
      <c r="K1240" t="s">
        <v>726</v>
      </c>
      <c r="L1240" t="s">
        <v>727</v>
      </c>
      <c r="M1240" t="s">
        <v>728</v>
      </c>
      <c r="O1240" t="s">
        <v>729</v>
      </c>
      <c r="P1240" t="s">
        <v>730</v>
      </c>
      <c r="Q1240" t="s">
        <v>37</v>
      </c>
      <c r="R1240">
        <v>3</v>
      </c>
      <c r="S1240" t="s">
        <v>731</v>
      </c>
      <c r="T1240" t="s">
        <v>59</v>
      </c>
      <c r="U1240" t="s">
        <v>53</v>
      </c>
      <c r="V1240" t="s">
        <v>76</v>
      </c>
    </row>
    <row r="1241" spans="1:22" hidden="1" x14ac:dyDescent="0.2">
      <c r="A1241" t="s">
        <v>718</v>
      </c>
      <c r="B1241" t="s">
        <v>23</v>
      </c>
      <c r="C1241" t="s">
        <v>56</v>
      </c>
      <c r="D1241" t="s">
        <v>732</v>
      </c>
      <c r="E1241" t="s">
        <v>720</v>
      </c>
      <c r="F1241" t="s">
        <v>721</v>
      </c>
      <c r="G1241" t="s">
        <v>722</v>
      </c>
      <c r="H1241" t="s">
        <v>723</v>
      </c>
      <c r="I1241" t="s">
        <v>724</v>
      </c>
      <c r="J1241" t="s">
        <v>725</v>
      </c>
      <c r="K1241" t="s">
        <v>726</v>
      </c>
      <c r="L1241" t="s">
        <v>727</v>
      </c>
      <c r="M1241" t="s">
        <v>728</v>
      </c>
      <c r="O1241" t="s">
        <v>729</v>
      </c>
      <c r="P1241" t="s">
        <v>730</v>
      </c>
      <c r="Q1241" t="s">
        <v>37</v>
      </c>
      <c r="R1241">
        <v>3</v>
      </c>
      <c r="S1241" t="s">
        <v>731</v>
      </c>
      <c r="T1241" t="s">
        <v>59</v>
      </c>
      <c r="U1241" t="s">
        <v>53</v>
      </c>
      <c r="V1241" t="s">
        <v>235</v>
      </c>
    </row>
    <row r="1242" spans="1:22" hidden="1" x14ac:dyDescent="0.2">
      <c r="A1242" t="s">
        <v>718</v>
      </c>
      <c r="B1242" t="s">
        <v>23</v>
      </c>
      <c r="C1242" t="s">
        <v>56</v>
      </c>
      <c r="D1242" t="s">
        <v>732</v>
      </c>
      <c r="E1242" t="s">
        <v>720</v>
      </c>
      <c r="F1242" t="s">
        <v>721</v>
      </c>
      <c r="G1242" t="s">
        <v>722</v>
      </c>
      <c r="H1242" t="s">
        <v>723</v>
      </c>
      <c r="I1242" t="s">
        <v>724</v>
      </c>
      <c r="J1242" t="s">
        <v>725</v>
      </c>
      <c r="K1242" t="s">
        <v>726</v>
      </c>
      <c r="L1242" t="s">
        <v>727</v>
      </c>
      <c r="M1242" t="s">
        <v>728</v>
      </c>
      <c r="O1242" t="s">
        <v>729</v>
      </c>
      <c r="P1242" t="s">
        <v>730</v>
      </c>
      <c r="Q1242" t="s">
        <v>37</v>
      </c>
      <c r="R1242">
        <v>3</v>
      </c>
      <c r="S1242" t="s">
        <v>731</v>
      </c>
      <c r="T1242" t="s">
        <v>59</v>
      </c>
      <c r="U1242" t="s">
        <v>53</v>
      </c>
      <c r="V1242" t="s">
        <v>508</v>
      </c>
    </row>
    <row r="1243" spans="1:22" hidden="1" x14ac:dyDescent="0.2">
      <c r="A1243" t="s">
        <v>718</v>
      </c>
      <c r="B1243" t="s">
        <v>23</v>
      </c>
      <c r="C1243" t="s">
        <v>56</v>
      </c>
      <c r="D1243" t="s">
        <v>732</v>
      </c>
      <c r="E1243" t="s">
        <v>720</v>
      </c>
      <c r="F1243" t="s">
        <v>721</v>
      </c>
      <c r="G1243" t="s">
        <v>722</v>
      </c>
      <c r="H1243" t="s">
        <v>723</v>
      </c>
      <c r="I1243" t="s">
        <v>724</v>
      </c>
      <c r="J1243" t="s">
        <v>725</v>
      </c>
      <c r="K1243" t="s">
        <v>726</v>
      </c>
      <c r="L1243" t="s">
        <v>727</v>
      </c>
      <c r="M1243" t="s">
        <v>728</v>
      </c>
      <c r="O1243" t="s">
        <v>729</v>
      </c>
      <c r="P1243" t="s">
        <v>730</v>
      </c>
      <c r="Q1243" t="s">
        <v>37</v>
      </c>
      <c r="R1243">
        <v>3</v>
      </c>
      <c r="S1243" t="s">
        <v>731</v>
      </c>
      <c r="T1243" t="s">
        <v>59</v>
      </c>
      <c r="U1243" t="s">
        <v>157</v>
      </c>
      <c r="V1243" t="s">
        <v>84</v>
      </c>
    </row>
    <row r="1244" spans="1:22" hidden="1" x14ac:dyDescent="0.2">
      <c r="A1244" t="s">
        <v>718</v>
      </c>
      <c r="B1244" t="s">
        <v>23</v>
      </c>
      <c r="C1244" t="s">
        <v>56</v>
      </c>
      <c r="D1244" t="s">
        <v>732</v>
      </c>
      <c r="E1244" t="s">
        <v>720</v>
      </c>
      <c r="F1244" t="s">
        <v>721</v>
      </c>
      <c r="G1244" t="s">
        <v>722</v>
      </c>
      <c r="H1244" t="s">
        <v>723</v>
      </c>
      <c r="I1244" t="s">
        <v>724</v>
      </c>
      <c r="J1244" t="s">
        <v>725</v>
      </c>
      <c r="K1244" t="s">
        <v>726</v>
      </c>
      <c r="L1244" t="s">
        <v>727</v>
      </c>
      <c r="M1244" t="s">
        <v>728</v>
      </c>
      <c r="O1244" t="s">
        <v>729</v>
      </c>
      <c r="P1244" t="s">
        <v>730</v>
      </c>
      <c r="Q1244" t="s">
        <v>37</v>
      </c>
      <c r="R1244">
        <v>3</v>
      </c>
      <c r="S1244" t="s">
        <v>731</v>
      </c>
      <c r="T1244" t="s">
        <v>59</v>
      </c>
      <c r="U1244" t="s">
        <v>157</v>
      </c>
      <c r="V1244" t="s">
        <v>43</v>
      </c>
    </row>
    <row r="1245" spans="1:22" hidden="1" x14ac:dyDescent="0.2">
      <c r="A1245" t="s">
        <v>718</v>
      </c>
      <c r="B1245" t="s">
        <v>23</v>
      </c>
      <c r="C1245" t="s">
        <v>56</v>
      </c>
      <c r="D1245" t="s">
        <v>732</v>
      </c>
      <c r="E1245" t="s">
        <v>720</v>
      </c>
      <c r="F1245" t="s">
        <v>721</v>
      </c>
      <c r="G1245" t="s">
        <v>722</v>
      </c>
      <c r="H1245" t="s">
        <v>723</v>
      </c>
      <c r="I1245" t="s">
        <v>724</v>
      </c>
      <c r="J1245" t="s">
        <v>725</v>
      </c>
      <c r="K1245" t="s">
        <v>726</v>
      </c>
      <c r="L1245" t="s">
        <v>727</v>
      </c>
      <c r="M1245" t="s">
        <v>728</v>
      </c>
      <c r="O1245" t="s">
        <v>729</v>
      </c>
      <c r="P1245" t="s">
        <v>730</v>
      </c>
      <c r="Q1245" t="s">
        <v>37</v>
      </c>
      <c r="R1245">
        <v>3</v>
      </c>
      <c r="S1245" t="s">
        <v>731</v>
      </c>
      <c r="T1245" t="s">
        <v>59</v>
      </c>
      <c r="U1245" t="s">
        <v>53</v>
      </c>
      <c r="V1245" t="s">
        <v>196</v>
      </c>
    </row>
    <row r="1246" spans="1:22" hidden="1" x14ac:dyDescent="0.2">
      <c r="A1246" t="s">
        <v>718</v>
      </c>
      <c r="B1246" t="s">
        <v>23</v>
      </c>
      <c r="C1246" t="s">
        <v>56</v>
      </c>
      <c r="D1246" t="s">
        <v>732</v>
      </c>
      <c r="E1246" t="s">
        <v>720</v>
      </c>
      <c r="F1246" t="s">
        <v>721</v>
      </c>
      <c r="G1246" t="s">
        <v>722</v>
      </c>
      <c r="H1246" t="s">
        <v>723</v>
      </c>
      <c r="I1246" t="s">
        <v>724</v>
      </c>
      <c r="J1246" t="s">
        <v>725</v>
      </c>
      <c r="K1246" t="s">
        <v>726</v>
      </c>
      <c r="L1246" t="s">
        <v>727</v>
      </c>
      <c r="M1246" t="s">
        <v>728</v>
      </c>
      <c r="O1246" t="s">
        <v>729</v>
      </c>
      <c r="P1246" t="s">
        <v>730</v>
      </c>
      <c r="Q1246" t="s">
        <v>37</v>
      </c>
      <c r="R1246">
        <v>3</v>
      </c>
      <c r="S1246" t="s">
        <v>731</v>
      </c>
      <c r="T1246" t="s">
        <v>60</v>
      </c>
      <c r="U1246" t="s">
        <v>157</v>
      </c>
      <c r="V1246" t="s">
        <v>105</v>
      </c>
    </row>
    <row r="1247" spans="1:22" hidden="1" x14ac:dyDescent="0.2">
      <c r="A1247" t="s">
        <v>718</v>
      </c>
      <c r="B1247" t="s">
        <v>23</v>
      </c>
      <c r="C1247" t="s">
        <v>56</v>
      </c>
      <c r="D1247" t="s">
        <v>732</v>
      </c>
      <c r="E1247" t="s">
        <v>720</v>
      </c>
      <c r="F1247" t="s">
        <v>721</v>
      </c>
      <c r="G1247" t="s">
        <v>722</v>
      </c>
      <c r="H1247" t="s">
        <v>723</v>
      </c>
      <c r="I1247" t="s">
        <v>724</v>
      </c>
      <c r="J1247" t="s">
        <v>725</v>
      </c>
      <c r="K1247" t="s">
        <v>726</v>
      </c>
      <c r="L1247" t="s">
        <v>727</v>
      </c>
      <c r="M1247" t="s">
        <v>728</v>
      </c>
      <c r="O1247" t="s">
        <v>729</v>
      </c>
      <c r="P1247" t="s">
        <v>730</v>
      </c>
      <c r="Q1247" t="s">
        <v>37</v>
      </c>
      <c r="R1247">
        <v>3</v>
      </c>
      <c r="S1247" t="s">
        <v>731</v>
      </c>
      <c r="T1247" t="s">
        <v>60</v>
      </c>
      <c r="U1247" t="s">
        <v>157</v>
      </c>
      <c r="V1247" t="s">
        <v>277</v>
      </c>
    </row>
    <row r="1248" spans="1:22" hidden="1" x14ac:dyDescent="0.2">
      <c r="A1248" t="s">
        <v>718</v>
      </c>
      <c r="B1248" t="s">
        <v>23</v>
      </c>
      <c r="C1248" t="s">
        <v>56</v>
      </c>
      <c r="D1248" t="s">
        <v>732</v>
      </c>
      <c r="E1248" t="s">
        <v>720</v>
      </c>
      <c r="F1248" t="s">
        <v>721</v>
      </c>
      <c r="G1248" t="s">
        <v>722</v>
      </c>
      <c r="H1248" t="s">
        <v>723</v>
      </c>
      <c r="I1248" t="s">
        <v>724</v>
      </c>
      <c r="J1248" t="s">
        <v>725</v>
      </c>
      <c r="K1248" t="s">
        <v>726</v>
      </c>
      <c r="L1248" t="s">
        <v>727</v>
      </c>
      <c r="M1248" t="s">
        <v>728</v>
      </c>
      <c r="O1248" t="s">
        <v>729</v>
      </c>
      <c r="P1248" t="s">
        <v>730</v>
      </c>
      <c r="Q1248" t="s">
        <v>37</v>
      </c>
      <c r="R1248">
        <v>3</v>
      </c>
      <c r="S1248" t="s">
        <v>731</v>
      </c>
      <c r="T1248" t="s">
        <v>60</v>
      </c>
      <c r="U1248" t="s">
        <v>55</v>
      </c>
      <c r="V1248" t="s">
        <v>113</v>
      </c>
    </row>
    <row r="1249" spans="1:22" hidden="1" x14ac:dyDescent="0.2">
      <c r="A1249" t="s">
        <v>718</v>
      </c>
      <c r="B1249" t="s">
        <v>23</v>
      </c>
      <c r="C1249" t="s">
        <v>56</v>
      </c>
      <c r="D1249" t="s">
        <v>732</v>
      </c>
      <c r="E1249" t="s">
        <v>720</v>
      </c>
      <c r="F1249" t="s">
        <v>721</v>
      </c>
      <c r="G1249" t="s">
        <v>722</v>
      </c>
      <c r="H1249" t="s">
        <v>723</v>
      </c>
      <c r="I1249" t="s">
        <v>724</v>
      </c>
      <c r="J1249" t="s">
        <v>725</v>
      </c>
      <c r="K1249" t="s">
        <v>726</v>
      </c>
      <c r="L1249" t="s">
        <v>727</v>
      </c>
      <c r="M1249" t="s">
        <v>728</v>
      </c>
      <c r="O1249" t="s">
        <v>729</v>
      </c>
      <c r="P1249" t="s">
        <v>730</v>
      </c>
      <c r="Q1249" t="s">
        <v>37</v>
      </c>
      <c r="R1249">
        <v>3</v>
      </c>
      <c r="S1249" t="s">
        <v>731</v>
      </c>
      <c r="T1249" t="s">
        <v>60</v>
      </c>
      <c r="U1249" t="s">
        <v>55</v>
      </c>
      <c r="V1249" t="s">
        <v>195</v>
      </c>
    </row>
    <row r="1250" spans="1:22" hidden="1" x14ac:dyDescent="0.2">
      <c r="A1250" t="s">
        <v>718</v>
      </c>
      <c r="B1250" t="s">
        <v>23</v>
      </c>
      <c r="C1250" t="s">
        <v>56</v>
      </c>
      <c r="D1250" t="s">
        <v>732</v>
      </c>
      <c r="E1250" t="s">
        <v>720</v>
      </c>
      <c r="F1250" t="s">
        <v>721</v>
      </c>
      <c r="G1250" t="s">
        <v>722</v>
      </c>
      <c r="H1250" t="s">
        <v>723</v>
      </c>
      <c r="I1250" t="s">
        <v>724</v>
      </c>
      <c r="J1250" t="s">
        <v>725</v>
      </c>
      <c r="K1250" t="s">
        <v>726</v>
      </c>
      <c r="L1250" t="s">
        <v>727</v>
      </c>
      <c r="M1250" t="s">
        <v>728</v>
      </c>
      <c r="O1250" t="s">
        <v>729</v>
      </c>
      <c r="P1250" t="s">
        <v>730</v>
      </c>
      <c r="Q1250" t="s">
        <v>37</v>
      </c>
      <c r="R1250">
        <v>3</v>
      </c>
      <c r="S1250" t="s">
        <v>731</v>
      </c>
      <c r="T1250" t="s">
        <v>60</v>
      </c>
      <c r="U1250" t="s">
        <v>55</v>
      </c>
      <c r="V1250" t="s">
        <v>143</v>
      </c>
    </row>
    <row r="1251" spans="1:22" hidden="1" x14ac:dyDescent="0.2">
      <c r="A1251" t="s">
        <v>718</v>
      </c>
      <c r="B1251" t="s">
        <v>23</v>
      </c>
      <c r="C1251" t="s">
        <v>56</v>
      </c>
      <c r="D1251" t="s">
        <v>732</v>
      </c>
      <c r="E1251" t="s">
        <v>720</v>
      </c>
      <c r="F1251" t="s">
        <v>721</v>
      </c>
      <c r="G1251" t="s">
        <v>722</v>
      </c>
      <c r="H1251" t="s">
        <v>723</v>
      </c>
      <c r="I1251" t="s">
        <v>724</v>
      </c>
      <c r="J1251" t="s">
        <v>725</v>
      </c>
      <c r="K1251" t="s">
        <v>726</v>
      </c>
      <c r="L1251" t="s">
        <v>727</v>
      </c>
      <c r="M1251" t="s">
        <v>728</v>
      </c>
      <c r="O1251" t="s">
        <v>729</v>
      </c>
      <c r="P1251" t="s">
        <v>730</v>
      </c>
      <c r="Q1251" t="s">
        <v>37</v>
      </c>
      <c r="R1251">
        <v>3</v>
      </c>
      <c r="S1251" t="s">
        <v>731</v>
      </c>
      <c r="T1251" t="s">
        <v>60</v>
      </c>
      <c r="U1251" t="s">
        <v>53</v>
      </c>
      <c r="V1251" t="s">
        <v>76</v>
      </c>
    </row>
    <row r="1252" spans="1:22" hidden="1" x14ac:dyDescent="0.2">
      <c r="A1252" t="s">
        <v>718</v>
      </c>
      <c r="B1252" t="s">
        <v>23</v>
      </c>
      <c r="C1252" t="s">
        <v>56</v>
      </c>
      <c r="D1252" t="s">
        <v>732</v>
      </c>
      <c r="E1252" t="s">
        <v>720</v>
      </c>
      <c r="F1252" t="s">
        <v>721</v>
      </c>
      <c r="G1252" t="s">
        <v>722</v>
      </c>
      <c r="H1252" t="s">
        <v>723</v>
      </c>
      <c r="I1252" t="s">
        <v>724</v>
      </c>
      <c r="J1252" t="s">
        <v>725</v>
      </c>
      <c r="K1252" t="s">
        <v>726</v>
      </c>
      <c r="L1252" t="s">
        <v>727</v>
      </c>
      <c r="M1252" t="s">
        <v>728</v>
      </c>
      <c r="O1252" t="s">
        <v>729</v>
      </c>
      <c r="P1252" t="s">
        <v>730</v>
      </c>
      <c r="Q1252" t="s">
        <v>37</v>
      </c>
      <c r="R1252">
        <v>3</v>
      </c>
      <c r="S1252" t="s">
        <v>731</v>
      </c>
      <c r="T1252" t="s">
        <v>60</v>
      </c>
      <c r="U1252" t="s">
        <v>53</v>
      </c>
      <c r="V1252" t="s">
        <v>235</v>
      </c>
    </row>
    <row r="1253" spans="1:22" hidden="1" x14ac:dyDescent="0.2">
      <c r="A1253" t="s">
        <v>718</v>
      </c>
      <c r="B1253" t="s">
        <v>23</v>
      </c>
      <c r="C1253" t="s">
        <v>56</v>
      </c>
      <c r="D1253" t="s">
        <v>732</v>
      </c>
      <c r="E1253" t="s">
        <v>720</v>
      </c>
      <c r="F1253" t="s">
        <v>721</v>
      </c>
      <c r="G1253" t="s">
        <v>722</v>
      </c>
      <c r="H1253" t="s">
        <v>723</v>
      </c>
      <c r="I1253" t="s">
        <v>724</v>
      </c>
      <c r="J1253" t="s">
        <v>725</v>
      </c>
      <c r="K1253" t="s">
        <v>726</v>
      </c>
      <c r="L1253" t="s">
        <v>727</v>
      </c>
      <c r="M1253" t="s">
        <v>728</v>
      </c>
      <c r="O1253" t="s">
        <v>729</v>
      </c>
      <c r="P1253" t="s">
        <v>730</v>
      </c>
      <c r="Q1253" t="s">
        <v>37</v>
      </c>
      <c r="R1253">
        <v>3</v>
      </c>
      <c r="S1253" t="s">
        <v>731</v>
      </c>
      <c r="T1253" t="s">
        <v>60</v>
      </c>
      <c r="U1253" t="s">
        <v>53</v>
      </c>
      <c r="V1253" t="s">
        <v>508</v>
      </c>
    </row>
    <row r="1254" spans="1:22" hidden="1" x14ac:dyDescent="0.2">
      <c r="A1254" t="s">
        <v>718</v>
      </c>
      <c r="B1254" t="s">
        <v>23</v>
      </c>
      <c r="C1254" t="s">
        <v>56</v>
      </c>
      <c r="D1254" t="s">
        <v>732</v>
      </c>
      <c r="E1254" t="s">
        <v>720</v>
      </c>
      <c r="F1254" t="s">
        <v>721</v>
      </c>
      <c r="G1254" t="s">
        <v>722</v>
      </c>
      <c r="H1254" t="s">
        <v>723</v>
      </c>
      <c r="I1254" t="s">
        <v>724</v>
      </c>
      <c r="J1254" t="s">
        <v>725</v>
      </c>
      <c r="K1254" t="s">
        <v>726</v>
      </c>
      <c r="L1254" t="s">
        <v>727</v>
      </c>
      <c r="M1254" t="s">
        <v>728</v>
      </c>
      <c r="O1254" t="s">
        <v>729</v>
      </c>
      <c r="P1254" t="s">
        <v>730</v>
      </c>
      <c r="Q1254" t="s">
        <v>37</v>
      </c>
      <c r="R1254">
        <v>3</v>
      </c>
      <c r="S1254" t="s">
        <v>731</v>
      </c>
      <c r="T1254" t="s">
        <v>60</v>
      </c>
      <c r="U1254" t="s">
        <v>157</v>
      </c>
      <c r="V1254" t="s">
        <v>84</v>
      </c>
    </row>
    <row r="1255" spans="1:22" hidden="1" x14ac:dyDescent="0.2">
      <c r="A1255" t="s">
        <v>718</v>
      </c>
      <c r="B1255" t="s">
        <v>23</v>
      </c>
      <c r="C1255" t="s">
        <v>56</v>
      </c>
      <c r="D1255" t="s">
        <v>732</v>
      </c>
      <c r="E1255" t="s">
        <v>720</v>
      </c>
      <c r="F1255" t="s">
        <v>721</v>
      </c>
      <c r="G1255" t="s">
        <v>722</v>
      </c>
      <c r="H1255" t="s">
        <v>723</v>
      </c>
      <c r="I1255" t="s">
        <v>724</v>
      </c>
      <c r="J1255" t="s">
        <v>725</v>
      </c>
      <c r="K1255" t="s">
        <v>726</v>
      </c>
      <c r="L1255" t="s">
        <v>727</v>
      </c>
      <c r="M1255" t="s">
        <v>728</v>
      </c>
      <c r="O1255" t="s">
        <v>729</v>
      </c>
      <c r="P1255" t="s">
        <v>730</v>
      </c>
      <c r="Q1255" t="s">
        <v>37</v>
      </c>
      <c r="R1255">
        <v>3</v>
      </c>
      <c r="S1255" t="s">
        <v>731</v>
      </c>
      <c r="T1255" t="s">
        <v>60</v>
      </c>
      <c r="U1255" t="s">
        <v>157</v>
      </c>
      <c r="V1255" t="s">
        <v>43</v>
      </c>
    </row>
    <row r="1256" spans="1:22" hidden="1" x14ac:dyDescent="0.2">
      <c r="A1256" t="s">
        <v>718</v>
      </c>
      <c r="B1256" t="s">
        <v>23</v>
      </c>
      <c r="C1256" t="s">
        <v>56</v>
      </c>
      <c r="D1256" t="s">
        <v>732</v>
      </c>
      <c r="E1256" t="s">
        <v>720</v>
      </c>
      <c r="F1256" t="s">
        <v>721</v>
      </c>
      <c r="G1256" t="s">
        <v>722</v>
      </c>
      <c r="H1256" t="s">
        <v>723</v>
      </c>
      <c r="I1256" t="s">
        <v>724</v>
      </c>
      <c r="J1256" t="s">
        <v>725</v>
      </c>
      <c r="K1256" t="s">
        <v>726</v>
      </c>
      <c r="L1256" t="s">
        <v>727</v>
      </c>
      <c r="M1256" t="s">
        <v>728</v>
      </c>
      <c r="O1256" t="s">
        <v>729</v>
      </c>
      <c r="P1256" t="s">
        <v>730</v>
      </c>
      <c r="Q1256" t="s">
        <v>37</v>
      </c>
      <c r="R1256">
        <v>3</v>
      </c>
      <c r="S1256" t="s">
        <v>731</v>
      </c>
      <c r="T1256" t="s">
        <v>60</v>
      </c>
      <c r="U1256" t="s">
        <v>53</v>
      </c>
      <c r="V1256" t="s">
        <v>196</v>
      </c>
    </row>
    <row r="1257" spans="1:22" hidden="1" x14ac:dyDescent="0.2">
      <c r="A1257" t="s">
        <v>718</v>
      </c>
      <c r="B1257" t="s">
        <v>23</v>
      </c>
      <c r="C1257" t="s">
        <v>56</v>
      </c>
      <c r="D1257" t="s">
        <v>732</v>
      </c>
      <c r="E1257" t="s">
        <v>720</v>
      </c>
      <c r="F1257" t="s">
        <v>721</v>
      </c>
      <c r="G1257" t="s">
        <v>722</v>
      </c>
      <c r="H1257" t="s">
        <v>723</v>
      </c>
      <c r="I1257" t="s">
        <v>724</v>
      </c>
      <c r="J1257" t="s">
        <v>725</v>
      </c>
      <c r="K1257" t="s">
        <v>726</v>
      </c>
      <c r="L1257" t="s">
        <v>727</v>
      </c>
      <c r="M1257" t="s">
        <v>728</v>
      </c>
      <c r="O1257" t="s">
        <v>729</v>
      </c>
      <c r="P1257" t="s">
        <v>730</v>
      </c>
      <c r="Q1257" t="s">
        <v>37</v>
      </c>
      <c r="R1257">
        <v>3</v>
      </c>
      <c r="S1257" t="s">
        <v>731</v>
      </c>
      <c r="T1257" t="s">
        <v>131</v>
      </c>
      <c r="U1257" t="s">
        <v>157</v>
      </c>
      <c r="V1257" t="s">
        <v>105</v>
      </c>
    </row>
    <row r="1258" spans="1:22" hidden="1" x14ac:dyDescent="0.2">
      <c r="A1258" t="s">
        <v>718</v>
      </c>
      <c r="B1258" t="s">
        <v>23</v>
      </c>
      <c r="C1258" t="s">
        <v>56</v>
      </c>
      <c r="D1258" t="s">
        <v>732</v>
      </c>
      <c r="E1258" t="s">
        <v>720</v>
      </c>
      <c r="F1258" t="s">
        <v>721</v>
      </c>
      <c r="G1258" t="s">
        <v>722</v>
      </c>
      <c r="H1258" t="s">
        <v>723</v>
      </c>
      <c r="I1258" t="s">
        <v>724</v>
      </c>
      <c r="J1258" t="s">
        <v>725</v>
      </c>
      <c r="K1258" t="s">
        <v>726</v>
      </c>
      <c r="L1258" t="s">
        <v>727</v>
      </c>
      <c r="M1258" t="s">
        <v>728</v>
      </c>
      <c r="O1258" t="s">
        <v>729</v>
      </c>
      <c r="P1258" t="s">
        <v>730</v>
      </c>
      <c r="Q1258" t="s">
        <v>37</v>
      </c>
      <c r="R1258">
        <v>3</v>
      </c>
      <c r="S1258" t="s">
        <v>731</v>
      </c>
      <c r="T1258" t="s">
        <v>131</v>
      </c>
      <c r="U1258" t="s">
        <v>157</v>
      </c>
      <c r="V1258" t="s">
        <v>277</v>
      </c>
    </row>
    <row r="1259" spans="1:22" hidden="1" x14ac:dyDescent="0.2">
      <c r="A1259" t="s">
        <v>718</v>
      </c>
      <c r="B1259" t="s">
        <v>23</v>
      </c>
      <c r="C1259" t="s">
        <v>56</v>
      </c>
      <c r="D1259" t="s">
        <v>732</v>
      </c>
      <c r="E1259" t="s">
        <v>720</v>
      </c>
      <c r="F1259" t="s">
        <v>721</v>
      </c>
      <c r="G1259" t="s">
        <v>722</v>
      </c>
      <c r="H1259" t="s">
        <v>723</v>
      </c>
      <c r="I1259" t="s">
        <v>724</v>
      </c>
      <c r="J1259" t="s">
        <v>725</v>
      </c>
      <c r="K1259" t="s">
        <v>726</v>
      </c>
      <c r="L1259" t="s">
        <v>727</v>
      </c>
      <c r="M1259" t="s">
        <v>728</v>
      </c>
      <c r="O1259" t="s">
        <v>729</v>
      </c>
      <c r="P1259" t="s">
        <v>730</v>
      </c>
      <c r="Q1259" t="s">
        <v>37</v>
      </c>
      <c r="R1259">
        <v>3</v>
      </c>
      <c r="S1259" t="s">
        <v>731</v>
      </c>
      <c r="T1259" t="s">
        <v>131</v>
      </c>
      <c r="U1259" t="s">
        <v>55</v>
      </c>
      <c r="V1259" t="s">
        <v>113</v>
      </c>
    </row>
    <row r="1260" spans="1:22" hidden="1" x14ac:dyDescent="0.2">
      <c r="A1260" t="s">
        <v>718</v>
      </c>
      <c r="B1260" t="s">
        <v>23</v>
      </c>
      <c r="C1260" t="s">
        <v>56</v>
      </c>
      <c r="D1260" t="s">
        <v>732</v>
      </c>
      <c r="E1260" t="s">
        <v>720</v>
      </c>
      <c r="F1260" t="s">
        <v>721</v>
      </c>
      <c r="G1260" t="s">
        <v>722</v>
      </c>
      <c r="H1260" t="s">
        <v>723</v>
      </c>
      <c r="I1260" t="s">
        <v>724</v>
      </c>
      <c r="J1260" t="s">
        <v>725</v>
      </c>
      <c r="K1260" t="s">
        <v>726</v>
      </c>
      <c r="L1260" t="s">
        <v>727</v>
      </c>
      <c r="M1260" t="s">
        <v>728</v>
      </c>
      <c r="O1260" t="s">
        <v>729</v>
      </c>
      <c r="P1260" t="s">
        <v>730</v>
      </c>
      <c r="Q1260" t="s">
        <v>37</v>
      </c>
      <c r="R1260">
        <v>3</v>
      </c>
      <c r="S1260" t="s">
        <v>731</v>
      </c>
      <c r="T1260" t="s">
        <v>131</v>
      </c>
      <c r="U1260" t="s">
        <v>55</v>
      </c>
      <c r="V1260" t="s">
        <v>195</v>
      </c>
    </row>
    <row r="1261" spans="1:22" hidden="1" x14ac:dyDescent="0.2">
      <c r="A1261" t="s">
        <v>718</v>
      </c>
      <c r="B1261" t="s">
        <v>23</v>
      </c>
      <c r="C1261" t="s">
        <v>56</v>
      </c>
      <c r="D1261" t="s">
        <v>732</v>
      </c>
      <c r="E1261" t="s">
        <v>720</v>
      </c>
      <c r="F1261" t="s">
        <v>721</v>
      </c>
      <c r="G1261" t="s">
        <v>722</v>
      </c>
      <c r="H1261" t="s">
        <v>723</v>
      </c>
      <c r="I1261" t="s">
        <v>724</v>
      </c>
      <c r="J1261" t="s">
        <v>725</v>
      </c>
      <c r="K1261" t="s">
        <v>726</v>
      </c>
      <c r="L1261" t="s">
        <v>727</v>
      </c>
      <c r="M1261" t="s">
        <v>728</v>
      </c>
      <c r="O1261" t="s">
        <v>729</v>
      </c>
      <c r="P1261" t="s">
        <v>730</v>
      </c>
      <c r="Q1261" t="s">
        <v>37</v>
      </c>
      <c r="R1261">
        <v>3</v>
      </c>
      <c r="S1261" t="s">
        <v>731</v>
      </c>
      <c r="T1261" t="s">
        <v>131</v>
      </c>
      <c r="U1261" t="s">
        <v>55</v>
      </c>
      <c r="V1261" t="s">
        <v>143</v>
      </c>
    </row>
    <row r="1262" spans="1:22" hidden="1" x14ac:dyDescent="0.2">
      <c r="A1262" t="s">
        <v>718</v>
      </c>
      <c r="B1262" t="s">
        <v>23</v>
      </c>
      <c r="C1262" t="s">
        <v>56</v>
      </c>
      <c r="D1262" t="s">
        <v>732</v>
      </c>
      <c r="E1262" t="s">
        <v>720</v>
      </c>
      <c r="F1262" t="s">
        <v>721</v>
      </c>
      <c r="G1262" t="s">
        <v>722</v>
      </c>
      <c r="H1262" t="s">
        <v>723</v>
      </c>
      <c r="I1262" t="s">
        <v>724</v>
      </c>
      <c r="J1262" t="s">
        <v>725</v>
      </c>
      <c r="K1262" t="s">
        <v>726</v>
      </c>
      <c r="L1262" t="s">
        <v>727</v>
      </c>
      <c r="M1262" t="s">
        <v>728</v>
      </c>
      <c r="O1262" t="s">
        <v>729</v>
      </c>
      <c r="P1262" t="s">
        <v>730</v>
      </c>
      <c r="Q1262" t="s">
        <v>37</v>
      </c>
      <c r="R1262">
        <v>3</v>
      </c>
      <c r="S1262" t="s">
        <v>731</v>
      </c>
      <c r="T1262" t="s">
        <v>131</v>
      </c>
      <c r="U1262" t="s">
        <v>53</v>
      </c>
      <c r="V1262" t="s">
        <v>76</v>
      </c>
    </row>
    <row r="1263" spans="1:22" hidden="1" x14ac:dyDescent="0.2">
      <c r="A1263" t="s">
        <v>718</v>
      </c>
      <c r="B1263" t="s">
        <v>23</v>
      </c>
      <c r="C1263" t="s">
        <v>56</v>
      </c>
      <c r="D1263" t="s">
        <v>732</v>
      </c>
      <c r="E1263" t="s">
        <v>720</v>
      </c>
      <c r="F1263" t="s">
        <v>721</v>
      </c>
      <c r="G1263" t="s">
        <v>722</v>
      </c>
      <c r="H1263" t="s">
        <v>723</v>
      </c>
      <c r="I1263" t="s">
        <v>724</v>
      </c>
      <c r="J1263" t="s">
        <v>725</v>
      </c>
      <c r="K1263" t="s">
        <v>726</v>
      </c>
      <c r="L1263" t="s">
        <v>727</v>
      </c>
      <c r="M1263" t="s">
        <v>728</v>
      </c>
      <c r="O1263" t="s">
        <v>729</v>
      </c>
      <c r="P1263" t="s">
        <v>730</v>
      </c>
      <c r="Q1263" t="s">
        <v>37</v>
      </c>
      <c r="R1263">
        <v>3</v>
      </c>
      <c r="S1263" t="s">
        <v>731</v>
      </c>
      <c r="T1263" t="s">
        <v>131</v>
      </c>
      <c r="U1263" t="s">
        <v>53</v>
      </c>
      <c r="V1263" t="s">
        <v>235</v>
      </c>
    </row>
    <row r="1264" spans="1:22" hidden="1" x14ac:dyDescent="0.2">
      <c r="A1264" t="s">
        <v>718</v>
      </c>
      <c r="B1264" t="s">
        <v>23</v>
      </c>
      <c r="C1264" t="s">
        <v>56</v>
      </c>
      <c r="D1264" t="s">
        <v>732</v>
      </c>
      <c r="E1264" t="s">
        <v>720</v>
      </c>
      <c r="F1264" t="s">
        <v>721</v>
      </c>
      <c r="G1264" t="s">
        <v>722</v>
      </c>
      <c r="H1264" t="s">
        <v>723</v>
      </c>
      <c r="I1264" t="s">
        <v>724</v>
      </c>
      <c r="J1264" t="s">
        <v>725</v>
      </c>
      <c r="K1264" t="s">
        <v>726</v>
      </c>
      <c r="L1264" t="s">
        <v>727</v>
      </c>
      <c r="M1264" t="s">
        <v>728</v>
      </c>
      <c r="O1264" t="s">
        <v>729</v>
      </c>
      <c r="P1264" t="s">
        <v>730</v>
      </c>
      <c r="Q1264" t="s">
        <v>37</v>
      </c>
      <c r="R1264">
        <v>3</v>
      </c>
      <c r="S1264" t="s">
        <v>731</v>
      </c>
      <c r="T1264" t="s">
        <v>131</v>
      </c>
      <c r="U1264" t="s">
        <v>53</v>
      </c>
      <c r="V1264" t="s">
        <v>508</v>
      </c>
    </row>
    <row r="1265" spans="1:22" hidden="1" x14ac:dyDescent="0.2">
      <c r="A1265" t="s">
        <v>718</v>
      </c>
      <c r="B1265" t="s">
        <v>23</v>
      </c>
      <c r="C1265" t="s">
        <v>56</v>
      </c>
      <c r="D1265" t="s">
        <v>732</v>
      </c>
      <c r="E1265" t="s">
        <v>720</v>
      </c>
      <c r="F1265" t="s">
        <v>721</v>
      </c>
      <c r="G1265" t="s">
        <v>722</v>
      </c>
      <c r="H1265" t="s">
        <v>723</v>
      </c>
      <c r="I1265" t="s">
        <v>724</v>
      </c>
      <c r="J1265" t="s">
        <v>725</v>
      </c>
      <c r="K1265" t="s">
        <v>726</v>
      </c>
      <c r="L1265" t="s">
        <v>727</v>
      </c>
      <c r="M1265" t="s">
        <v>728</v>
      </c>
      <c r="O1265" t="s">
        <v>729</v>
      </c>
      <c r="P1265" t="s">
        <v>730</v>
      </c>
      <c r="Q1265" t="s">
        <v>37</v>
      </c>
      <c r="R1265">
        <v>3</v>
      </c>
      <c r="S1265" t="s">
        <v>731</v>
      </c>
      <c r="T1265" t="s">
        <v>131</v>
      </c>
      <c r="U1265" t="s">
        <v>157</v>
      </c>
      <c r="V1265" t="s">
        <v>84</v>
      </c>
    </row>
    <row r="1266" spans="1:22" hidden="1" x14ac:dyDescent="0.2">
      <c r="A1266" t="s">
        <v>718</v>
      </c>
      <c r="B1266" t="s">
        <v>23</v>
      </c>
      <c r="C1266" t="s">
        <v>56</v>
      </c>
      <c r="D1266" t="s">
        <v>732</v>
      </c>
      <c r="E1266" t="s">
        <v>720</v>
      </c>
      <c r="F1266" t="s">
        <v>721</v>
      </c>
      <c r="G1266" t="s">
        <v>722</v>
      </c>
      <c r="H1266" t="s">
        <v>723</v>
      </c>
      <c r="I1266" t="s">
        <v>724</v>
      </c>
      <c r="J1266" t="s">
        <v>725</v>
      </c>
      <c r="K1266" t="s">
        <v>726</v>
      </c>
      <c r="L1266" t="s">
        <v>727</v>
      </c>
      <c r="M1266" t="s">
        <v>728</v>
      </c>
      <c r="O1266" t="s">
        <v>729</v>
      </c>
      <c r="P1266" t="s">
        <v>730</v>
      </c>
      <c r="Q1266" t="s">
        <v>37</v>
      </c>
      <c r="R1266">
        <v>3</v>
      </c>
      <c r="S1266" t="s">
        <v>731</v>
      </c>
      <c r="T1266" t="s">
        <v>131</v>
      </c>
      <c r="U1266" t="s">
        <v>157</v>
      </c>
      <c r="V1266" t="s">
        <v>43</v>
      </c>
    </row>
    <row r="1267" spans="1:22" hidden="1" x14ac:dyDescent="0.2">
      <c r="A1267" t="s">
        <v>718</v>
      </c>
      <c r="B1267" t="s">
        <v>23</v>
      </c>
      <c r="C1267" t="s">
        <v>56</v>
      </c>
      <c r="D1267" t="s">
        <v>732</v>
      </c>
      <c r="E1267" t="s">
        <v>720</v>
      </c>
      <c r="F1267" t="s">
        <v>721</v>
      </c>
      <c r="G1267" t="s">
        <v>722</v>
      </c>
      <c r="H1267" t="s">
        <v>723</v>
      </c>
      <c r="I1267" t="s">
        <v>724</v>
      </c>
      <c r="J1267" t="s">
        <v>725</v>
      </c>
      <c r="K1267" t="s">
        <v>726</v>
      </c>
      <c r="L1267" t="s">
        <v>727</v>
      </c>
      <c r="M1267" t="s">
        <v>728</v>
      </c>
      <c r="O1267" t="s">
        <v>729</v>
      </c>
      <c r="P1267" t="s">
        <v>730</v>
      </c>
      <c r="Q1267" t="s">
        <v>37</v>
      </c>
      <c r="R1267">
        <v>3</v>
      </c>
      <c r="S1267" t="s">
        <v>731</v>
      </c>
      <c r="T1267" t="s">
        <v>131</v>
      </c>
      <c r="U1267" t="s">
        <v>53</v>
      </c>
      <c r="V1267" t="s">
        <v>196</v>
      </c>
    </row>
    <row r="1268" spans="1:22" hidden="1" x14ac:dyDescent="0.2">
      <c r="A1268" t="s">
        <v>718</v>
      </c>
      <c r="B1268" t="s">
        <v>23</v>
      </c>
      <c r="C1268" t="s">
        <v>56</v>
      </c>
      <c r="D1268" t="s">
        <v>732</v>
      </c>
      <c r="E1268" t="s">
        <v>720</v>
      </c>
      <c r="F1268" t="s">
        <v>721</v>
      </c>
      <c r="G1268" t="s">
        <v>722</v>
      </c>
      <c r="H1268" t="s">
        <v>723</v>
      </c>
      <c r="I1268" t="s">
        <v>724</v>
      </c>
      <c r="J1268" t="s">
        <v>725</v>
      </c>
      <c r="K1268" t="s">
        <v>726</v>
      </c>
      <c r="L1268" t="s">
        <v>727</v>
      </c>
      <c r="M1268" t="s">
        <v>728</v>
      </c>
      <c r="O1268" t="s">
        <v>729</v>
      </c>
      <c r="P1268" t="s">
        <v>730</v>
      </c>
      <c r="Q1268" t="s">
        <v>37</v>
      </c>
      <c r="R1268">
        <v>3</v>
      </c>
      <c r="S1268" t="s">
        <v>731</v>
      </c>
      <c r="T1268" t="s">
        <v>198</v>
      </c>
      <c r="U1268" t="s">
        <v>157</v>
      </c>
      <c r="V1268" t="s">
        <v>105</v>
      </c>
    </row>
    <row r="1269" spans="1:22" hidden="1" x14ac:dyDescent="0.2">
      <c r="A1269" t="s">
        <v>718</v>
      </c>
      <c r="B1269" t="s">
        <v>23</v>
      </c>
      <c r="C1269" t="s">
        <v>56</v>
      </c>
      <c r="D1269" t="s">
        <v>732</v>
      </c>
      <c r="E1269" t="s">
        <v>720</v>
      </c>
      <c r="F1269" t="s">
        <v>721</v>
      </c>
      <c r="G1269" t="s">
        <v>722</v>
      </c>
      <c r="H1269" t="s">
        <v>723</v>
      </c>
      <c r="I1269" t="s">
        <v>724</v>
      </c>
      <c r="J1269" t="s">
        <v>725</v>
      </c>
      <c r="K1269" t="s">
        <v>726</v>
      </c>
      <c r="L1269" t="s">
        <v>727</v>
      </c>
      <c r="M1269" t="s">
        <v>728</v>
      </c>
      <c r="O1269" t="s">
        <v>729</v>
      </c>
      <c r="P1269" t="s">
        <v>730</v>
      </c>
      <c r="Q1269" t="s">
        <v>37</v>
      </c>
      <c r="R1269">
        <v>3</v>
      </c>
      <c r="S1269" t="s">
        <v>731</v>
      </c>
      <c r="T1269" t="s">
        <v>198</v>
      </c>
      <c r="U1269" t="s">
        <v>157</v>
      </c>
      <c r="V1269" t="s">
        <v>277</v>
      </c>
    </row>
    <row r="1270" spans="1:22" hidden="1" x14ac:dyDescent="0.2">
      <c r="A1270" t="s">
        <v>718</v>
      </c>
      <c r="B1270" t="s">
        <v>23</v>
      </c>
      <c r="C1270" t="s">
        <v>56</v>
      </c>
      <c r="D1270" t="s">
        <v>732</v>
      </c>
      <c r="E1270" t="s">
        <v>720</v>
      </c>
      <c r="F1270" t="s">
        <v>721</v>
      </c>
      <c r="G1270" t="s">
        <v>722</v>
      </c>
      <c r="H1270" t="s">
        <v>723</v>
      </c>
      <c r="I1270" t="s">
        <v>724</v>
      </c>
      <c r="J1270" t="s">
        <v>725</v>
      </c>
      <c r="K1270" t="s">
        <v>726</v>
      </c>
      <c r="L1270" t="s">
        <v>727</v>
      </c>
      <c r="M1270" t="s">
        <v>728</v>
      </c>
      <c r="O1270" t="s">
        <v>729</v>
      </c>
      <c r="P1270" t="s">
        <v>730</v>
      </c>
      <c r="Q1270" t="s">
        <v>37</v>
      </c>
      <c r="R1270">
        <v>3</v>
      </c>
      <c r="S1270" t="s">
        <v>731</v>
      </c>
      <c r="T1270" t="s">
        <v>198</v>
      </c>
      <c r="U1270" t="s">
        <v>55</v>
      </c>
      <c r="V1270" t="s">
        <v>113</v>
      </c>
    </row>
    <row r="1271" spans="1:22" hidden="1" x14ac:dyDescent="0.2">
      <c r="A1271" t="s">
        <v>718</v>
      </c>
      <c r="B1271" t="s">
        <v>23</v>
      </c>
      <c r="C1271" t="s">
        <v>56</v>
      </c>
      <c r="D1271" t="s">
        <v>732</v>
      </c>
      <c r="E1271" t="s">
        <v>720</v>
      </c>
      <c r="F1271" t="s">
        <v>721</v>
      </c>
      <c r="G1271" t="s">
        <v>722</v>
      </c>
      <c r="H1271" t="s">
        <v>723</v>
      </c>
      <c r="I1271" t="s">
        <v>724</v>
      </c>
      <c r="J1271" t="s">
        <v>725</v>
      </c>
      <c r="K1271" t="s">
        <v>726</v>
      </c>
      <c r="L1271" t="s">
        <v>727</v>
      </c>
      <c r="M1271" t="s">
        <v>728</v>
      </c>
      <c r="O1271" t="s">
        <v>729</v>
      </c>
      <c r="P1271" t="s">
        <v>730</v>
      </c>
      <c r="Q1271" t="s">
        <v>37</v>
      </c>
      <c r="R1271">
        <v>3</v>
      </c>
      <c r="S1271" t="s">
        <v>731</v>
      </c>
      <c r="T1271" t="s">
        <v>198</v>
      </c>
      <c r="U1271" t="s">
        <v>55</v>
      </c>
      <c r="V1271" t="s">
        <v>195</v>
      </c>
    </row>
    <row r="1272" spans="1:22" hidden="1" x14ac:dyDescent="0.2">
      <c r="A1272" t="s">
        <v>718</v>
      </c>
      <c r="B1272" t="s">
        <v>23</v>
      </c>
      <c r="C1272" t="s">
        <v>56</v>
      </c>
      <c r="D1272" t="s">
        <v>732</v>
      </c>
      <c r="E1272" t="s">
        <v>720</v>
      </c>
      <c r="F1272" t="s">
        <v>721</v>
      </c>
      <c r="G1272" t="s">
        <v>722</v>
      </c>
      <c r="H1272" t="s">
        <v>723</v>
      </c>
      <c r="I1272" t="s">
        <v>724</v>
      </c>
      <c r="J1272" t="s">
        <v>725</v>
      </c>
      <c r="K1272" t="s">
        <v>726</v>
      </c>
      <c r="L1272" t="s">
        <v>727</v>
      </c>
      <c r="M1272" t="s">
        <v>728</v>
      </c>
      <c r="O1272" t="s">
        <v>729</v>
      </c>
      <c r="P1272" t="s">
        <v>730</v>
      </c>
      <c r="Q1272" t="s">
        <v>37</v>
      </c>
      <c r="R1272">
        <v>3</v>
      </c>
      <c r="S1272" t="s">
        <v>731</v>
      </c>
      <c r="T1272" t="s">
        <v>198</v>
      </c>
      <c r="U1272" t="s">
        <v>55</v>
      </c>
      <c r="V1272" t="s">
        <v>143</v>
      </c>
    </row>
    <row r="1273" spans="1:22" hidden="1" x14ac:dyDescent="0.2">
      <c r="A1273" t="s">
        <v>718</v>
      </c>
      <c r="B1273" t="s">
        <v>23</v>
      </c>
      <c r="C1273" t="s">
        <v>56</v>
      </c>
      <c r="D1273" t="s">
        <v>732</v>
      </c>
      <c r="E1273" t="s">
        <v>720</v>
      </c>
      <c r="F1273" t="s">
        <v>721</v>
      </c>
      <c r="G1273" t="s">
        <v>722</v>
      </c>
      <c r="H1273" t="s">
        <v>723</v>
      </c>
      <c r="I1273" t="s">
        <v>724</v>
      </c>
      <c r="J1273" t="s">
        <v>725</v>
      </c>
      <c r="K1273" t="s">
        <v>726</v>
      </c>
      <c r="L1273" t="s">
        <v>727</v>
      </c>
      <c r="M1273" t="s">
        <v>728</v>
      </c>
      <c r="O1273" t="s">
        <v>729</v>
      </c>
      <c r="P1273" t="s">
        <v>730</v>
      </c>
      <c r="Q1273" t="s">
        <v>37</v>
      </c>
      <c r="R1273">
        <v>3</v>
      </c>
      <c r="S1273" t="s">
        <v>731</v>
      </c>
      <c r="T1273" t="s">
        <v>198</v>
      </c>
      <c r="U1273" t="s">
        <v>53</v>
      </c>
      <c r="V1273" t="s">
        <v>76</v>
      </c>
    </row>
    <row r="1274" spans="1:22" hidden="1" x14ac:dyDescent="0.2">
      <c r="A1274" t="s">
        <v>718</v>
      </c>
      <c r="B1274" t="s">
        <v>23</v>
      </c>
      <c r="C1274" t="s">
        <v>56</v>
      </c>
      <c r="D1274" t="s">
        <v>732</v>
      </c>
      <c r="E1274" t="s">
        <v>720</v>
      </c>
      <c r="F1274" t="s">
        <v>721</v>
      </c>
      <c r="G1274" t="s">
        <v>722</v>
      </c>
      <c r="H1274" t="s">
        <v>723</v>
      </c>
      <c r="I1274" t="s">
        <v>724</v>
      </c>
      <c r="J1274" t="s">
        <v>725</v>
      </c>
      <c r="K1274" t="s">
        <v>726</v>
      </c>
      <c r="L1274" t="s">
        <v>727</v>
      </c>
      <c r="M1274" t="s">
        <v>728</v>
      </c>
      <c r="O1274" t="s">
        <v>729</v>
      </c>
      <c r="P1274" t="s">
        <v>730</v>
      </c>
      <c r="Q1274" t="s">
        <v>37</v>
      </c>
      <c r="R1274">
        <v>3</v>
      </c>
      <c r="S1274" t="s">
        <v>731</v>
      </c>
      <c r="T1274" t="s">
        <v>198</v>
      </c>
      <c r="U1274" t="s">
        <v>53</v>
      </c>
      <c r="V1274" t="s">
        <v>235</v>
      </c>
    </row>
    <row r="1275" spans="1:22" hidden="1" x14ac:dyDescent="0.2">
      <c r="A1275" t="s">
        <v>718</v>
      </c>
      <c r="B1275" t="s">
        <v>23</v>
      </c>
      <c r="C1275" t="s">
        <v>56</v>
      </c>
      <c r="D1275" t="s">
        <v>732</v>
      </c>
      <c r="E1275" t="s">
        <v>720</v>
      </c>
      <c r="F1275" t="s">
        <v>721</v>
      </c>
      <c r="G1275" t="s">
        <v>722</v>
      </c>
      <c r="H1275" t="s">
        <v>723</v>
      </c>
      <c r="I1275" t="s">
        <v>724</v>
      </c>
      <c r="J1275" t="s">
        <v>725</v>
      </c>
      <c r="K1275" t="s">
        <v>726</v>
      </c>
      <c r="L1275" t="s">
        <v>727</v>
      </c>
      <c r="M1275" t="s">
        <v>728</v>
      </c>
      <c r="O1275" t="s">
        <v>729</v>
      </c>
      <c r="P1275" t="s">
        <v>730</v>
      </c>
      <c r="Q1275" t="s">
        <v>37</v>
      </c>
      <c r="R1275">
        <v>3</v>
      </c>
      <c r="S1275" t="s">
        <v>731</v>
      </c>
      <c r="T1275" t="s">
        <v>198</v>
      </c>
      <c r="U1275" t="s">
        <v>53</v>
      </c>
      <c r="V1275" t="s">
        <v>508</v>
      </c>
    </row>
    <row r="1276" spans="1:22" hidden="1" x14ac:dyDescent="0.2">
      <c r="A1276" t="s">
        <v>718</v>
      </c>
      <c r="B1276" t="s">
        <v>23</v>
      </c>
      <c r="C1276" t="s">
        <v>56</v>
      </c>
      <c r="D1276" t="s">
        <v>732</v>
      </c>
      <c r="E1276" t="s">
        <v>720</v>
      </c>
      <c r="F1276" t="s">
        <v>721</v>
      </c>
      <c r="G1276" t="s">
        <v>722</v>
      </c>
      <c r="H1276" t="s">
        <v>723</v>
      </c>
      <c r="I1276" t="s">
        <v>724</v>
      </c>
      <c r="J1276" t="s">
        <v>725</v>
      </c>
      <c r="K1276" t="s">
        <v>726</v>
      </c>
      <c r="L1276" t="s">
        <v>727</v>
      </c>
      <c r="M1276" t="s">
        <v>728</v>
      </c>
      <c r="O1276" t="s">
        <v>729</v>
      </c>
      <c r="P1276" t="s">
        <v>730</v>
      </c>
      <c r="Q1276" t="s">
        <v>37</v>
      </c>
      <c r="R1276">
        <v>3</v>
      </c>
      <c r="S1276" t="s">
        <v>731</v>
      </c>
      <c r="T1276" t="s">
        <v>198</v>
      </c>
      <c r="U1276" t="s">
        <v>157</v>
      </c>
      <c r="V1276" t="s">
        <v>84</v>
      </c>
    </row>
    <row r="1277" spans="1:22" hidden="1" x14ac:dyDescent="0.2">
      <c r="A1277" t="s">
        <v>718</v>
      </c>
      <c r="B1277" t="s">
        <v>23</v>
      </c>
      <c r="C1277" t="s">
        <v>56</v>
      </c>
      <c r="D1277" t="s">
        <v>732</v>
      </c>
      <c r="E1277" t="s">
        <v>720</v>
      </c>
      <c r="F1277" t="s">
        <v>721</v>
      </c>
      <c r="G1277" t="s">
        <v>722</v>
      </c>
      <c r="H1277" t="s">
        <v>723</v>
      </c>
      <c r="I1277" t="s">
        <v>724</v>
      </c>
      <c r="J1277" t="s">
        <v>725</v>
      </c>
      <c r="K1277" t="s">
        <v>726</v>
      </c>
      <c r="L1277" t="s">
        <v>727</v>
      </c>
      <c r="M1277" t="s">
        <v>728</v>
      </c>
      <c r="O1277" t="s">
        <v>729</v>
      </c>
      <c r="P1277" t="s">
        <v>730</v>
      </c>
      <c r="Q1277" t="s">
        <v>37</v>
      </c>
      <c r="R1277">
        <v>3</v>
      </c>
      <c r="S1277" t="s">
        <v>731</v>
      </c>
      <c r="T1277" t="s">
        <v>198</v>
      </c>
      <c r="U1277" t="s">
        <v>157</v>
      </c>
      <c r="V1277" t="s">
        <v>43</v>
      </c>
    </row>
    <row r="1278" spans="1:22" hidden="1" x14ac:dyDescent="0.2">
      <c r="A1278" t="s">
        <v>718</v>
      </c>
      <c r="B1278" t="s">
        <v>23</v>
      </c>
      <c r="C1278" t="s">
        <v>56</v>
      </c>
      <c r="D1278" t="s">
        <v>732</v>
      </c>
      <c r="E1278" t="s">
        <v>720</v>
      </c>
      <c r="F1278" t="s">
        <v>721</v>
      </c>
      <c r="G1278" t="s">
        <v>722</v>
      </c>
      <c r="H1278" t="s">
        <v>723</v>
      </c>
      <c r="I1278" t="s">
        <v>724</v>
      </c>
      <c r="J1278" t="s">
        <v>725</v>
      </c>
      <c r="K1278" t="s">
        <v>726</v>
      </c>
      <c r="L1278" t="s">
        <v>727</v>
      </c>
      <c r="M1278" t="s">
        <v>728</v>
      </c>
      <c r="O1278" t="s">
        <v>729</v>
      </c>
      <c r="P1278" t="s">
        <v>730</v>
      </c>
      <c r="Q1278" t="s">
        <v>37</v>
      </c>
      <c r="R1278">
        <v>3</v>
      </c>
      <c r="S1278" t="s">
        <v>731</v>
      </c>
      <c r="T1278" t="s">
        <v>198</v>
      </c>
      <c r="U1278" t="s">
        <v>53</v>
      </c>
      <c r="V1278" t="s">
        <v>196</v>
      </c>
    </row>
    <row r="1279" spans="1:22" hidden="1" x14ac:dyDescent="0.2">
      <c r="A1279" t="s">
        <v>718</v>
      </c>
      <c r="B1279" t="s">
        <v>23</v>
      </c>
      <c r="C1279" t="s">
        <v>56</v>
      </c>
      <c r="D1279" t="s">
        <v>732</v>
      </c>
      <c r="E1279" t="s">
        <v>720</v>
      </c>
      <c r="F1279" t="s">
        <v>721</v>
      </c>
      <c r="G1279" t="s">
        <v>722</v>
      </c>
      <c r="H1279" t="s">
        <v>723</v>
      </c>
      <c r="I1279" t="s">
        <v>724</v>
      </c>
      <c r="J1279" t="s">
        <v>725</v>
      </c>
      <c r="K1279" t="s">
        <v>726</v>
      </c>
      <c r="L1279" t="s">
        <v>727</v>
      </c>
      <c r="M1279" t="s">
        <v>728</v>
      </c>
      <c r="O1279" t="s">
        <v>729</v>
      </c>
      <c r="P1279" t="s">
        <v>730</v>
      </c>
      <c r="Q1279" t="s">
        <v>37</v>
      </c>
      <c r="R1279">
        <v>3</v>
      </c>
      <c r="S1279" t="s">
        <v>731</v>
      </c>
      <c r="T1279" t="s">
        <v>62</v>
      </c>
      <c r="U1279" t="s">
        <v>157</v>
      </c>
      <c r="V1279" t="s">
        <v>105</v>
      </c>
    </row>
    <row r="1280" spans="1:22" hidden="1" x14ac:dyDescent="0.2">
      <c r="A1280" t="s">
        <v>718</v>
      </c>
      <c r="B1280" t="s">
        <v>23</v>
      </c>
      <c r="C1280" t="s">
        <v>56</v>
      </c>
      <c r="D1280" t="s">
        <v>732</v>
      </c>
      <c r="E1280" t="s">
        <v>720</v>
      </c>
      <c r="F1280" t="s">
        <v>721</v>
      </c>
      <c r="G1280" t="s">
        <v>722</v>
      </c>
      <c r="H1280" t="s">
        <v>723</v>
      </c>
      <c r="I1280" t="s">
        <v>724</v>
      </c>
      <c r="J1280" t="s">
        <v>725</v>
      </c>
      <c r="K1280" t="s">
        <v>726</v>
      </c>
      <c r="L1280" t="s">
        <v>727</v>
      </c>
      <c r="M1280" t="s">
        <v>728</v>
      </c>
      <c r="O1280" t="s">
        <v>729</v>
      </c>
      <c r="P1280" t="s">
        <v>730</v>
      </c>
      <c r="Q1280" t="s">
        <v>37</v>
      </c>
      <c r="R1280">
        <v>3</v>
      </c>
      <c r="S1280" t="s">
        <v>731</v>
      </c>
      <c r="T1280" t="s">
        <v>62</v>
      </c>
      <c r="U1280" t="s">
        <v>157</v>
      </c>
      <c r="V1280" t="s">
        <v>277</v>
      </c>
    </row>
    <row r="1281" spans="1:22" hidden="1" x14ac:dyDescent="0.2">
      <c r="A1281" t="s">
        <v>718</v>
      </c>
      <c r="B1281" t="s">
        <v>23</v>
      </c>
      <c r="C1281" t="s">
        <v>56</v>
      </c>
      <c r="D1281" t="s">
        <v>732</v>
      </c>
      <c r="E1281" t="s">
        <v>720</v>
      </c>
      <c r="F1281" t="s">
        <v>721</v>
      </c>
      <c r="G1281" t="s">
        <v>722</v>
      </c>
      <c r="H1281" t="s">
        <v>723</v>
      </c>
      <c r="I1281" t="s">
        <v>724</v>
      </c>
      <c r="J1281" t="s">
        <v>725</v>
      </c>
      <c r="K1281" t="s">
        <v>726</v>
      </c>
      <c r="L1281" t="s">
        <v>727</v>
      </c>
      <c r="M1281" t="s">
        <v>728</v>
      </c>
      <c r="O1281" t="s">
        <v>729</v>
      </c>
      <c r="P1281" t="s">
        <v>730</v>
      </c>
      <c r="Q1281" t="s">
        <v>37</v>
      </c>
      <c r="R1281">
        <v>3</v>
      </c>
      <c r="S1281" t="s">
        <v>731</v>
      </c>
      <c r="T1281" t="s">
        <v>62</v>
      </c>
      <c r="U1281" t="s">
        <v>55</v>
      </c>
      <c r="V1281" t="s">
        <v>113</v>
      </c>
    </row>
    <row r="1282" spans="1:22" hidden="1" x14ac:dyDescent="0.2">
      <c r="A1282" t="s">
        <v>718</v>
      </c>
      <c r="B1282" t="s">
        <v>23</v>
      </c>
      <c r="C1282" t="s">
        <v>56</v>
      </c>
      <c r="D1282" t="s">
        <v>732</v>
      </c>
      <c r="E1282" t="s">
        <v>720</v>
      </c>
      <c r="F1282" t="s">
        <v>721</v>
      </c>
      <c r="G1282" t="s">
        <v>722</v>
      </c>
      <c r="H1282" t="s">
        <v>723</v>
      </c>
      <c r="I1282" t="s">
        <v>724</v>
      </c>
      <c r="J1282" t="s">
        <v>725</v>
      </c>
      <c r="K1282" t="s">
        <v>726</v>
      </c>
      <c r="L1282" t="s">
        <v>727</v>
      </c>
      <c r="M1282" t="s">
        <v>728</v>
      </c>
      <c r="O1282" t="s">
        <v>729</v>
      </c>
      <c r="P1282" t="s">
        <v>730</v>
      </c>
      <c r="Q1282" t="s">
        <v>37</v>
      </c>
      <c r="R1282">
        <v>3</v>
      </c>
      <c r="S1282" t="s">
        <v>731</v>
      </c>
      <c r="T1282" t="s">
        <v>62</v>
      </c>
      <c r="U1282" t="s">
        <v>55</v>
      </c>
      <c r="V1282" t="s">
        <v>195</v>
      </c>
    </row>
    <row r="1283" spans="1:22" hidden="1" x14ac:dyDescent="0.2">
      <c r="A1283" t="s">
        <v>718</v>
      </c>
      <c r="B1283" t="s">
        <v>23</v>
      </c>
      <c r="C1283" t="s">
        <v>56</v>
      </c>
      <c r="D1283" t="s">
        <v>732</v>
      </c>
      <c r="E1283" t="s">
        <v>720</v>
      </c>
      <c r="F1283" t="s">
        <v>721</v>
      </c>
      <c r="G1283" t="s">
        <v>722</v>
      </c>
      <c r="H1283" t="s">
        <v>723</v>
      </c>
      <c r="I1283" t="s">
        <v>724</v>
      </c>
      <c r="J1283" t="s">
        <v>725</v>
      </c>
      <c r="K1283" t="s">
        <v>726</v>
      </c>
      <c r="L1283" t="s">
        <v>727</v>
      </c>
      <c r="M1283" t="s">
        <v>728</v>
      </c>
      <c r="O1283" t="s">
        <v>729</v>
      </c>
      <c r="P1283" t="s">
        <v>730</v>
      </c>
      <c r="Q1283" t="s">
        <v>37</v>
      </c>
      <c r="R1283">
        <v>3</v>
      </c>
      <c r="S1283" t="s">
        <v>731</v>
      </c>
      <c r="T1283" t="s">
        <v>62</v>
      </c>
      <c r="U1283" t="s">
        <v>55</v>
      </c>
      <c r="V1283" t="s">
        <v>143</v>
      </c>
    </row>
    <row r="1284" spans="1:22" hidden="1" x14ac:dyDescent="0.2">
      <c r="A1284" t="s">
        <v>718</v>
      </c>
      <c r="B1284" t="s">
        <v>23</v>
      </c>
      <c r="C1284" t="s">
        <v>56</v>
      </c>
      <c r="D1284" t="s">
        <v>732</v>
      </c>
      <c r="E1284" t="s">
        <v>720</v>
      </c>
      <c r="F1284" t="s">
        <v>721</v>
      </c>
      <c r="G1284" t="s">
        <v>722</v>
      </c>
      <c r="H1284" t="s">
        <v>723</v>
      </c>
      <c r="I1284" t="s">
        <v>724</v>
      </c>
      <c r="J1284" t="s">
        <v>725</v>
      </c>
      <c r="K1284" t="s">
        <v>726</v>
      </c>
      <c r="L1284" t="s">
        <v>727</v>
      </c>
      <c r="M1284" t="s">
        <v>728</v>
      </c>
      <c r="O1284" t="s">
        <v>729</v>
      </c>
      <c r="P1284" t="s">
        <v>730</v>
      </c>
      <c r="Q1284" t="s">
        <v>37</v>
      </c>
      <c r="R1284">
        <v>3</v>
      </c>
      <c r="S1284" t="s">
        <v>731</v>
      </c>
      <c r="T1284" t="s">
        <v>62</v>
      </c>
      <c r="U1284" t="s">
        <v>53</v>
      </c>
      <c r="V1284" t="s">
        <v>76</v>
      </c>
    </row>
    <row r="1285" spans="1:22" hidden="1" x14ac:dyDescent="0.2">
      <c r="A1285" t="s">
        <v>718</v>
      </c>
      <c r="B1285" t="s">
        <v>23</v>
      </c>
      <c r="C1285" t="s">
        <v>56</v>
      </c>
      <c r="D1285" t="s">
        <v>732</v>
      </c>
      <c r="E1285" t="s">
        <v>720</v>
      </c>
      <c r="F1285" t="s">
        <v>721</v>
      </c>
      <c r="G1285" t="s">
        <v>722</v>
      </c>
      <c r="H1285" t="s">
        <v>723</v>
      </c>
      <c r="I1285" t="s">
        <v>724</v>
      </c>
      <c r="J1285" t="s">
        <v>725</v>
      </c>
      <c r="K1285" t="s">
        <v>726</v>
      </c>
      <c r="L1285" t="s">
        <v>727</v>
      </c>
      <c r="M1285" t="s">
        <v>728</v>
      </c>
      <c r="O1285" t="s">
        <v>729</v>
      </c>
      <c r="P1285" t="s">
        <v>730</v>
      </c>
      <c r="Q1285" t="s">
        <v>37</v>
      </c>
      <c r="R1285">
        <v>3</v>
      </c>
      <c r="S1285" t="s">
        <v>731</v>
      </c>
      <c r="T1285" t="s">
        <v>62</v>
      </c>
      <c r="U1285" t="s">
        <v>53</v>
      </c>
      <c r="V1285" t="s">
        <v>235</v>
      </c>
    </row>
    <row r="1286" spans="1:22" hidden="1" x14ac:dyDescent="0.2">
      <c r="A1286" t="s">
        <v>718</v>
      </c>
      <c r="B1286" t="s">
        <v>23</v>
      </c>
      <c r="C1286" t="s">
        <v>56</v>
      </c>
      <c r="D1286" t="s">
        <v>732</v>
      </c>
      <c r="E1286" t="s">
        <v>720</v>
      </c>
      <c r="F1286" t="s">
        <v>721</v>
      </c>
      <c r="G1286" t="s">
        <v>722</v>
      </c>
      <c r="H1286" t="s">
        <v>723</v>
      </c>
      <c r="I1286" t="s">
        <v>724</v>
      </c>
      <c r="J1286" t="s">
        <v>725</v>
      </c>
      <c r="K1286" t="s">
        <v>726</v>
      </c>
      <c r="L1286" t="s">
        <v>727</v>
      </c>
      <c r="M1286" t="s">
        <v>728</v>
      </c>
      <c r="O1286" t="s">
        <v>729</v>
      </c>
      <c r="P1286" t="s">
        <v>730</v>
      </c>
      <c r="Q1286" t="s">
        <v>37</v>
      </c>
      <c r="R1286">
        <v>3</v>
      </c>
      <c r="S1286" t="s">
        <v>731</v>
      </c>
      <c r="T1286" t="s">
        <v>62</v>
      </c>
      <c r="U1286" t="s">
        <v>53</v>
      </c>
      <c r="V1286" t="s">
        <v>508</v>
      </c>
    </row>
    <row r="1287" spans="1:22" hidden="1" x14ac:dyDescent="0.2">
      <c r="A1287" t="s">
        <v>718</v>
      </c>
      <c r="B1287" t="s">
        <v>23</v>
      </c>
      <c r="C1287" t="s">
        <v>56</v>
      </c>
      <c r="D1287" t="s">
        <v>732</v>
      </c>
      <c r="E1287" t="s">
        <v>720</v>
      </c>
      <c r="F1287" t="s">
        <v>721</v>
      </c>
      <c r="G1287" t="s">
        <v>722</v>
      </c>
      <c r="H1287" t="s">
        <v>723</v>
      </c>
      <c r="I1287" t="s">
        <v>724</v>
      </c>
      <c r="J1287" t="s">
        <v>725</v>
      </c>
      <c r="K1287" t="s">
        <v>726</v>
      </c>
      <c r="L1287" t="s">
        <v>727</v>
      </c>
      <c r="M1287" t="s">
        <v>728</v>
      </c>
      <c r="O1287" t="s">
        <v>729</v>
      </c>
      <c r="P1287" t="s">
        <v>730</v>
      </c>
      <c r="Q1287" t="s">
        <v>37</v>
      </c>
      <c r="R1287">
        <v>3</v>
      </c>
      <c r="S1287" t="s">
        <v>731</v>
      </c>
      <c r="T1287" t="s">
        <v>62</v>
      </c>
      <c r="U1287" t="s">
        <v>157</v>
      </c>
      <c r="V1287" t="s">
        <v>84</v>
      </c>
    </row>
    <row r="1288" spans="1:22" hidden="1" x14ac:dyDescent="0.2">
      <c r="A1288" t="s">
        <v>718</v>
      </c>
      <c r="B1288" t="s">
        <v>23</v>
      </c>
      <c r="C1288" t="s">
        <v>56</v>
      </c>
      <c r="D1288" t="s">
        <v>732</v>
      </c>
      <c r="E1288" t="s">
        <v>720</v>
      </c>
      <c r="F1288" t="s">
        <v>721</v>
      </c>
      <c r="G1288" t="s">
        <v>722</v>
      </c>
      <c r="H1288" t="s">
        <v>723</v>
      </c>
      <c r="I1288" t="s">
        <v>724</v>
      </c>
      <c r="J1288" t="s">
        <v>725</v>
      </c>
      <c r="K1288" t="s">
        <v>726</v>
      </c>
      <c r="L1288" t="s">
        <v>727</v>
      </c>
      <c r="M1288" t="s">
        <v>728</v>
      </c>
      <c r="O1288" t="s">
        <v>729</v>
      </c>
      <c r="P1288" t="s">
        <v>730</v>
      </c>
      <c r="Q1288" t="s">
        <v>37</v>
      </c>
      <c r="R1288">
        <v>3</v>
      </c>
      <c r="S1288" t="s">
        <v>731</v>
      </c>
      <c r="T1288" t="s">
        <v>62</v>
      </c>
      <c r="U1288" t="s">
        <v>157</v>
      </c>
      <c r="V1288" t="s">
        <v>43</v>
      </c>
    </row>
    <row r="1289" spans="1:22" hidden="1" x14ac:dyDescent="0.2">
      <c r="A1289" t="s">
        <v>718</v>
      </c>
      <c r="B1289" t="s">
        <v>23</v>
      </c>
      <c r="C1289" t="s">
        <v>56</v>
      </c>
      <c r="D1289" t="s">
        <v>732</v>
      </c>
      <c r="E1289" t="s">
        <v>720</v>
      </c>
      <c r="F1289" t="s">
        <v>721</v>
      </c>
      <c r="G1289" t="s">
        <v>722</v>
      </c>
      <c r="H1289" t="s">
        <v>723</v>
      </c>
      <c r="I1289" t="s">
        <v>724</v>
      </c>
      <c r="J1289" t="s">
        <v>725</v>
      </c>
      <c r="K1289" t="s">
        <v>726</v>
      </c>
      <c r="L1289" t="s">
        <v>727</v>
      </c>
      <c r="M1289" t="s">
        <v>728</v>
      </c>
      <c r="O1289" t="s">
        <v>729</v>
      </c>
      <c r="P1289" t="s">
        <v>730</v>
      </c>
      <c r="Q1289" t="s">
        <v>37</v>
      </c>
      <c r="R1289">
        <v>3</v>
      </c>
      <c r="S1289" t="s">
        <v>731</v>
      </c>
      <c r="T1289" t="s">
        <v>62</v>
      </c>
      <c r="U1289" t="s">
        <v>53</v>
      </c>
      <c r="V1289" t="s">
        <v>196</v>
      </c>
    </row>
    <row r="1290" spans="1:22" hidden="1" x14ac:dyDescent="0.2">
      <c r="A1290" t="s">
        <v>733</v>
      </c>
      <c r="B1290" t="s">
        <v>23</v>
      </c>
      <c r="C1290" t="s">
        <v>541</v>
      </c>
      <c r="D1290" t="s">
        <v>734</v>
      </c>
      <c r="E1290" t="s">
        <v>735</v>
      </c>
      <c r="F1290" t="s">
        <v>736</v>
      </c>
      <c r="G1290" t="s">
        <v>737</v>
      </c>
      <c r="H1290" t="s">
        <v>738</v>
      </c>
      <c r="I1290" t="s">
        <v>739</v>
      </c>
      <c r="J1290" t="s">
        <v>740</v>
      </c>
      <c r="K1290" t="s">
        <v>741</v>
      </c>
      <c r="L1290" t="s">
        <v>742</v>
      </c>
      <c r="M1290" t="s">
        <v>743</v>
      </c>
      <c r="O1290" t="s">
        <v>744</v>
      </c>
      <c r="T1290" t="s">
        <v>58</v>
      </c>
      <c r="U1290" t="s">
        <v>55</v>
      </c>
      <c r="V1290" t="s">
        <v>76</v>
      </c>
    </row>
    <row r="1291" spans="1:22" hidden="1" x14ac:dyDescent="0.2">
      <c r="A1291" t="s">
        <v>733</v>
      </c>
      <c r="B1291" t="s">
        <v>23</v>
      </c>
      <c r="C1291" t="s">
        <v>541</v>
      </c>
      <c r="D1291" t="s">
        <v>734</v>
      </c>
      <c r="E1291" t="s">
        <v>735</v>
      </c>
      <c r="F1291" t="s">
        <v>736</v>
      </c>
      <c r="G1291" t="s">
        <v>737</v>
      </c>
      <c r="H1291" t="s">
        <v>738</v>
      </c>
      <c r="I1291" t="s">
        <v>739</v>
      </c>
      <c r="J1291" t="s">
        <v>740</v>
      </c>
      <c r="K1291" t="s">
        <v>741</v>
      </c>
      <c r="L1291" t="s">
        <v>742</v>
      </c>
      <c r="M1291" t="s">
        <v>743</v>
      </c>
      <c r="O1291" t="s">
        <v>744</v>
      </c>
      <c r="T1291" t="s">
        <v>58</v>
      </c>
      <c r="U1291" t="s">
        <v>55</v>
      </c>
      <c r="V1291" t="s">
        <v>277</v>
      </c>
    </row>
    <row r="1292" spans="1:22" hidden="1" x14ac:dyDescent="0.2">
      <c r="A1292" t="s">
        <v>733</v>
      </c>
      <c r="B1292" t="s">
        <v>23</v>
      </c>
      <c r="C1292" t="s">
        <v>541</v>
      </c>
      <c r="D1292" t="s">
        <v>734</v>
      </c>
      <c r="E1292" t="s">
        <v>735</v>
      </c>
      <c r="F1292" t="s">
        <v>736</v>
      </c>
      <c r="G1292" t="s">
        <v>737</v>
      </c>
      <c r="H1292" t="s">
        <v>738</v>
      </c>
      <c r="I1292" t="s">
        <v>739</v>
      </c>
      <c r="J1292" t="s">
        <v>740</v>
      </c>
      <c r="K1292" t="s">
        <v>741</v>
      </c>
      <c r="L1292" t="s">
        <v>742</v>
      </c>
      <c r="M1292" t="s">
        <v>743</v>
      </c>
      <c r="O1292" t="s">
        <v>744</v>
      </c>
      <c r="T1292" t="s">
        <v>59</v>
      </c>
      <c r="U1292" t="s">
        <v>55</v>
      </c>
      <c r="V1292" t="s">
        <v>76</v>
      </c>
    </row>
    <row r="1293" spans="1:22" hidden="1" x14ac:dyDescent="0.2">
      <c r="A1293" t="s">
        <v>733</v>
      </c>
      <c r="B1293" t="s">
        <v>23</v>
      </c>
      <c r="C1293" t="s">
        <v>541</v>
      </c>
      <c r="D1293" t="s">
        <v>734</v>
      </c>
      <c r="E1293" t="s">
        <v>735</v>
      </c>
      <c r="F1293" t="s">
        <v>736</v>
      </c>
      <c r="G1293" t="s">
        <v>737</v>
      </c>
      <c r="H1293" t="s">
        <v>738</v>
      </c>
      <c r="I1293" t="s">
        <v>739</v>
      </c>
      <c r="J1293" t="s">
        <v>740</v>
      </c>
      <c r="K1293" t="s">
        <v>741</v>
      </c>
      <c r="L1293" t="s">
        <v>742</v>
      </c>
      <c r="M1293" t="s">
        <v>743</v>
      </c>
      <c r="O1293" t="s">
        <v>744</v>
      </c>
      <c r="T1293" t="s">
        <v>59</v>
      </c>
      <c r="U1293" t="s">
        <v>55</v>
      </c>
      <c r="V1293" t="s">
        <v>277</v>
      </c>
    </row>
    <row r="1294" spans="1:22" hidden="1" x14ac:dyDescent="0.2">
      <c r="A1294" t="s">
        <v>733</v>
      </c>
      <c r="B1294" t="s">
        <v>23</v>
      </c>
      <c r="C1294" t="s">
        <v>541</v>
      </c>
      <c r="D1294" t="s">
        <v>734</v>
      </c>
      <c r="E1294" t="s">
        <v>735</v>
      </c>
      <c r="F1294" t="s">
        <v>736</v>
      </c>
      <c r="G1294" t="s">
        <v>737</v>
      </c>
      <c r="H1294" t="s">
        <v>738</v>
      </c>
      <c r="I1294" t="s">
        <v>739</v>
      </c>
      <c r="J1294" t="s">
        <v>740</v>
      </c>
      <c r="K1294" t="s">
        <v>741</v>
      </c>
      <c r="L1294" t="s">
        <v>742</v>
      </c>
      <c r="M1294" t="s">
        <v>743</v>
      </c>
      <c r="O1294" t="s">
        <v>744</v>
      </c>
      <c r="T1294" t="s">
        <v>60</v>
      </c>
      <c r="U1294" t="s">
        <v>55</v>
      </c>
      <c r="V1294" t="s">
        <v>76</v>
      </c>
    </row>
    <row r="1295" spans="1:22" hidden="1" x14ac:dyDescent="0.2">
      <c r="A1295" t="s">
        <v>733</v>
      </c>
      <c r="B1295" t="s">
        <v>23</v>
      </c>
      <c r="C1295" t="s">
        <v>541</v>
      </c>
      <c r="D1295" t="s">
        <v>734</v>
      </c>
      <c r="E1295" t="s">
        <v>735</v>
      </c>
      <c r="F1295" t="s">
        <v>736</v>
      </c>
      <c r="G1295" t="s">
        <v>737</v>
      </c>
      <c r="H1295" t="s">
        <v>738</v>
      </c>
      <c r="I1295" t="s">
        <v>739</v>
      </c>
      <c r="J1295" t="s">
        <v>740</v>
      </c>
      <c r="K1295" t="s">
        <v>741</v>
      </c>
      <c r="L1295" t="s">
        <v>742</v>
      </c>
      <c r="M1295" t="s">
        <v>743</v>
      </c>
      <c r="O1295" t="s">
        <v>744</v>
      </c>
      <c r="T1295" t="s">
        <v>60</v>
      </c>
      <c r="U1295" t="s">
        <v>55</v>
      </c>
      <c r="V1295" t="s">
        <v>277</v>
      </c>
    </row>
    <row r="1296" spans="1:22" hidden="1" x14ac:dyDescent="0.2">
      <c r="A1296" t="s">
        <v>733</v>
      </c>
      <c r="B1296" t="s">
        <v>23</v>
      </c>
      <c r="C1296" t="s">
        <v>541</v>
      </c>
      <c r="D1296" t="s">
        <v>734</v>
      </c>
      <c r="E1296" t="s">
        <v>735</v>
      </c>
      <c r="F1296" t="s">
        <v>736</v>
      </c>
      <c r="G1296" t="s">
        <v>737</v>
      </c>
      <c r="H1296" t="s">
        <v>738</v>
      </c>
      <c r="I1296" t="s">
        <v>739</v>
      </c>
      <c r="J1296" t="s">
        <v>740</v>
      </c>
      <c r="K1296" t="s">
        <v>741</v>
      </c>
      <c r="L1296" t="s">
        <v>742</v>
      </c>
      <c r="M1296" t="s">
        <v>743</v>
      </c>
      <c r="O1296" t="s">
        <v>744</v>
      </c>
      <c r="T1296" t="s">
        <v>198</v>
      </c>
      <c r="U1296" t="s">
        <v>55</v>
      </c>
      <c r="V1296" t="s">
        <v>76</v>
      </c>
    </row>
    <row r="1297" spans="1:22" hidden="1" x14ac:dyDescent="0.2">
      <c r="A1297" t="s">
        <v>733</v>
      </c>
      <c r="B1297" t="s">
        <v>23</v>
      </c>
      <c r="C1297" t="s">
        <v>541</v>
      </c>
      <c r="D1297" t="s">
        <v>734</v>
      </c>
      <c r="E1297" t="s">
        <v>735</v>
      </c>
      <c r="F1297" t="s">
        <v>736</v>
      </c>
      <c r="G1297" t="s">
        <v>737</v>
      </c>
      <c r="H1297" t="s">
        <v>738</v>
      </c>
      <c r="I1297" t="s">
        <v>739</v>
      </c>
      <c r="J1297" t="s">
        <v>740</v>
      </c>
      <c r="K1297" t="s">
        <v>741</v>
      </c>
      <c r="L1297" t="s">
        <v>742</v>
      </c>
      <c r="M1297" t="s">
        <v>743</v>
      </c>
      <c r="O1297" t="s">
        <v>744</v>
      </c>
      <c r="T1297" t="s">
        <v>198</v>
      </c>
      <c r="U1297" t="s">
        <v>55</v>
      </c>
      <c r="V1297" t="s">
        <v>277</v>
      </c>
    </row>
    <row r="1298" spans="1:22" hidden="1" x14ac:dyDescent="0.2">
      <c r="A1298" t="s">
        <v>733</v>
      </c>
      <c r="B1298" t="s">
        <v>23</v>
      </c>
      <c r="C1298" t="s">
        <v>541</v>
      </c>
      <c r="D1298" t="s">
        <v>734</v>
      </c>
      <c r="E1298" t="s">
        <v>735</v>
      </c>
      <c r="F1298" t="s">
        <v>736</v>
      </c>
      <c r="G1298" t="s">
        <v>737</v>
      </c>
      <c r="H1298" t="s">
        <v>738</v>
      </c>
      <c r="I1298" t="s">
        <v>739</v>
      </c>
      <c r="J1298" t="s">
        <v>740</v>
      </c>
      <c r="K1298" t="s">
        <v>741</v>
      </c>
      <c r="L1298" t="s">
        <v>742</v>
      </c>
      <c r="M1298" t="s">
        <v>743</v>
      </c>
      <c r="O1298" t="s">
        <v>744</v>
      </c>
      <c r="T1298" t="s">
        <v>327</v>
      </c>
      <c r="U1298" t="s">
        <v>55</v>
      </c>
      <c r="V1298" t="s">
        <v>76</v>
      </c>
    </row>
    <row r="1299" spans="1:22" hidden="1" x14ac:dyDescent="0.2">
      <c r="A1299" t="s">
        <v>733</v>
      </c>
      <c r="B1299" t="s">
        <v>23</v>
      </c>
      <c r="C1299" t="s">
        <v>541</v>
      </c>
      <c r="D1299" t="s">
        <v>734</v>
      </c>
      <c r="E1299" t="s">
        <v>735</v>
      </c>
      <c r="F1299" t="s">
        <v>736</v>
      </c>
      <c r="G1299" t="s">
        <v>737</v>
      </c>
      <c r="H1299" t="s">
        <v>738</v>
      </c>
      <c r="I1299" t="s">
        <v>739</v>
      </c>
      <c r="J1299" t="s">
        <v>740</v>
      </c>
      <c r="K1299" t="s">
        <v>741</v>
      </c>
      <c r="L1299" t="s">
        <v>742</v>
      </c>
      <c r="M1299" t="s">
        <v>743</v>
      </c>
      <c r="O1299" t="s">
        <v>744</v>
      </c>
      <c r="T1299" t="s">
        <v>327</v>
      </c>
      <c r="U1299" t="s">
        <v>55</v>
      </c>
      <c r="V1299" t="s">
        <v>277</v>
      </c>
    </row>
    <row r="1300" spans="1:22" hidden="1" x14ac:dyDescent="0.2">
      <c r="A1300" t="s">
        <v>733</v>
      </c>
      <c r="B1300" t="s">
        <v>23</v>
      </c>
      <c r="C1300" t="s">
        <v>541</v>
      </c>
      <c r="D1300" t="s">
        <v>734</v>
      </c>
      <c r="E1300" t="s">
        <v>735</v>
      </c>
      <c r="F1300" t="s">
        <v>736</v>
      </c>
      <c r="G1300" t="s">
        <v>737</v>
      </c>
      <c r="H1300" t="s">
        <v>738</v>
      </c>
      <c r="I1300" t="s">
        <v>739</v>
      </c>
      <c r="J1300" t="s">
        <v>740</v>
      </c>
      <c r="K1300" t="s">
        <v>741</v>
      </c>
      <c r="L1300" t="s">
        <v>742</v>
      </c>
      <c r="M1300" t="s">
        <v>743</v>
      </c>
      <c r="O1300" t="s">
        <v>744</v>
      </c>
      <c r="T1300" t="s">
        <v>80</v>
      </c>
      <c r="U1300" t="s">
        <v>55</v>
      </c>
      <c r="V1300" t="s">
        <v>76</v>
      </c>
    </row>
    <row r="1301" spans="1:22" hidden="1" x14ac:dyDescent="0.2">
      <c r="A1301" t="s">
        <v>733</v>
      </c>
      <c r="B1301" t="s">
        <v>23</v>
      </c>
      <c r="C1301" t="s">
        <v>541</v>
      </c>
      <c r="D1301" t="s">
        <v>734</v>
      </c>
      <c r="E1301" t="s">
        <v>735</v>
      </c>
      <c r="F1301" t="s">
        <v>736</v>
      </c>
      <c r="G1301" t="s">
        <v>737</v>
      </c>
      <c r="H1301" t="s">
        <v>738</v>
      </c>
      <c r="I1301" t="s">
        <v>739</v>
      </c>
      <c r="J1301" t="s">
        <v>740</v>
      </c>
      <c r="K1301" t="s">
        <v>741</v>
      </c>
      <c r="L1301" t="s">
        <v>742</v>
      </c>
      <c r="M1301" t="s">
        <v>743</v>
      </c>
      <c r="O1301" t="s">
        <v>744</v>
      </c>
      <c r="T1301" t="s">
        <v>80</v>
      </c>
      <c r="U1301" t="s">
        <v>55</v>
      </c>
      <c r="V1301" t="s">
        <v>277</v>
      </c>
    </row>
    <row r="1302" spans="1:22" hidden="1" x14ac:dyDescent="0.2">
      <c r="A1302" t="s">
        <v>733</v>
      </c>
      <c r="B1302" t="s">
        <v>23</v>
      </c>
      <c r="C1302" t="s">
        <v>541</v>
      </c>
      <c r="D1302" t="s">
        <v>745</v>
      </c>
      <c r="E1302" t="s">
        <v>735</v>
      </c>
      <c r="F1302" t="s">
        <v>736</v>
      </c>
      <c r="G1302" t="s">
        <v>737</v>
      </c>
      <c r="H1302" t="s">
        <v>738</v>
      </c>
      <c r="I1302" t="s">
        <v>739</v>
      </c>
      <c r="J1302" t="s">
        <v>740</v>
      </c>
      <c r="K1302" t="s">
        <v>741</v>
      </c>
      <c r="L1302" t="s">
        <v>742</v>
      </c>
      <c r="M1302" t="s">
        <v>743</v>
      </c>
      <c r="O1302" t="s">
        <v>744</v>
      </c>
      <c r="T1302" t="s">
        <v>58</v>
      </c>
      <c r="U1302" t="s">
        <v>55</v>
      </c>
      <c r="V1302" t="s">
        <v>76</v>
      </c>
    </row>
    <row r="1303" spans="1:22" hidden="1" x14ac:dyDescent="0.2">
      <c r="A1303" t="s">
        <v>733</v>
      </c>
      <c r="B1303" t="s">
        <v>23</v>
      </c>
      <c r="C1303" t="s">
        <v>541</v>
      </c>
      <c r="D1303" t="s">
        <v>745</v>
      </c>
      <c r="E1303" t="s">
        <v>735</v>
      </c>
      <c r="F1303" t="s">
        <v>736</v>
      </c>
      <c r="G1303" t="s">
        <v>737</v>
      </c>
      <c r="H1303" t="s">
        <v>738</v>
      </c>
      <c r="I1303" t="s">
        <v>739</v>
      </c>
      <c r="J1303" t="s">
        <v>740</v>
      </c>
      <c r="K1303" t="s">
        <v>741</v>
      </c>
      <c r="L1303" t="s">
        <v>742</v>
      </c>
      <c r="M1303" t="s">
        <v>743</v>
      </c>
      <c r="O1303" t="s">
        <v>744</v>
      </c>
      <c r="T1303" t="s">
        <v>58</v>
      </c>
      <c r="U1303" t="s">
        <v>55</v>
      </c>
      <c r="V1303" t="s">
        <v>277</v>
      </c>
    </row>
    <row r="1304" spans="1:22" hidden="1" x14ac:dyDescent="0.2">
      <c r="A1304" t="s">
        <v>733</v>
      </c>
      <c r="B1304" t="s">
        <v>23</v>
      </c>
      <c r="C1304" t="s">
        <v>541</v>
      </c>
      <c r="D1304" t="s">
        <v>745</v>
      </c>
      <c r="E1304" t="s">
        <v>735</v>
      </c>
      <c r="F1304" t="s">
        <v>736</v>
      </c>
      <c r="G1304" t="s">
        <v>737</v>
      </c>
      <c r="H1304" t="s">
        <v>738</v>
      </c>
      <c r="I1304" t="s">
        <v>739</v>
      </c>
      <c r="J1304" t="s">
        <v>740</v>
      </c>
      <c r="K1304" t="s">
        <v>741</v>
      </c>
      <c r="L1304" t="s">
        <v>742</v>
      </c>
      <c r="M1304" t="s">
        <v>743</v>
      </c>
      <c r="O1304" t="s">
        <v>744</v>
      </c>
      <c r="T1304" t="s">
        <v>59</v>
      </c>
      <c r="U1304" t="s">
        <v>55</v>
      </c>
      <c r="V1304" t="s">
        <v>76</v>
      </c>
    </row>
    <row r="1305" spans="1:22" hidden="1" x14ac:dyDescent="0.2">
      <c r="A1305" t="s">
        <v>733</v>
      </c>
      <c r="B1305" t="s">
        <v>23</v>
      </c>
      <c r="C1305" t="s">
        <v>541</v>
      </c>
      <c r="D1305" t="s">
        <v>745</v>
      </c>
      <c r="E1305" t="s">
        <v>735</v>
      </c>
      <c r="F1305" t="s">
        <v>736</v>
      </c>
      <c r="G1305" t="s">
        <v>737</v>
      </c>
      <c r="H1305" t="s">
        <v>738</v>
      </c>
      <c r="I1305" t="s">
        <v>739</v>
      </c>
      <c r="J1305" t="s">
        <v>740</v>
      </c>
      <c r="K1305" t="s">
        <v>741</v>
      </c>
      <c r="L1305" t="s">
        <v>742</v>
      </c>
      <c r="M1305" t="s">
        <v>743</v>
      </c>
      <c r="O1305" t="s">
        <v>744</v>
      </c>
      <c r="T1305" t="s">
        <v>59</v>
      </c>
      <c r="U1305" t="s">
        <v>55</v>
      </c>
      <c r="V1305" t="s">
        <v>277</v>
      </c>
    </row>
    <row r="1306" spans="1:22" hidden="1" x14ac:dyDescent="0.2">
      <c r="A1306" t="s">
        <v>733</v>
      </c>
      <c r="B1306" t="s">
        <v>23</v>
      </c>
      <c r="C1306" t="s">
        <v>541</v>
      </c>
      <c r="D1306" t="s">
        <v>745</v>
      </c>
      <c r="E1306" t="s">
        <v>735</v>
      </c>
      <c r="F1306" t="s">
        <v>736</v>
      </c>
      <c r="G1306" t="s">
        <v>737</v>
      </c>
      <c r="H1306" t="s">
        <v>738</v>
      </c>
      <c r="I1306" t="s">
        <v>739</v>
      </c>
      <c r="J1306" t="s">
        <v>740</v>
      </c>
      <c r="K1306" t="s">
        <v>741</v>
      </c>
      <c r="L1306" t="s">
        <v>742</v>
      </c>
      <c r="M1306" t="s">
        <v>743</v>
      </c>
      <c r="O1306" t="s">
        <v>744</v>
      </c>
      <c r="T1306" t="s">
        <v>60</v>
      </c>
      <c r="U1306" t="s">
        <v>55</v>
      </c>
      <c r="V1306" t="s">
        <v>76</v>
      </c>
    </row>
    <row r="1307" spans="1:22" hidden="1" x14ac:dyDescent="0.2">
      <c r="A1307" t="s">
        <v>733</v>
      </c>
      <c r="B1307" t="s">
        <v>23</v>
      </c>
      <c r="C1307" t="s">
        <v>541</v>
      </c>
      <c r="D1307" t="s">
        <v>745</v>
      </c>
      <c r="E1307" t="s">
        <v>735</v>
      </c>
      <c r="F1307" t="s">
        <v>736</v>
      </c>
      <c r="G1307" t="s">
        <v>737</v>
      </c>
      <c r="H1307" t="s">
        <v>738</v>
      </c>
      <c r="I1307" t="s">
        <v>739</v>
      </c>
      <c r="J1307" t="s">
        <v>740</v>
      </c>
      <c r="K1307" t="s">
        <v>741</v>
      </c>
      <c r="L1307" t="s">
        <v>742</v>
      </c>
      <c r="M1307" t="s">
        <v>743</v>
      </c>
      <c r="O1307" t="s">
        <v>744</v>
      </c>
      <c r="T1307" t="s">
        <v>60</v>
      </c>
      <c r="U1307" t="s">
        <v>55</v>
      </c>
      <c r="V1307" t="s">
        <v>277</v>
      </c>
    </row>
    <row r="1308" spans="1:22" hidden="1" x14ac:dyDescent="0.2">
      <c r="A1308" t="s">
        <v>733</v>
      </c>
      <c r="B1308" t="s">
        <v>23</v>
      </c>
      <c r="C1308" t="s">
        <v>541</v>
      </c>
      <c r="D1308" t="s">
        <v>745</v>
      </c>
      <c r="E1308" t="s">
        <v>735</v>
      </c>
      <c r="F1308" t="s">
        <v>736</v>
      </c>
      <c r="G1308" t="s">
        <v>737</v>
      </c>
      <c r="H1308" t="s">
        <v>738</v>
      </c>
      <c r="I1308" t="s">
        <v>739</v>
      </c>
      <c r="J1308" t="s">
        <v>740</v>
      </c>
      <c r="K1308" t="s">
        <v>741</v>
      </c>
      <c r="L1308" t="s">
        <v>742</v>
      </c>
      <c r="M1308" t="s">
        <v>743</v>
      </c>
      <c r="O1308" t="s">
        <v>744</v>
      </c>
      <c r="T1308" t="s">
        <v>198</v>
      </c>
      <c r="U1308" t="s">
        <v>55</v>
      </c>
      <c r="V1308" t="s">
        <v>76</v>
      </c>
    </row>
    <row r="1309" spans="1:22" hidden="1" x14ac:dyDescent="0.2">
      <c r="A1309" t="s">
        <v>733</v>
      </c>
      <c r="B1309" t="s">
        <v>23</v>
      </c>
      <c r="C1309" t="s">
        <v>541</v>
      </c>
      <c r="D1309" t="s">
        <v>745</v>
      </c>
      <c r="E1309" t="s">
        <v>735</v>
      </c>
      <c r="F1309" t="s">
        <v>736</v>
      </c>
      <c r="G1309" t="s">
        <v>737</v>
      </c>
      <c r="H1309" t="s">
        <v>738</v>
      </c>
      <c r="I1309" t="s">
        <v>739</v>
      </c>
      <c r="J1309" t="s">
        <v>740</v>
      </c>
      <c r="K1309" t="s">
        <v>741</v>
      </c>
      <c r="L1309" t="s">
        <v>742</v>
      </c>
      <c r="M1309" t="s">
        <v>743</v>
      </c>
      <c r="O1309" t="s">
        <v>744</v>
      </c>
      <c r="T1309" t="s">
        <v>198</v>
      </c>
      <c r="U1309" t="s">
        <v>55</v>
      </c>
      <c r="V1309" t="s">
        <v>277</v>
      </c>
    </row>
    <row r="1310" spans="1:22" hidden="1" x14ac:dyDescent="0.2">
      <c r="A1310" t="s">
        <v>733</v>
      </c>
      <c r="B1310" t="s">
        <v>23</v>
      </c>
      <c r="C1310" t="s">
        <v>541</v>
      </c>
      <c r="D1310" t="s">
        <v>745</v>
      </c>
      <c r="E1310" t="s">
        <v>735</v>
      </c>
      <c r="F1310" t="s">
        <v>736</v>
      </c>
      <c r="G1310" t="s">
        <v>737</v>
      </c>
      <c r="H1310" t="s">
        <v>738</v>
      </c>
      <c r="I1310" t="s">
        <v>739</v>
      </c>
      <c r="J1310" t="s">
        <v>740</v>
      </c>
      <c r="K1310" t="s">
        <v>741</v>
      </c>
      <c r="L1310" t="s">
        <v>742</v>
      </c>
      <c r="M1310" t="s">
        <v>743</v>
      </c>
      <c r="O1310" t="s">
        <v>744</v>
      </c>
      <c r="T1310" t="s">
        <v>327</v>
      </c>
      <c r="U1310" t="s">
        <v>55</v>
      </c>
      <c r="V1310" t="s">
        <v>76</v>
      </c>
    </row>
    <row r="1311" spans="1:22" hidden="1" x14ac:dyDescent="0.2">
      <c r="A1311" t="s">
        <v>733</v>
      </c>
      <c r="B1311" t="s">
        <v>23</v>
      </c>
      <c r="C1311" t="s">
        <v>541</v>
      </c>
      <c r="D1311" t="s">
        <v>745</v>
      </c>
      <c r="E1311" t="s">
        <v>735</v>
      </c>
      <c r="F1311" t="s">
        <v>736</v>
      </c>
      <c r="G1311" t="s">
        <v>737</v>
      </c>
      <c r="H1311" t="s">
        <v>738</v>
      </c>
      <c r="I1311" t="s">
        <v>739</v>
      </c>
      <c r="J1311" t="s">
        <v>740</v>
      </c>
      <c r="K1311" t="s">
        <v>741</v>
      </c>
      <c r="L1311" t="s">
        <v>742</v>
      </c>
      <c r="M1311" t="s">
        <v>743</v>
      </c>
      <c r="O1311" t="s">
        <v>744</v>
      </c>
      <c r="T1311" t="s">
        <v>327</v>
      </c>
      <c r="U1311" t="s">
        <v>55</v>
      </c>
      <c r="V1311" t="s">
        <v>277</v>
      </c>
    </row>
    <row r="1312" spans="1:22" hidden="1" x14ac:dyDescent="0.2">
      <c r="A1312" t="s">
        <v>733</v>
      </c>
      <c r="B1312" t="s">
        <v>23</v>
      </c>
      <c r="C1312" t="s">
        <v>541</v>
      </c>
      <c r="D1312" t="s">
        <v>745</v>
      </c>
      <c r="E1312" t="s">
        <v>735</v>
      </c>
      <c r="F1312" t="s">
        <v>736</v>
      </c>
      <c r="G1312" t="s">
        <v>737</v>
      </c>
      <c r="H1312" t="s">
        <v>738</v>
      </c>
      <c r="I1312" t="s">
        <v>739</v>
      </c>
      <c r="J1312" t="s">
        <v>740</v>
      </c>
      <c r="K1312" t="s">
        <v>741</v>
      </c>
      <c r="L1312" t="s">
        <v>742</v>
      </c>
      <c r="M1312" t="s">
        <v>743</v>
      </c>
      <c r="O1312" t="s">
        <v>744</v>
      </c>
      <c r="T1312" t="s">
        <v>80</v>
      </c>
      <c r="U1312" t="s">
        <v>55</v>
      </c>
      <c r="V1312" t="s">
        <v>76</v>
      </c>
    </row>
    <row r="1313" spans="1:22" hidden="1" x14ac:dyDescent="0.2">
      <c r="A1313" t="s">
        <v>733</v>
      </c>
      <c r="B1313" t="s">
        <v>23</v>
      </c>
      <c r="C1313" t="s">
        <v>541</v>
      </c>
      <c r="D1313" t="s">
        <v>745</v>
      </c>
      <c r="E1313" t="s">
        <v>735</v>
      </c>
      <c r="F1313" t="s">
        <v>736</v>
      </c>
      <c r="G1313" t="s">
        <v>737</v>
      </c>
      <c r="H1313" t="s">
        <v>738</v>
      </c>
      <c r="I1313" t="s">
        <v>739</v>
      </c>
      <c r="J1313" t="s">
        <v>740</v>
      </c>
      <c r="K1313" t="s">
        <v>741</v>
      </c>
      <c r="L1313" t="s">
        <v>742</v>
      </c>
      <c r="M1313" t="s">
        <v>743</v>
      </c>
      <c r="O1313" t="s">
        <v>744</v>
      </c>
      <c r="T1313" t="s">
        <v>80</v>
      </c>
      <c r="U1313" t="s">
        <v>55</v>
      </c>
      <c r="V1313" t="s">
        <v>277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A7724-7D32-C04C-B60F-D6AC1E1D450A}">
  <dimension ref="A3:AG70"/>
  <sheetViews>
    <sheetView topLeftCell="A2" workbookViewId="0">
      <selection activeCell="B68" sqref="B6:B68"/>
    </sheetView>
  </sheetViews>
  <sheetFormatPr baseColWidth="10" defaultColWidth="65.83203125" defaultRowHeight="15" x14ac:dyDescent="0.2"/>
  <cols>
    <col min="1" max="6" width="35.83203125" style="4" customWidth="1"/>
    <col min="7" max="7" width="5.1640625" style="4" bestFit="1" customWidth="1"/>
    <col min="8" max="15" width="10.83203125" style="4" customWidth="1"/>
    <col min="16" max="16" width="14.33203125" style="4" customWidth="1"/>
    <col min="17" max="33" width="10.83203125" style="4" customWidth="1"/>
    <col min="34" max="16384" width="65.83203125" style="4"/>
  </cols>
  <sheetData>
    <row r="3" spans="1:33" x14ac:dyDescent="0.2">
      <c r="M3"/>
      <c r="N3"/>
      <c r="O3"/>
      <c r="P3"/>
      <c r="Q3"/>
      <c r="R3"/>
      <c r="S3"/>
      <c r="T3"/>
      <c r="U3"/>
      <c r="V3"/>
      <c r="W3"/>
      <c r="X3"/>
      <c r="Y3"/>
      <c r="Z3"/>
      <c r="AA3"/>
      <c r="AB3"/>
      <c r="AC3"/>
      <c r="AD3"/>
      <c r="AE3"/>
      <c r="AF3"/>
      <c r="AG3"/>
    </row>
    <row r="4" spans="1:33" ht="16" x14ac:dyDescent="0.2">
      <c r="A4" s="3" t="s">
        <v>0</v>
      </c>
      <c r="B4" s="3" t="s">
        <v>2</v>
      </c>
      <c r="C4" s="3" t="s">
        <v>4</v>
      </c>
      <c r="D4" s="3" t="s">
        <v>5</v>
      </c>
      <c r="E4" s="3" t="s">
        <v>7</v>
      </c>
      <c r="F4" s="3" t="s">
        <v>8</v>
      </c>
      <c r="M4"/>
      <c r="N4"/>
      <c r="O4"/>
      <c r="P4"/>
      <c r="Q4"/>
      <c r="R4"/>
      <c r="S4"/>
      <c r="T4"/>
      <c r="U4"/>
      <c r="V4"/>
      <c r="W4"/>
      <c r="X4"/>
      <c r="Y4"/>
      <c r="Z4"/>
      <c r="AA4"/>
      <c r="AB4"/>
      <c r="AC4"/>
      <c r="AD4"/>
      <c r="AE4"/>
      <c r="AF4"/>
      <c r="AG4"/>
    </row>
    <row r="5" spans="1:33" ht="16" x14ac:dyDescent="0.2">
      <c r="A5" s="4" t="s">
        <v>96</v>
      </c>
      <c r="M5"/>
      <c r="N5"/>
      <c r="O5"/>
      <c r="P5"/>
      <c r="Q5"/>
      <c r="R5"/>
      <c r="S5"/>
      <c r="T5"/>
      <c r="U5"/>
      <c r="V5"/>
      <c r="W5"/>
      <c r="X5"/>
      <c r="Y5"/>
      <c r="Z5"/>
      <c r="AA5"/>
      <c r="AB5"/>
      <c r="AC5"/>
      <c r="AD5"/>
      <c r="AE5"/>
      <c r="AF5"/>
      <c r="AG5"/>
    </row>
    <row r="6" spans="1:33" ht="144" x14ac:dyDescent="0.2">
      <c r="A6" s="4" t="s">
        <v>463</v>
      </c>
      <c r="B6" s="4" t="s">
        <v>311</v>
      </c>
      <c r="C6" s="4" t="s">
        <v>464</v>
      </c>
      <c r="D6" s="4" t="s">
        <v>465</v>
      </c>
      <c r="E6" s="4" t="s">
        <v>467</v>
      </c>
      <c r="F6" s="4" t="s">
        <v>468</v>
      </c>
      <c r="M6"/>
      <c r="N6"/>
      <c r="O6"/>
      <c r="P6"/>
      <c r="Q6"/>
      <c r="R6"/>
      <c r="S6"/>
      <c r="T6"/>
      <c r="U6"/>
      <c r="V6"/>
      <c r="W6"/>
      <c r="X6"/>
      <c r="Y6"/>
      <c r="Z6"/>
      <c r="AA6"/>
      <c r="AB6"/>
      <c r="AC6"/>
      <c r="AD6"/>
      <c r="AE6"/>
      <c r="AF6"/>
      <c r="AG6"/>
    </row>
    <row r="7" spans="1:33" ht="208" x14ac:dyDescent="0.2">
      <c r="A7" s="4" t="s">
        <v>302</v>
      </c>
      <c r="B7" s="4" t="s">
        <v>303</v>
      </c>
      <c r="C7" s="4" t="s">
        <v>304</v>
      </c>
      <c r="D7" s="4" t="s">
        <v>305</v>
      </c>
      <c r="E7" s="4" t="s">
        <v>306</v>
      </c>
      <c r="F7" s="4" t="s">
        <v>307</v>
      </c>
      <c r="M7"/>
      <c r="N7"/>
      <c r="O7"/>
      <c r="P7"/>
      <c r="Q7"/>
      <c r="R7"/>
      <c r="S7"/>
      <c r="T7"/>
      <c r="U7"/>
      <c r="V7"/>
      <c r="W7"/>
      <c r="X7"/>
      <c r="Y7"/>
      <c r="Z7"/>
      <c r="AA7"/>
      <c r="AB7"/>
      <c r="AC7"/>
      <c r="AD7"/>
      <c r="AE7"/>
      <c r="AF7"/>
      <c r="AG7"/>
    </row>
    <row r="8" spans="1:33" ht="96" x14ac:dyDescent="0.2">
      <c r="A8" s="4" t="s">
        <v>378</v>
      </c>
      <c r="B8" s="4" t="s">
        <v>113</v>
      </c>
      <c r="C8" s="4" t="s">
        <v>379</v>
      </c>
      <c r="D8" s="4" t="s">
        <v>380</v>
      </c>
      <c r="E8" s="4" t="s">
        <v>381</v>
      </c>
      <c r="F8" s="4" t="s">
        <v>382</v>
      </c>
      <c r="M8"/>
      <c r="N8"/>
      <c r="O8"/>
      <c r="P8"/>
      <c r="Q8"/>
      <c r="R8"/>
      <c r="S8"/>
      <c r="T8"/>
      <c r="U8"/>
      <c r="V8"/>
      <c r="W8"/>
      <c r="X8"/>
      <c r="Y8"/>
      <c r="Z8"/>
      <c r="AA8"/>
      <c r="AB8"/>
      <c r="AC8"/>
      <c r="AD8"/>
      <c r="AE8"/>
      <c r="AF8"/>
      <c r="AG8"/>
    </row>
    <row r="9" spans="1:33" ht="112" x14ac:dyDescent="0.2">
      <c r="A9" s="4" t="s">
        <v>354</v>
      </c>
      <c r="B9" s="4" t="s">
        <v>352</v>
      </c>
      <c r="C9" s="4" t="s">
        <v>355</v>
      </c>
      <c r="D9" s="4" t="s">
        <v>356</v>
      </c>
      <c r="E9" s="4" t="s">
        <v>358</v>
      </c>
      <c r="F9" s="4" t="s">
        <v>359</v>
      </c>
      <c r="M9"/>
      <c r="N9"/>
      <c r="O9"/>
      <c r="P9"/>
      <c r="Q9"/>
      <c r="R9"/>
      <c r="S9"/>
      <c r="T9"/>
      <c r="U9"/>
      <c r="V9"/>
      <c r="W9"/>
      <c r="X9"/>
      <c r="Y9"/>
      <c r="Z9"/>
      <c r="AA9"/>
      <c r="AB9"/>
      <c r="AC9"/>
      <c r="AD9"/>
      <c r="AE9"/>
      <c r="AF9"/>
      <c r="AG9"/>
    </row>
    <row r="10" spans="1:33" ht="96" x14ac:dyDescent="0.2">
      <c r="A10" s="4" t="s">
        <v>454</v>
      </c>
      <c r="B10" s="4" t="s">
        <v>455</v>
      </c>
      <c r="C10" s="4" t="s">
        <v>457</v>
      </c>
      <c r="D10" s="4" t="s">
        <v>458</v>
      </c>
      <c r="E10" s="4" t="s">
        <v>459</v>
      </c>
      <c r="F10" s="4" t="s">
        <v>460</v>
      </c>
      <c r="M10"/>
      <c r="N10"/>
      <c r="O10"/>
      <c r="P10"/>
      <c r="Q10"/>
      <c r="R10"/>
      <c r="S10"/>
      <c r="T10"/>
      <c r="U10"/>
      <c r="V10"/>
      <c r="W10"/>
      <c r="X10"/>
      <c r="Y10"/>
      <c r="Z10"/>
      <c r="AA10"/>
      <c r="AB10"/>
      <c r="AC10"/>
      <c r="AD10"/>
      <c r="AE10"/>
      <c r="AF10"/>
      <c r="AG10"/>
    </row>
    <row r="11" spans="1:33" ht="112" x14ac:dyDescent="0.2">
      <c r="A11" s="4" t="s">
        <v>551</v>
      </c>
      <c r="B11" s="4" t="s">
        <v>195</v>
      </c>
      <c r="C11" s="4" t="s">
        <v>552</v>
      </c>
      <c r="D11" s="4" t="s">
        <v>553</v>
      </c>
      <c r="E11" s="4" t="s">
        <v>555</v>
      </c>
      <c r="M11"/>
      <c r="N11"/>
      <c r="O11"/>
      <c r="P11"/>
      <c r="Q11"/>
      <c r="R11"/>
      <c r="S11"/>
      <c r="T11"/>
      <c r="U11"/>
      <c r="V11"/>
      <c r="W11"/>
      <c r="X11"/>
      <c r="Y11"/>
      <c r="Z11"/>
      <c r="AA11"/>
      <c r="AB11"/>
      <c r="AC11"/>
      <c r="AD11"/>
      <c r="AE11"/>
      <c r="AF11"/>
      <c r="AG11"/>
    </row>
    <row r="12" spans="1:33" ht="64" x14ac:dyDescent="0.2">
      <c r="A12" s="4" t="s">
        <v>437</v>
      </c>
      <c r="B12" s="4" t="s">
        <v>325</v>
      </c>
      <c r="C12" s="4" t="s">
        <v>439</v>
      </c>
      <c r="D12" s="4" t="s">
        <v>440</v>
      </c>
      <c r="F12" s="4" t="s">
        <v>442</v>
      </c>
      <c r="M12"/>
      <c r="N12"/>
      <c r="O12"/>
      <c r="P12"/>
      <c r="Q12"/>
      <c r="R12"/>
      <c r="S12"/>
      <c r="T12"/>
      <c r="U12"/>
      <c r="V12"/>
      <c r="W12"/>
      <c r="X12"/>
      <c r="Y12"/>
      <c r="Z12"/>
      <c r="AA12"/>
      <c r="AB12"/>
      <c r="AC12"/>
      <c r="AD12"/>
      <c r="AE12"/>
      <c r="AF12"/>
      <c r="AG12"/>
    </row>
    <row r="13" spans="1:33" ht="112" x14ac:dyDescent="0.2">
      <c r="A13" s="4" t="s">
        <v>625</v>
      </c>
      <c r="B13" s="4" t="s">
        <v>396</v>
      </c>
      <c r="C13" s="4" t="s">
        <v>626</v>
      </c>
      <c r="D13" s="4" t="s">
        <v>627</v>
      </c>
      <c r="E13" s="4" t="s">
        <v>628</v>
      </c>
      <c r="F13" s="4" t="s">
        <v>629</v>
      </c>
      <c r="M13"/>
      <c r="N13"/>
      <c r="O13"/>
      <c r="P13"/>
      <c r="Q13"/>
      <c r="R13"/>
      <c r="S13"/>
      <c r="T13"/>
      <c r="U13"/>
      <c r="V13"/>
      <c r="W13"/>
      <c r="X13"/>
      <c r="Y13"/>
      <c r="Z13"/>
      <c r="AA13"/>
      <c r="AB13"/>
      <c r="AC13"/>
      <c r="AD13"/>
      <c r="AE13"/>
      <c r="AF13"/>
      <c r="AG13"/>
    </row>
    <row r="14" spans="1:33" ht="64" x14ac:dyDescent="0.2">
      <c r="A14" s="4" t="s">
        <v>471</v>
      </c>
      <c r="B14" s="4" t="s">
        <v>472</v>
      </c>
      <c r="C14" s="4" t="s">
        <v>473</v>
      </c>
      <c r="E14" s="4" t="s">
        <v>474</v>
      </c>
      <c r="M14"/>
      <c r="N14"/>
      <c r="O14"/>
      <c r="P14"/>
      <c r="Q14"/>
      <c r="R14"/>
      <c r="S14"/>
      <c r="T14"/>
      <c r="U14"/>
      <c r="V14"/>
      <c r="W14"/>
      <c r="X14"/>
      <c r="Y14"/>
      <c r="Z14"/>
      <c r="AA14"/>
      <c r="AB14"/>
      <c r="AC14"/>
      <c r="AD14"/>
      <c r="AE14"/>
      <c r="AF14"/>
      <c r="AG14"/>
    </row>
    <row r="15" spans="1:33" ht="144" x14ac:dyDescent="0.2">
      <c r="A15" s="4" t="s">
        <v>507</v>
      </c>
      <c r="B15" s="4" t="s">
        <v>508</v>
      </c>
      <c r="C15" s="4" t="s">
        <v>510</v>
      </c>
      <c r="D15" s="4" t="s">
        <v>511</v>
      </c>
      <c r="E15" s="4" t="s">
        <v>513</v>
      </c>
      <c r="F15" s="4" t="s">
        <v>514</v>
      </c>
      <c r="M15"/>
      <c r="N15"/>
      <c r="O15"/>
      <c r="P15"/>
      <c r="Q15"/>
      <c r="R15"/>
      <c r="S15"/>
      <c r="T15"/>
      <c r="U15"/>
      <c r="V15"/>
      <c r="W15"/>
      <c r="X15"/>
      <c r="Y15"/>
      <c r="Z15"/>
      <c r="AA15"/>
      <c r="AB15"/>
      <c r="AC15"/>
      <c r="AD15"/>
      <c r="AE15"/>
      <c r="AF15"/>
      <c r="AG15"/>
    </row>
    <row r="16" spans="1:33" ht="96" x14ac:dyDescent="0.2">
      <c r="A16" s="4" t="s">
        <v>182</v>
      </c>
      <c r="B16" s="4" t="s">
        <v>183</v>
      </c>
      <c r="C16" s="4" t="s">
        <v>185</v>
      </c>
      <c r="D16" s="4" t="s">
        <v>186</v>
      </c>
      <c r="E16" s="4" t="s">
        <v>188</v>
      </c>
      <c r="F16" s="4" t="s">
        <v>189</v>
      </c>
      <c r="M16"/>
      <c r="N16"/>
      <c r="O16"/>
      <c r="P16"/>
      <c r="Q16"/>
      <c r="R16"/>
      <c r="S16"/>
      <c r="T16"/>
      <c r="U16"/>
      <c r="V16"/>
      <c r="W16"/>
      <c r="X16"/>
      <c r="Y16"/>
      <c r="Z16"/>
      <c r="AA16"/>
      <c r="AB16"/>
      <c r="AC16"/>
      <c r="AD16"/>
      <c r="AE16"/>
      <c r="AF16"/>
      <c r="AG16"/>
    </row>
    <row r="17" spans="1:33" ht="144" x14ac:dyDescent="0.2">
      <c r="A17" s="4" t="s">
        <v>209</v>
      </c>
      <c r="B17" s="4" t="s">
        <v>210</v>
      </c>
      <c r="C17" s="4" t="s">
        <v>211</v>
      </c>
      <c r="D17" s="4" t="s">
        <v>212</v>
      </c>
      <c r="E17" s="4" t="s">
        <v>213</v>
      </c>
      <c r="F17" s="4" t="s">
        <v>214</v>
      </c>
      <c r="M17"/>
      <c r="N17"/>
      <c r="O17"/>
      <c r="P17"/>
      <c r="Q17"/>
      <c r="R17"/>
      <c r="S17"/>
      <c r="T17"/>
      <c r="U17"/>
      <c r="V17"/>
      <c r="W17"/>
      <c r="X17"/>
      <c r="Y17"/>
      <c r="Z17"/>
      <c r="AA17"/>
      <c r="AB17"/>
      <c r="AC17"/>
      <c r="AD17"/>
      <c r="AE17"/>
      <c r="AF17"/>
      <c r="AG17"/>
    </row>
    <row r="18" spans="1:33" ht="96" x14ac:dyDescent="0.2">
      <c r="A18" s="4" t="s">
        <v>733</v>
      </c>
      <c r="B18" s="4" t="s">
        <v>541</v>
      </c>
      <c r="C18" s="4" t="s">
        <v>735</v>
      </c>
      <c r="D18" s="4" t="s">
        <v>736</v>
      </c>
      <c r="E18" s="4" t="s">
        <v>738</v>
      </c>
      <c r="F18" s="4" t="s">
        <v>739</v>
      </c>
      <c r="M18"/>
      <c r="N18"/>
      <c r="O18"/>
      <c r="P18"/>
      <c r="Q18"/>
      <c r="R18"/>
      <c r="S18"/>
      <c r="T18"/>
      <c r="U18"/>
      <c r="V18"/>
      <c r="W18"/>
      <c r="X18"/>
      <c r="Y18"/>
      <c r="Z18"/>
      <c r="AA18"/>
      <c r="AB18"/>
      <c r="AC18"/>
      <c r="AD18"/>
      <c r="AE18"/>
      <c r="AF18"/>
      <c r="AG18"/>
    </row>
    <row r="19" spans="1:33" ht="48" x14ac:dyDescent="0.2">
      <c r="A19" s="4" t="s">
        <v>643</v>
      </c>
      <c r="B19" s="4" t="s">
        <v>644</v>
      </c>
      <c r="C19" s="4" t="s">
        <v>645</v>
      </c>
      <c r="E19" s="4" t="s">
        <v>646</v>
      </c>
      <c r="M19"/>
      <c r="N19"/>
      <c r="O19"/>
      <c r="P19"/>
      <c r="Q19"/>
      <c r="R19"/>
      <c r="S19"/>
      <c r="T19"/>
      <c r="U19"/>
      <c r="V19"/>
      <c r="W19"/>
      <c r="X19"/>
      <c r="Y19"/>
      <c r="Z19"/>
      <c r="AA19"/>
      <c r="AB19"/>
      <c r="AC19"/>
      <c r="AD19"/>
      <c r="AE19"/>
      <c r="AF19"/>
      <c r="AG19"/>
    </row>
    <row r="20" spans="1:33" ht="112" x14ac:dyDescent="0.2">
      <c r="A20" s="4" t="s">
        <v>22</v>
      </c>
      <c r="B20" s="4" t="s">
        <v>24</v>
      </c>
      <c r="C20" s="4" t="s">
        <v>26</v>
      </c>
      <c r="D20" s="4" t="s">
        <v>27</v>
      </c>
      <c r="E20" s="4" t="s">
        <v>29</v>
      </c>
      <c r="F20" s="4" t="s">
        <v>30</v>
      </c>
      <c r="M20"/>
      <c r="N20"/>
      <c r="O20"/>
      <c r="P20"/>
      <c r="Q20"/>
      <c r="R20"/>
      <c r="S20"/>
      <c r="T20"/>
      <c r="U20"/>
      <c r="V20"/>
      <c r="W20"/>
      <c r="X20"/>
      <c r="Y20"/>
      <c r="Z20"/>
      <c r="AA20"/>
      <c r="AB20"/>
      <c r="AC20"/>
      <c r="AD20"/>
      <c r="AE20"/>
      <c r="AF20"/>
      <c r="AG20"/>
    </row>
    <row r="21" spans="1:33" ht="192" x14ac:dyDescent="0.2">
      <c r="A21" s="4" t="s">
        <v>163</v>
      </c>
      <c r="B21" s="4" t="s">
        <v>164</v>
      </c>
      <c r="C21" s="4" t="s">
        <v>166</v>
      </c>
      <c r="D21" s="4" t="s">
        <v>167</v>
      </c>
      <c r="E21" s="4" t="s">
        <v>169</v>
      </c>
      <c r="F21" s="4" t="s">
        <v>170</v>
      </c>
      <c r="M21"/>
      <c r="N21"/>
      <c r="O21"/>
      <c r="P21"/>
      <c r="Q21"/>
      <c r="R21"/>
      <c r="S21"/>
      <c r="T21"/>
      <c r="U21"/>
      <c r="V21"/>
      <c r="W21"/>
      <c r="X21"/>
      <c r="Y21"/>
      <c r="Z21"/>
      <c r="AA21"/>
      <c r="AB21"/>
      <c r="AC21"/>
      <c r="AD21"/>
      <c r="AE21"/>
      <c r="AF21"/>
      <c r="AG21"/>
    </row>
    <row r="22" spans="1:33" ht="80" x14ac:dyDescent="0.2">
      <c r="A22" s="4" t="s">
        <v>328</v>
      </c>
      <c r="B22" s="4" t="s">
        <v>329</v>
      </c>
      <c r="C22" s="4" t="s">
        <v>330</v>
      </c>
      <c r="D22" s="4" t="s">
        <v>331</v>
      </c>
      <c r="E22" s="4" t="s">
        <v>332</v>
      </c>
      <c r="F22" s="4" t="s">
        <v>333</v>
      </c>
      <c r="M22"/>
      <c r="N22"/>
      <c r="O22"/>
      <c r="P22"/>
      <c r="Q22"/>
      <c r="R22"/>
      <c r="S22"/>
      <c r="T22"/>
      <c r="U22"/>
      <c r="V22"/>
      <c r="W22"/>
      <c r="X22"/>
      <c r="Y22"/>
      <c r="Z22"/>
      <c r="AA22"/>
      <c r="AB22"/>
      <c r="AC22"/>
      <c r="AD22"/>
      <c r="AE22"/>
      <c r="AF22"/>
      <c r="AG22"/>
    </row>
    <row r="23" spans="1:33" ht="48" x14ac:dyDescent="0.2">
      <c r="A23" s="4" t="s">
        <v>659</v>
      </c>
      <c r="B23" s="4" t="s">
        <v>77</v>
      </c>
      <c r="C23" s="4" t="s">
        <v>660</v>
      </c>
      <c r="D23" s="4" t="s">
        <v>661</v>
      </c>
      <c r="E23" s="4" t="s">
        <v>663</v>
      </c>
      <c r="F23" s="4" t="s">
        <v>664</v>
      </c>
      <c r="M23"/>
      <c r="N23"/>
      <c r="O23"/>
      <c r="P23"/>
      <c r="Q23"/>
      <c r="R23"/>
      <c r="S23"/>
      <c r="T23"/>
      <c r="U23"/>
      <c r="V23"/>
      <c r="W23"/>
      <c r="X23"/>
      <c r="Y23"/>
      <c r="Z23"/>
      <c r="AA23"/>
      <c r="AB23"/>
      <c r="AC23"/>
      <c r="AD23"/>
      <c r="AE23"/>
      <c r="AF23"/>
      <c r="AG23"/>
    </row>
    <row r="24" spans="1:33" ht="208" x14ac:dyDescent="0.2">
      <c r="A24" s="4" t="s">
        <v>683</v>
      </c>
      <c r="B24" s="4" t="s">
        <v>312</v>
      </c>
      <c r="C24" s="4" t="s">
        <v>685</v>
      </c>
      <c r="D24" s="4" t="s">
        <v>686</v>
      </c>
      <c r="F24" s="4" t="s">
        <v>688</v>
      </c>
      <c r="M24"/>
      <c r="N24"/>
      <c r="O24"/>
      <c r="P24"/>
      <c r="Q24"/>
      <c r="R24"/>
      <c r="S24"/>
      <c r="T24"/>
      <c r="U24"/>
      <c r="V24"/>
      <c r="W24"/>
      <c r="X24"/>
      <c r="Y24"/>
      <c r="Z24"/>
      <c r="AA24"/>
      <c r="AB24"/>
      <c r="AC24"/>
      <c r="AD24"/>
      <c r="AE24"/>
      <c r="AF24"/>
      <c r="AG24"/>
    </row>
    <row r="25" spans="1:33" ht="272" x14ac:dyDescent="0.2">
      <c r="A25" s="4" t="s">
        <v>313</v>
      </c>
      <c r="B25" s="4" t="s">
        <v>314</v>
      </c>
      <c r="C25" s="4" t="s">
        <v>315</v>
      </c>
      <c r="D25" s="4" t="s">
        <v>316</v>
      </c>
      <c r="E25" s="4" t="s">
        <v>318</v>
      </c>
      <c r="F25" s="4" t="s">
        <v>319</v>
      </c>
      <c r="M25"/>
      <c r="N25"/>
      <c r="O25"/>
      <c r="P25"/>
      <c r="Q25"/>
      <c r="R25"/>
      <c r="S25"/>
      <c r="T25"/>
      <c r="U25"/>
      <c r="V25"/>
      <c r="W25"/>
      <c r="X25"/>
      <c r="Y25"/>
      <c r="Z25"/>
      <c r="AA25"/>
      <c r="AB25"/>
      <c r="AC25"/>
      <c r="AD25"/>
      <c r="AE25"/>
      <c r="AF25"/>
      <c r="AG25"/>
    </row>
    <row r="26" spans="1:33" ht="128" x14ac:dyDescent="0.2">
      <c r="A26" s="4" t="s">
        <v>476</v>
      </c>
      <c r="B26" s="4" t="s">
        <v>197</v>
      </c>
      <c r="C26" s="4" t="s">
        <v>477</v>
      </c>
      <c r="D26" s="4" t="s">
        <v>478</v>
      </c>
      <c r="F26" s="4" t="s">
        <v>480</v>
      </c>
      <c r="M26"/>
      <c r="N26"/>
      <c r="O26"/>
      <c r="P26"/>
      <c r="Q26"/>
      <c r="R26"/>
      <c r="S26"/>
      <c r="T26"/>
      <c r="U26"/>
      <c r="V26"/>
      <c r="W26"/>
      <c r="X26"/>
      <c r="Y26"/>
      <c r="Z26"/>
      <c r="AA26"/>
      <c r="AB26"/>
      <c r="AC26"/>
      <c r="AD26"/>
      <c r="AE26"/>
      <c r="AF26"/>
      <c r="AG26"/>
    </row>
    <row r="27" spans="1:33" ht="144" x14ac:dyDescent="0.2">
      <c r="A27" s="4" t="s">
        <v>237</v>
      </c>
      <c r="B27" s="4" t="s">
        <v>115</v>
      </c>
      <c r="C27" s="4" t="s">
        <v>239</v>
      </c>
      <c r="D27" s="4" t="s">
        <v>240</v>
      </c>
      <c r="E27" s="4" t="s">
        <v>241</v>
      </c>
      <c r="F27" s="4" t="s">
        <v>242</v>
      </c>
      <c r="M27"/>
      <c r="N27"/>
      <c r="O27"/>
      <c r="P27"/>
      <c r="Q27"/>
      <c r="R27"/>
      <c r="S27"/>
      <c r="T27"/>
      <c r="U27"/>
      <c r="V27"/>
      <c r="W27"/>
      <c r="X27"/>
      <c r="Y27"/>
      <c r="Z27"/>
      <c r="AA27"/>
      <c r="AB27"/>
      <c r="AC27"/>
      <c r="AD27"/>
      <c r="AE27"/>
      <c r="AF27"/>
      <c r="AG27"/>
    </row>
    <row r="28" spans="1:33" ht="112" x14ac:dyDescent="0.2">
      <c r="A28" s="4" t="s">
        <v>63</v>
      </c>
      <c r="B28" s="4" t="s">
        <v>64</v>
      </c>
      <c r="C28" s="4" t="s">
        <v>66</v>
      </c>
      <c r="D28" s="4" t="s">
        <v>67</v>
      </c>
      <c r="E28" s="4" t="s">
        <v>69</v>
      </c>
      <c r="F28" s="4" t="s">
        <v>70</v>
      </c>
      <c r="M28"/>
      <c r="N28"/>
      <c r="O28"/>
      <c r="P28"/>
      <c r="Q28"/>
      <c r="R28"/>
      <c r="S28"/>
      <c r="T28"/>
      <c r="U28"/>
      <c r="V28"/>
      <c r="W28"/>
      <c r="X28"/>
      <c r="Y28"/>
      <c r="Z28"/>
      <c r="AA28"/>
      <c r="AB28"/>
      <c r="AC28"/>
      <c r="AD28"/>
      <c r="AE28"/>
      <c r="AF28"/>
      <c r="AG28"/>
    </row>
    <row r="29" spans="1:33" ht="176" x14ac:dyDescent="0.2">
      <c r="A29" s="4" t="s">
        <v>362</v>
      </c>
      <c r="B29" s="4" t="s">
        <v>363</v>
      </c>
      <c r="C29" s="4" t="s">
        <v>364</v>
      </c>
      <c r="D29" s="4" t="s">
        <v>365</v>
      </c>
      <c r="E29" s="4" t="s">
        <v>367</v>
      </c>
      <c r="F29" s="4" t="s">
        <v>368</v>
      </c>
      <c r="M29"/>
      <c r="N29"/>
      <c r="O29"/>
      <c r="P29"/>
      <c r="Q29"/>
      <c r="R29"/>
      <c r="S29"/>
      <c r="T29"/>
      <c r="U29"/>
      <c r="V29"/>
      <c r="W29"/>
      <c r="X29"/>
      <c r="Y29"/>
      <c r="Z29"/>
      <c r="AA29"/>
      <c r="AB29"/>
      <c r="AC29"/>
      <c r="AD29"/>
      <c r="AE29"/>
      <c r="AF29"/>
      <c r="AG29"/>
    </row>
    <row r="30" spans="1:33" ht="80" x14ac:dyDescent="0.2">
      <c r="A30" s="4" t="s">
        <v>228</v>
      </c>
      <c r="B30" s="4" t="s">
        <v>229</v>
      </c>
      <c r="C30" s="4" t="s">
        <v>230</v>
      </c>
      <c r="D30" s="4" t="s">
        <v>231</v>
      </c>
      <c r="F30" s="4" t="s">
        <v>232</v>
      </c>
      <c r="M30"/>
      <c r="N30"/>
      <c r="O30"/>
      <c r="P30"/>
      <c r="Q30"/>
      <c r="R30"/>
      <c r="S30"/>
      <c r="T30"/>
      <c r="U30"/>
      <c r="V30"/>
      <c r="W30"/>
      <c r="X30"/>
      <c r="Y30"/>
      <c r="Z30"/>
      <c r="AA30"/>
      <c r="AB30"/>
      <c r="AC30"/>
      <c r="AD30"/>
      <c r="AE30"/>
      <c r="AF30"/>
      <c r="AG30"/>
    </row>
    <row r="31" spans="1:33" ht="80" x14ac:dyDescent="0.2">
      <c r="A31" s="4" t="s">
        <v>545</v>
      </c>
      <c r="B31" s="4" t="s">
        <v>336</v>
      </c>
      <c r="C31" s="4" t="s">
        <v>546</v>
      </c>
      <c r="D31" s="4" t="s">
        <v>547</v>
      </c>
      <c r="E31" s="4" t="s">
        <v>548</v>
      </c>
      <c r="M31"/>
      <c r="N31"/>
      <c r="O31"/>
      <c r="P31"/>
      <c r="Q31"/>
      <c r="R31"/>
      <c r="S31"/>
      <c r="T31"/>
      <c r="U31"/>
      <c r="V31"/>
      <c r="W31"/>
      <c r="X31"/>
      <c r="Y31"/>
      <c r="Z31"/>
      <c r="AA31"/>
      <c r="AB31"/>
      <c r="AC31"/>
      <c r="AD31"/>
      <c r="AE31"/>
      <c r="AF31"/>
      <c r="AG31"/>
    </row>
    <row r="32" spans="1:33" ht="176" x14ac:dyDescent="0.2">
      <c r="A32" s="4" t="s">
        <v>416</v>
      </c>
      <c r="B32" s="4" t="s">
        <v>417</v>
      </c>
      <c r="C32" s="4" t="s">
        <v>418</v>
      </c>
      <c r="D32" s="4" t="s">
        <v>419</v>
      </c>
      <c r="E32" s="4" t="s">
        <v>421</v>
      </c>
      <c r="F32" s="4" t="s">
        <v>30</v>
      </c>
      <c r="M32"/>
      <c r="N32"/>
      <c r="O32"/>
      <c r="P32"/>
      <c r="Q32"/>
      <c r="R32"/>
      <c r="S32"/>
      <c r="T32"/>
      <c r="U32"/>
      <c r="V32"/>
      <c r="W32"/>
      <c r="X32"/>
      <c r="Y32"/>
      <c r="Z32"/>
      <c r="AA32"/>
      <c r="AB32"/>
      <c r="AC32"/>
      <c r="AD32"/>
      <c r="AE32"/>
      <c r="AF32"/>
      <c r="AG32"/>
    </row>
    <row r="33" spans="1:33" ht="176" x14ac:dyDescent="0.2">
      <c r="A33" s="4" t="s">
        <v>199</v>
      </c>
      <c r="B33" s="4" t="s">
        <v>200</v>
      </c>
      <c r="C33" s="4" t="s">
        <v>201</v>
      </c>
      <c r="D33" s="4" t="s">
        <v>202</v>
      </c>
      <c r="E33" s="4" t="s">
        <v>204</v>
      </c>
      <c r="M33"/>
      <c r="N33"/>
      <c r="O33"/>
      <c r="P33"/>
      <c r="Q33"/>
      <c r="R33"/>
      <c r="S33"/>
      <c r="T33"/>
      <c r="U33"/>
      <c r="V33"/>
      <c r="W33"/>
      <c r="X33"/>
      <c r="Y33"/>
      <c r="Z33"/>
      <c r="AA33"/>
      <c r="AB33"/>
      <c r="AC33"/>
      <c r="AD33"/>
      <c r="AE33"/>
      <c r="AF33"/>
      <c r="AG33"/>
    </row>
    <row r="34" spans="1:33" ht="192" x14ac:dyDescent="0.2">
      <c r="A34" s="4" t="s">
        <v>448</v>
      </c>
      <c r="B34" s="4" t="s">
        <v>449</v>
      </c>
      <c r="C34" s="4" t="s">
        <v>450</v>
      </c>
      <c r="D34" s="4" t="s">
        <v>451</v>
      </c>
      <c r="E34" s="4" t="s">
        <v>452</v>
      </c>
      <c r="M34"/>
      <c r="N34"/>
      <c r="O34"/>
      <c r="P34"/>
      <c r="Q34"/>
      <c r="R34"/>
      <c r="S34"/>
      <c r="T34"/>
      <c r="U34"/>
      <c r="V34"/>
      <c r="W34"/>
      <c r="X34"/>
      <c r="Y34"/>
      <c r="Z34"/>
      <c r="AA34"/>
      <c r="AB34"/>
      <c r="AC34"/>
      <c r="AD34"/>
      <c r="AE34"/>
      <c r="AF34"/>
      <c r="AG34"/>
    </row>
    <row r="35" spans="1:33" ht="192" x14ac:dyDescent="0.2">
      <c r="A35" s="4" t="s">
        <v>605</v>
      </c>
      <c r="B35" s="4" t="s">
        <v>606</v>
      </c>
      <c r="C35" s="4" t="s">
        <v>607</v>
      </c>
      <c r="D35" s="4" t="s">
        <v>451</v>
      </c>
      <c r="E35" s="4" t="s">
        <v>609</v>
      </c>
      <c r="M35"/>
      <c r="N35"/>
      <c r="O35"/>
      <c r="P35"/>
      <c r="Q35"/>
      <c r="R35"/>
      <c r="S35"/>
      <c r="T35"/>
      <c r="U35"/>
      <c r="V35"/>
      <c r="W35"/>
      <c r="X35"/>
      <c r="Y35"/>
      <c r="Z35"/>
      <c r="AA35"/>
      <c r="AB35"/>
      <c r="AC35"/>
      <c r="AD35"/>
      <c r="AE35"/>
      <c r="AF35"/>
      <c r="AG35"/>
    </row>
    <row r="36" spans="1:33" ht="144" x14ac:dyDescent="0.2">
      <c r="A36" s="4" t="s">
        <v>426</v>
      </c>
      <c r="B36" s="4" t="s">
        <v>427</v>
      </c>
      <c r="C36" s="4" t="s">
        <v>428</v>
      </c>
      <c r="D36" s="4" t="s">
        <v>429</v>
      </c>
      <c r="E36" s="4" t="s">
        <v>431</v>
      </c>
      <c r="M36"/>
      <c r="N36"/>
      <c r="O36"/>
      <c r="P36"/>
      <c r="Q36"/>
      <c r="R36"/>
      <c r="S36"/>
      <c r="T36"/>
      <c r="U36"/>
      <c r="V36"/>
      <c r="W36"/>
      <c r="X36"/>
      <c r="Y36"/>
      <c r="Z36"/>
      <c r="AA36"/>
      <c r="AB36"/>
      <c r="AC36"/>
      <c r="AD36"/>
      <c r="AE36"/>
      <c r="AF36"/>
      <c r="AG36"/>
    </row>
    <row r="37" spans="1:33" ht="48" x14ac:dyDescent="0.2">
      <c r="A37" s="4" t="s">
        <v>97</v>
      </c>
      <c r="B37" s="4" t="s">
        <v>98</v>
      </c>
      <c r="C37" s="4" t="s">
        <v>99</v>
      </c>
      <c r="E37" s="4" t="s">
        <v>100</v>
      </c>
      <c r="M37"/>
      <c r="N37"/>
      <c r="O37"/>
      <c r="P37"/>
      <c r="Q37"/>
      <c r="R37"/>
      <c r="S37"/>
      <c r="T37"/>
      <c r="U37"/>
      <c r="V37"/>
      <c r="W37"/>
      <c r="X37"/>
      <c r="Y37"/>
      <c r="Z37"/>
      <c r="AA37"/>
      <c r="AB37"/>
      <c r="AC37"/>
      <c r="AD37"/>
      <c r="AE37"/>
      <c r="AF37"/>
      <c r="AG37"/>
    </row>
    <row r="38" spans="1:33" ht="48" x14ac:dyDescent="0.2">
      <c r="A38" s="4" t="s">
        <v>714</v>
      </c>
      <c r="B38" s="4" t="s">
        <v>715</v>
      </c>
      <c r="C38" s="4" t="s">
        <v>716</v>
      </c>
      <c r="E38" s="4" t="s">
        <v>717</v>
      </c>
      <c r="M38"/>
      <c r="N38"/>
      <c r="O38"/>
      <c r="P38"/>
      <c r="Q38"/>
      <c r="R38"/>
      <c r="S38"/>
      <c r="T38"/>
      <c r="U38"/>
      <c r="V38"/>
      <c r="W38"/>
      <c r="X38"/>
      <c r="Y38"/>
      <c r="Z38"/>
      <c r="AA38"/>
      <c r="AB38"/>
      <c r="AC38"/>
      <c r="AD38"/>
      <c r="AE38"/>
      <c r="AF38"/>
      <c r="AG38"/>
    </row>
    <row r="39" spans="1:33" ht="160" x14ac:dyDescent="0.2">
      <c r="A39" s="4" t="s">
        <v>531</v>
      </c>
      <c r="B39" s="4" t="s">
        <v>76</v>
      </c>
      <c r="C39" s="4" t="s">
        <v>533</v>
      </c>
      <c r="D39" s="4" t="s">
        <v>534</v>
      </c>
      <c r="F39" s="4" t="s">
        <v>536</v>
      </c>
      <c r="M39"/>
      <c r="N39"/>
      <c r="O39"/>
      <c r="P39"/>
      <c r="Q39"/>
      <c r="R39"/>
      <c r="S39"/>
      <c r="T39"/>
      <c r="U39"/>
      <c r="V39"/>
      <c r="W39"/>
      <c r="X39"/>
      <c r="Y39"/>
      <c r="Z39"/>
      <c r="AA39"/>
      <c r="AB39"/>
      <c r="AC39"/>
      <c r="AD39"/>
      <c r="AE39"/>
      <c r="AF39"/>
      <c r="AG39"/>
    </row>
    <row r="40" spans="1:33" ht="176" x14ac:dyDescent="0.2">
      <c r="A40" s="4" t="s">
        <v>578</v>
      </c>
      <c r="B40" s="4" t="s">
        <v>257</v>
      </c>
      <c r="C40" s="4" t="s">
        <v>580</v>
      </c>
      <c r="D40" s="4" t="s">
        <v>581</v>
      </c>
      <c r="E40" s="4" t="s">
        <v>583</v>
      </c>
      <c r="F40" s="4" t="s">
        <v>584</v>
      </c>
      <c r="M40"/>
      <c r="N40"/>
      <c r="O40"/>
      <c r="P40"/>
      <c r="Q40"/>
      <c r="R40"/>
      <c r="S40"/>
      <c r="T40"/>
      <c r="U40"/>
      <c r="V40"/>
      <c r="W40"/>
      <c r="X40"/>
      <c r="Y40"/>
      <c r="Z40"/>
      <c r="AA40"/>
      <c r="AB40"/>
      <c r="AC40"/>
      <c r="AD40"/>
      <c r="AE40"/>
      <c r="AF40"/>
      <c r="AG40"/>
    </row>
    <row r="41" spans="1:33" ht="64" x14ac:dyDescent="0.2">
      <c r="A41" s="4" t="s">
        <v>399</v>
      </c>
      <c r="B41" s="4" t="s">
        <v>400</v>
      </c>
      <c r="C41" s="4" t="s">
        <v>401</v>
      </c>
      <c r="E41" s="4" t="s">
        <v>402</v>
      </c>
      <c r="M41"/>
      <c r="N41"/>
      <c r="O41"/>
      <c r="P41"/>
      <c r="Q41"/>
      <c r="R41"/>
      <c r="S41"/>
      <c r="T41"/>
      <c r="U41"/>
      <c r="V41"/>
      <c r="W41"/>
      <c r="X41"/>
      <c r="Y41"/>
      <c r="Z41"/>
      <c r="AA41"/>
      <c r="AB41"/>
      <c r="AC41"/>
      <c r="AD41"/>
      <c r="AE41"/>
      <c r="AF41"/>
      <c r="AG41"/>
    </row>
    <row r="42" spans="1:33" ht="128" x14ac:dyDescent="0.2">
      <c r="A42" s="4" t="s">
        <v>142</v>
      </c>
      <c r="B42" s="4" t="s">
        <v>143</v>
      </c>
      <c r="C42" s="4" t="s">
        <v>145</v>
      </c>
      <c r="D42" s="4" t="s">
        <v>146</v>
      </c>
      <c r="E42" s="4" t="s">
        <v>148</v>
      </c>
      <c r="F42" s="4" t="s">
        <v>149</v>
      </c>
      <c r="M42"/>
      <c r="N42"/>
      <c r="O42"/>
      <c r="P42"/>
      <c r="Q42"/>
      <c r="R42"/>
      <c r="S42"/>
      <c r="T42"/>
      <c r="U42"/>
      <c r="V42"/>
      <c r="W42"/>
      <c r="X42"/>
      <c r="Y42"/>
      <c r="Z42"/>
      <c r="AA42"/>
      <c r="AB42"/>
      <c r="AC42"/>
      <c r="AD42"/>
      <c r="AE42"/>
      <c r="AF42"/>
      <c r="AG42"/>
    </row>
    <row r="43" spans="1:33" ht="96" x14ac:dyDescent="0.2">
      <c r="A43" s="4" t="s">
        <v>669</v>
      </c>
      <c r="B43" s="4" t="s">
        <v>670</v>
      </c>
      <c r="C43" s="4" t="s">
        <v>671</v>
      </c>
      <c r="D43" s="4" t="s">
        <v>672</v>
      </c>
      <c r="E43" s="4" t="s">
        <v>673</v>
      </c>
      <c r="F43" s="4" t="s">
        <v>149</v>
      </c>
      <c r="M43"/>
      <c r="N43"/>
      <c r="O43"/>
      <c r="P43"/>
      <c r="Q43"/>
      <c r="R43"/>
      <c r="S43"/>
      <c r="T43"/>
      <c r="U43"/>
      <c r="V43"/>
      <c r="W43"/>
      <c r="X43"/>
      <c r="Y43"/>
      <c r="Z43"/>
      <c r="AA43"/>
      <c r="AB43"/>
      <c r="AC43"/>
      <c r="AD43"/>
      <c r="AE43"/>
      <c r="AF43"/>
      <c r="AG43"/>
    </row>
    <row r="44" spans="1:33" ht="80" x14ac:dyDescent="0.2">
      <c r="A44" s="4" t="s">
        <v>592</v>
      </c>
      <c r="B44" s="4" t="s">
        <v>593</v>
      </c>
      <c r="C44" s="4" t="s">
        <v>594</v>
      </c>
      <c r="D44" s="4" t="s">
        <v>595</v>
      </c>
      <c r="E44" s="4" t="s">
        <v>597</v>
      </c>
      <c r="M44"/>
      <c r="N44"/>
      <c r="O44"/>
      <c r="P44"/>
      <c r="Q44"/>
      <c r="R44"/>
      <c r="S44"/>
      <c r="T44"/>
      <c r="U44"/>
      <c r="V44"/>
      <c r="W44"/>
      <c r="X44"/>
      <c r="Y44"/>
      <c r="Z44"/>
      <c r="AA44"/>
      <c r="AB44"/>
      <c r="AC44"/>
      <c r="AD44"/>
      <c r="AE44"/>
      <c r="AF44"/>
      <c r="AG44"/>
    </row>
    <row r="45" spans="1:33" ht="160" x14ac:dyDescent="0.2">
      <c r="A45" s="4" t="s">
        <v>384</v>
      </c>
      <c r="B45" s="4" t="s">
        <v>54</v>
      </c>
      <c r="C45" s="4" t="s">
        <v>386</v>
      </c>
      <c r="D45" s="4" t="s">
        <v>387</v>
      </c>
      <c r="E45" s="4" t="s">
        <v>389</v>
      </c>
      <c r="F45" s="4" t="s">
        <v>390</v>
      </c>
      <c r="M45"/>
      <c r="N45"/>
      <c r="O45"/>
      <c r="P45"/>
      <c r="Q45"/>
      <c r="R45"/>
      <c r="S45"/>
      <c r="T45"/>
      <c r="U45"/>
      <c r="V45"/>
      <c r="W45"/>
      <c r="X45"/>
      <c r="Y45"/>
      <c r="Z45"/>
      <c r="AA45"/>
      <c r="AB45"/>
      <c r="AC45"/>
      <c r="AD45"/>
      <c r="AE45"/>
      <c r="AF45"/>
      <c r="AG45"/>
    </row>
    <row r="46" spans="1:33" ht="128" x14ac:dyDescent="0.2">
      <c r="A46" s="4" t="s">
        <v>718</v>
      </c>
      <c r="B46" s="4" t="s">
        <v>56</v>
      </c>
      <c r="C46" s="4" t="s">
        <v>720</v>
      </c>
      <c r="D46" s="4" t="s">
        <v>721</v>
      </c>
      <c r="E46" s="4" t="s">
        <v>723</v>
      </c>
      <c r="F46" s="4" t="s">
        <v>724</v>
      </c>
      <c r="M46"/>
      <c r="N46"/>
      <c r="O46"/>
      <c r="P46"/>
      <c r="Q46"/>
      <c r="R46"/>
      <c r="S46"/>
      <c r="T46"/>
      <c r="U46"/>
      <c r="V46"/>
      <c r="W46"/>
      <c r="X46"/>
      <c r="Y46"/>
      <c r="Z46"/>
      <c r="AA46"/>
      <c r="AB46"/>
      <c r="AC46"/>
      <c r="AD46"/>
      <c r="AE46"/>
      <c r="AF46"/>
      <c r="AG46"/>
    </row>
    <row r="47" spans="1:33" ht="192" x14ac:dyDescent="0.2">
      <c r="A47" s="4" t="s">
        <v>265</v>
      </c>
      <c r="B47" s="4" t="s">
        <v>114</v>
      </c>
      <c r="C47" s="4" t="s">
        <v>266</v>
      </c>
      <c r="D47" s="4" t="s">
        <v>267</v>
      </c>
      <c r="E47" s="4" t="s">
        <v>269</v>
      </c>
      <c r="F47" s="4" t="s">
        <v>270</v>
      </c>
      <c r="M47"/>
      <c r="N47"/>
      <c r="O47"/>
      <c r="P47"/>
      <c r="Q47"/>
      <c r="R47"/>
      <c r="S47"/>
      <c r="T47"/>
      <c r="U47"/>
      <c r="V47"/>
      <c r="W47"/>
      <c r="X47"/>
      <c r="Y47"/>
      <c r="Z47"/>
      <c r="AA47"/>
      <c r="AB47"/>
      <c r="AC47"/>
      <c r="AD47"/>
      <c r="AE47"/>
      <c r="AF47"/>
      <c r="AG47"/>
    </row>
    <row r="48" spans="1:33" ht="96" x14ac:dyDescent="0.2">
      <c r="A48" s="4" t="s">
        <v>104</v>
      </c>
      <c r="B48" s="4" t="s">
        <v>105</v>
      </c>
      <c r="C48" s="4" t="s">
        <v>107</v>
      </c>
      <c r="D48" s="4" t="s">
        <v>108</v>
      </c>
      <c r="E48" s="4" t="s">
        <v>109</v>
      </c>
      <c r="F48" s="4" t="s">
        <v>110</v>
      </c>
      <c r="M48"/>
      <c r="N48"/>
      <c r="O48"/>
      <c r="P48"/>
      <c r="Q48"/>
      <c r="R48"/>
      <c r="S48"/>
      <c r="T48"/>
      <c r="U48"/>
      <c r="V48"/>
      <c r="W48"/>
      <c r="X48"/>
      <c r="Y48"/>
      <c r="Z48"/>
      <c r="AA48"/>
      <c r="AB48"/>
      <c r="AC48"/>
      <c r="AD48"/>
      <c r="AE48"/>
      <c r="AF48"/>
      <c r="AG48"/>
    </row>
    <row r="49" spans="1:33" ht="128" x14ac:dyDescent="0.2">
      <c r="A49" s="4" t="s">
        <v>647</v>
      </c>
      <c r="B49" s="4" t="s">
        <v>361</v>
      </c>
      <c r="C49" s="4" t="s">
        <v>648</v>
      </c>
      <c r="D49" s="4" t="s">
        <v>649</v>
      </c>
      <c r="E49" s="4" t="s">
        <v>651</v>
      </c>
      <c r="F49" s="4" t="s">
        <v>652</v>
      </c>
      <c r="M49"/>
      <c r="N49"/>
      <c r="O49"/>
      <c r="P49"/>
      <c r="Q49"/>
      <c r="R49"/>
      <c r="S49"/>
      <c r="T49"/>
      <c r="U49"/>
      <c r="V49"/>
      <c r="W49"/>
      <c r="X49"/>
      <c r="Y49"/>
      <c r="Z49"/>
      <c r="AA49"/>
      <c r="AB49"/>
      <c r="AC49"/>
      <c r="AD49"/>
      <c r="AE49"/>
      <c r="AF49"/>
      <c r="AG49"/>
    </row>
    <row r="50" spans="1:33" ht="96" x14ac:dyDescent="0.2">
      <c r="A50" s="4" t="s">
        <v>704</v>
      </c>
      <c r="B50" s="4" t="s">
        <v>705</v>
      </c>
      <c r="C50" s="4" t="s">
        <v>706</v>
      </c>
      <c r="D50" s="4" t="s">
        <v>707</v>
      </c>
      <c r="E50" s="4" t="s">
        <v>709</v>
      </c>
      <c r="M50"/>
      <c r="N50"/>
      <c r="O50"/>
      <c r="P50"/>
      <c r="Q50"/>
      <c r="R50"/>
      <c r="S50"/>
      <c r="T50"/>
      <c r="U50"/>
      <c r="V50"/>
      <c r="W50"/>
      <c r="X50"/>
      <c r="Y50"/>
      <c r="Z50"/>
      <c r="AA50"/>
      <c r="AB50"/>
      <c r="AC50"/>
      <c r="AD50"/>
      <c r="AE50"/>
      <c r="AF50"/>
      <c r="AG50"/>
    </row>
    <row r="51" spans="1:33" ht="112" x14ac:dyDescent="0.2">
      <c r="A51" s="4" t="s">
        <v>614</v>
      </c>
      <c r="B51" s="4" t="s">
        <v>615</v>
      </c>
      <c r="C51" s="4" t="s">
        <v>616</v>
      </c>
      <c r="D51" s="4" t="s">
        <v>617</v>
      </c>
      <c r="E51" s="4" t="s">
        <v>619</v>
      </c>
      <c r="M51"/>
      <c r="N51"/>
      <c r="O51"/>
      <c r="P51"/>
      <c r="Q51"/>
      <c r="R51"/>
      <c r="S51"/>
      <c r="T51"/>
      <c r="U51"/>
      <c r="V51"/>
      <c r="W51"/>
      <c r="X51"/>
      <c r="Y51"/>
      <c r="Z51"/>
      <c r="AA51"/>
      <c r="AB51"/>
      <c r="AC51"/>
      <c r="AD51"/>
      <c r="AE51"/>
      <c r="AF51"/>
      <c r="AG51"/>
    </row>
    <row r="52" spans="1:33" ht="48" x14ac:dyDescent="0.2">
      <c r="A52" s="4" t="s">
        <v>83</v>
      </c>
      <c r="B52" s="4" t="s">
        <v>84</v>
      </c>
      <c r="C52" s="4" t="s">
        <v>85</v>
      </c>
      <c r="D52" s="4" t="s">
        <v>86</v>
      </c>
      <c r="E52" s="4" t="s">
        <v>88</v>
      </c>
      <c r="F52" s="4" t="s">
        <v>89</v>
      </c>
      <c r="M52"/>
      <c r="N52"/>
      <c r="O52"/>
      <c r="P52"/>
      <c r="Q52"/>
      <c r="R52"/>
      <c r="S52"/>
      <c r="T52"/>
      <c r="U52"/>
      <c r="V52"/>
      <c r="W52"/>
      <c r="X52"/>
      <c r="Y52"/>
      <c r="Z52"/>
      <c r="AA52"/>
      <c r="AB52"/>
      <c r="AC52"/>
      <c r="AD52"/>
      <c r="AE52"/>
      <c r="AF52"/>
      <c r="AG52"/>
    </row>
    <row r="53" spans="1:33" ht="128" x14ac:dyDescent="0.2">
      <c r="A53" s="4" t="s">
        <v>117</v>
      </c>
      <c r="B53" s="4" t="s">
        <v>118</v>
      </c>
      <c r="C53" s="4" t="s">
        <v>119</v>
      </c>
      <c r="D53" s="4" t="s">
        <v>120</v>
      </c>
      <c r="E53" s="4" t="s">
        <v>122</v>
      </c>
      <c r="F53" s="4" t="s">
        <v>123</v>
      </c>
      <c r="M53"/>
      <c r="N53"/>
      <c r="O53"/>
      <c r="P53"/>
      <c r="Q53"/>
      <c r="R53"/>
      <c r="S53"/>
      <c r="T53"/>
      <c r="U53"/>
      <c r="V53"/>
      <c r="W53"/>
      <c r="X53"/>
      <c r="Y53"/>
      <c r="Z53"/>
      <c r="AA53"/>
      <c r="AB53"/>
      <c r="AC53"/>
      <c r="AD53"/>
      <c r="AE53"/>
      <c r="AF53"/>
      <c r="AG53"/>
    </row>
    <row r="54" spans="1:33" ht="128" x14ac:dyDescent="0.2">
      <c r="A54" s="4" t="s">
        <v>132</v>
      </c>
      <c r="B54" s="4" t="s">
        <v>130</v>
      </c>
      <c r="C54" s="4" t="s">
        <v>133</v>
      </c>
      <c r="D54" s="4" t="s">
        <v>134</v>
      </c>
      <c r="E54" s="4" t="s">
        <v>136</v>
      </c>
      <c r="M54"/>
      <c r="N54"/>
      <c r="O54"/>
      <c r="P54"/>
      <c r="Q54"/>
      <c r="R54"/>
      <c r="S54"/>
      <c r="T54"/>
      <c r="U54"/>
      <c r="V54"/>
      <c r="W54"/>
      <c r="X54"/>
      <c r="Y54"/>
      <c r="Z54"/>
      <c r="AA54"/>
      <c r="AB54"/>
      <c r="AC54"/>
      <c r="AD54"/>
      <c r="AE54"/>
      <c r="AF54"/>
      <c r="AG54"/>
    </row>
    <row r="55" spans="1:33" ht="128" x14ac:dyDescent="0.2">
      <c r="A55" s="4" t="s">
        <v>42</v>
      </c>
      <c r="B55" s="4" t="s">
        <v>43</v>
      </c>
      <c r="C55" s="4" t="s">
        <v>44</v>
      </c>
      <c r="D55" s="4" t="s">
        <v>45</v>
      </c>
      <c r="F55" s="4" t="s">
        <v>30</v>
      </c>
      <c r="M55"/>
      <c r="N55"/>
      <c r="O55"/>
      <c r="P55"/>
      <c r="Q55"/>
      <c r="R55"/>
      <c r="S55"/>
      <c r="T55"/>
      <c r="U55"/>
      <c r="V55"/>
      <c r="W55"/>
      <c r="X55"/>
      <c r="Y55"/>
      <c r="Z55"/>
      <c r="AA55"/>
      <c r="AB55"/>
      <c r="AC55"/>
      <c r="AD55"/>
      <c r="AE55"/>
      <c r="AF55"/>
      <c r="AG55"/>
    </row>
    <row r="56" spans="1:33" ht="240" x14ac:dyDescent="0.2">
      <c r="A56" s="4" t="s">
        <v>485</v>
      </c>
      <c r="B56" s="4" t="s">
        <v>310</v>
      </c>
      <c r="C56" s="4" t="s">
        <v>487</v>
      </c>
      <c r="D56" s="4" t="s">
        <v>488</v>
      </c>
      <c r="E56" s="4" t="s">
        <v>490</v>
      </c>
      <c r="F56" s="4" t="s">
        <v>491</v>
      </c>
      <c r="M56"/>
      <c r="N56"/>
      <c r="O56"/>
      <c r="P56"/>
      <c r="Q56"/>
      <c r="R56"/>
      <c r="S56"/>
      <c r="T56"/>
      <c r="U56"/>
      <c r="V56"/>
      <c r="W56"/>
      <c r="X56"/>
      <c r="Y56"/>
      <c r="Z56"/>
      <c r="AA56"/>
      <c r="AB56"/>
      <c r="AC56"/>
      <c r="AD56"/>
      <c r="AE56"/>
      <c r="AF56"/>
      <c r="AG56"/>
    </row>
    <row r="57" spans="1:33" ht="192" x14ac:dyDescent="0.2">
      <c r="A57" s="4" t="s">
        <v>694</v>
      </c>
      <c r="B57" s="4" t="s">
        <v>695</v>
      </c>
      <c r="C57" s="4" t="s">
        <v>696</v>
      </c>
      <c r="D57" s="4" t="s">
        <v>697</v>
      </c>
      <c r="E57" s="4" t="s">
        <v>699</v>
      </c>
      <c r="F57" s="4" t="s">
        <v>700</v>
      </c>
      <c r="M57"/>
      <c r="N57"/>
      <c r="O57"/>
      <c r="P57"/>
      <c r="Q57"/>
      <c r="R57"/>
      <c r="S57"/>
      <c r="T57"/>
      <c r="U57"/>
      <c r="V57"/>
      <c r="W57"/>
      <c r="X57"/>
      <c r="Y57"/>
      <c r="Z57"/>
      <c r="AA57"/>
      <c r="AB57"/>
      <c r="AC57"/>
      <c r="AD57"/>
      <c r="AE57"/>
      <c r="AF57"/>
      <c r="AG57"/>
    </row>
    <row r="58" spans="1:33" ht="96" x14ac:dyDescent="0.2">
      <c r="A58" s="4" t="s">
        <v>258</v>
      </c>
      <c r="B58" s="4" t="s">
        <v>259</v>
      </c>
      <c r="C58" s="4" t="s">
        <v>260</v>
      </c>
      <c r="D58" s="4" t="s">
        <v>261</v>
      </c>
      <c r="F58" s="4" t="s">
        <v>262</v>
      </c>
      <c r="M58"/>
      <c r="N58"/>
      <c r="O58"/>
      <c r="P58"/>
      <c r="Q58"/>
      <c r="R58"/>
      <c r="S58"/>
      <c r="T58"/>
      <c r="U58"/>
      <c r="V58"/>
      <c r="W58"/>
      <c r="X58"/>
      <c r="Y58"/>
      <c r="Z58"/>
      <c r="AA58"/>
      <c r="AB58"/>
      <c r="AC58"/>
      <c r="AD58"/>
      <c r="AE58"/>
      <c r="AF58"/>
      <c r="AG58"/>
    </row>
    <row r="59" spans="1:33" ht="288" x14ac:dyDescent="0.2">
      <c r="A59" s="4" t="s">
        <v>337</v>
      </c>
      <c r="B59" s="4" t="s">
        <v>338</v>
      </c>
      <c r="C59" s="4" t="s">
        <v>340</v>
      </c>
      <c r="D59" s="4" t="s">
        <v>341</v>
      </c>
      <c r="E59" s="4" t="s">
        <v>343</v>
      </c>
      <c r="F59" s="4" t="s">
        <v>344</v>
      </c>
      <c r="M59"/>
      <c r="N59"/>
      <c r="O59"/>
      <c r="P59"/>
      <c r="Q59"/>
      <c r="R59"/>
      <c r="S59"/>
      <c r="T59"/>
      <c r="U59"/>
      <c r="V59"/>
      <c r="W59"/>
      <c r="X59"/>
      <c r="Y59"/>
      <c r="Z59"/>
      <c r="AA59"/>
      <c r="AB59"/>
      <c r="AC59"/>
      <c r="AD59"/>
      <c r="AE59"/>
      <c r="AF59"/>
      <c r="AG59"/>
    </row>
    <row r="60" spans="1:33" ht="112" x14ac:dyDescent="0.2">
      <c r="A60" s="4" t="s">
        <v>295</v>
      </c>
      <c r="B60" s="4" t="s">
        <v>245</v>
      </c>
      <c r="C60" s="4" t="s">
        <v>296</v>
      </c>
      <c r="D60" s="4" t="s">
        <v>297</v>
      </c>
      <c r="E60" s="4" t="s">
        <v>298</v>
      </c>
      <c r="F60" s="4" t="s">
        <v>299</v>
      </c>
      <c r="M60"/>
      <c r="N60"/>
      <c r="O60"/>
      <c r="P60"/>
      <c r="Q60"/>
      <c r="R60"/>
      <c r="S60"/>
      <c r="T60"/>
      <c r="U60"/>
      <c r="V60"/>
      <c r="W60"/>
      <c r="X60"/>
      <c r="Y60"/>
      <c r="Z60"/>
      <c r="AA60"/>
      <c r="AB60"/>
      <c r="AC60"/>
      <c r="AD60"/>
      <c r="AE60"/>
      <c r="AF60"/>
      <c r="AG60"/>
    </row>
    <row r="61" spans="1:33" ht="80" x14ac:dyDescent="0.2">
      <c r="A61" s="4" t="s">
        <v>632</v>
      </c>
      <c r="B61" s="4" t="s">
        <v>633</v>
      </c>
      <c r="C61" s="4" t="s">
        <v>634</v>
      </c>
      <c r="D61" s="4" t="s">
        <v>635</v>
      </c>
      <c r="E61" s="4" t="s">
        <v>637</v>
      </c>
      <c r="M61"/>
      <c r="N61"/>
      <c r="O61"/>
      <c r="P61"/>
      <c r="Q61"/>
      <c r="R61"/>
      <c r="S61"/>
      <c r="T61"/>
      <c r="U61"/>
      <c r="V61"/>
      <c r="W61"/>
      <c r="X61"/>
      <c r="Y61"/>
      <c r="Z61"/>
      <c r="AA61"/>
      <c r="AB61"/>
      <c r="AC61"/>
      <c r="AD61"/>
      <c r="AE61"/>
      <c r="AF61"/>
      <c r="AG61"/>
    </row>
    <row r="62" spans="1:33" ht="112" x14ac:dyDescent="0.2">
      <c r="A62" s="4" t="s">
        <v>520</v>
      </c>
      <c r="B62" s="4" t="s">
        <v>521</v>
      </c>
      <c r="C62" s="4" t="s">
        <v>522</v>
      </c>
      <c r="D62" s="4" t="s">
        <v>523</v>
      </c>
      <c r="E62" s="4" t="s">
        <v>525</v>
      </c>
      <c r="F62" s="4" t="s">
        <v>30</v>
      </c>
      <c r="M62"/>
      <c r="N62"/>
      <c r="O62"/>
      <c r="P62"/>
      <c r="Q62"/>
      <c r="R62"/>
      <c r="S62"/>
      <c r="T62"/>
      <c r="U62"/>
      <c r="V62"/>
      <c r="W62"/>
      <c r="X62"/>
      <c r="Y62"/>
      <c r="Z62"/>
      <c r="AA62"/>
      <c r="AB62"/>
      <c r="AC62"/>
      <c r="AD62"/>
      <c r="AE62"/>
      <c r="AF62"/>
      <c r="AG62"/>
    </row>
    <row r="63" spans="1:33" ht="64" x14ac:dyDescent="0.2">
      <c r="A63" s="4" t="s">
        <v>499</v>
      </c>
      <c r="B63" s="4" t="s">
        <v>500</v>
      </c>
      <c r="C63" s="4" t="s">
        <v>502</v>
      </c>
      <c r="E63" s="4" t="s">
        <v>503</v>
      </c>
      <c r="M63"/>
      <c r="N63"/>
      <c r="O63"/>
      <c r="P63"/>
      <c r="Q63"/>
      <c r="R63"/>
      <c r="S63"/>
      <c r="T63"/>
      <c r="U63"/>
      <c r="V63"/>
      <c r="W63"/>
      <c r="X63"/>
      <c r="Y63"/>
      <c r="Z63"/>
      <c r="AA63"/>
      <c r="AB63"/>
      <c r="AC63"/>
      <c r="AD63"/>
      <c r="AE63"/>
      <c r="AF63"/>
      <c r="AG63"/>
    </row>
    <row r="64" spans="1:33" ht="112" x14ac:dyDescent="0.2">
      <c r="A64" s="4" t="s">
        <v>216</v>
      </c>
      <c r="B64" s="4" t="s">
        <v>217</v>
      </c>
      <c r="C64" s="4" t="s">
        <v>218</v>
      </c>
      <c r="D64" s="4" t="s">
        <v>219</v>
      </c>
      <c r="E64" s="4" t="s">
        <v>221</v>
      </c>
      <c r="F64" s="4" t="s">
        <v>30</v>
      </c>
      <c r="M64"/>
      <c r="N64"/>
      <c r="O64"/>
      <c r="P64"/>
      <c r="Q64"/>
      <c r="R64"/>
      <c r="S64"/>
      <c r="T64"/>
      <c r="U64"/>
      <c r="V64"/>
      <c r="W64"/>
      <c r="X64"/>
      <c r="Y64"/>
      <c r="Z64"/>
      <c r="AA64"/>
      <c r="AB64"/>
      <c r="AC64"/>
      <c r="AD64"/>
      <c r="AE64"/>
      <c r="AF64"/>
      <c r="AG64"/>
    </row>
    <row r="65" spans="1:33" ht="96" x14ac:dyDescent="0.2">
      <c r="A65" s="4" t="s">
        <v>562</v>
      </c>
      <c r="B65" s="4" t="s">
        <v>277</v>
      </c>
      <c r="C65" s="4" t="s">
        <v>564</v>
      </c>
      <c r="D65" s="4" t="s">
        <v>565</v>
      </c>
      <c r="E65" s="4" t="s">
        <v>567</v>
      </c>
      <c r="F65" s="4" t="s">
        <v>568</v>
      </c>
      <c r="M65"/>
      <c r="N65"/>
      <c r="O65"/>
      <c r="P65"/>
      <c r="Q65"/>
      <c r="R65"/>
      <c r="S65"/>
      <c r="T65"/>
      <c r="U65"/>
      <c r="V65"/>
      <c r="W65"/>
      <c r="X65"/>
      <c r="Y65"/>
      <c r="Z65"/>
      <c r="AA65"/>
      <c r="AB65"/>
      <c r="AC65"/>
      <c r="AD65"/>
      <c r="AE65"/>
      <c r="AF65"/>
      <c r="AG65"/>
    </row>
    <row r="66" spans="1:33" ht="240" x14ac:dyDescent="0.2">
      <c r="A66" s="4" t="s">
        <v>278</v>
      </c>
      <c r="B66" s="4" t="s">
        <v>279</v>
      </c>
      <c r="C66" s="4" t="s">
        <v>281</v>
      </c>
      <c r="D66" s="4" t="s">
        <v>282</v>
      </c>
      <c r="M66"/>
      <c r="N66"/>
      <c r="O66"/>
      <c r="P66"/>
      <c r="Q66"/>
      <c r="R66"/>
      <c r="S66"/>
      <c r="T66"/>
      <c r="U66"/>
      <c r="V66"/>
      <c r="W66"/>
      <c r="X66"/>
      <c r="Y66"/>
      <c r="Z66"/>
      <c r="AA66"/>
      <c r="AB66"/>
      <c r="AC66"/>
      <c r="AD66"/>
      <c r="AE66"/>
      <c r="AF66"/>
      <c r="AG66"/>
    </row>
    <row r="67" spans="1:33" ht="96" x14ac:dyDescent="0.2">
      <c r="A67" s="4" t="s">
        <v>404</v>
      </c>
      <c r="B67" s="4" t="s">
        <v>78</v>
      </c>
      <c r="C67" s="4" t="s">
        <v>406</v>
      </c>
      <c r="D67" s="4" t="s">
        <v>407</v>
      </c>
      <c r="E67" s="4" t="s">
        <v>409</v>
      </c>
      <c r="F67" s="4" t="s">
        <v>410</v>
      </c>
      <c r="M67"/>
      <c r="N67"/>
      <c r="O67"/>
      <c r="P67"/>
      <c r="Q67"/>
      <c r="R67"/>
      <c r="S67"/>
      <c r="T67"/>
      <c r="U67"/>
      <c r="V67"/>
      <c r="W67"/>
      <c r="X67"/>
      <c r="Y67"/>
      <c r="Z67"/>
      <c r="AA67"/>
      <c r="AB67"/>
      <c r="AC67"/>
      <c r="AD67"/>
      <c r="AE67"/>
      <c r="AF67"/>
      <c r="AG67"/>
    </row>
    <row r="68" spans="1:33" ht="112" x14ac:dyDescent="0.2">
      <c r="A68" s="4" t="s">
        <v>247</v>
      </c>
      <c r="B68" s="4" t="s">
        <v>196</v>
      </c>
      <c r="C68" s="4" t="s">
        <v>248</v>
      </c>
      <c r="D68" s="4" t="s">
        <v>249</v>
      </c>
      <c r="E68" s="4" t="s">
        <v>251</v>
      </c>
      <c r="F68" s="4" t="s">
        <v>252</v>
      </c>
      <c r="M68"/>
      <c r="N68"/>
      <c r="O68"/>
      <c r="P68"/>
      <c r="Q68"/>
      <c r="R68"/>
      <c r="S68"/>
      <c r="T68"/>
      <c r="U68"/>
      <c r="V68"/>
      <c r="W68"/>
      <c r="X68"/>
      <c r="Y68"/>
      <c r="Z68"/>
      <c r="AA68"/>
      <c r="AB68"/>
      <c r="AC68"/>
      <c r="AD68"/>
      <c r="AE68"/>
      <c r="AF68"/>
      <c r="AG68"/>
    </row>
    <row r="69" spans="1:33" ht="16" x14ac:dyDescent="0.2">
      <c r="A69" s="4" t="s">
        <v>746</v>
      </c>
      <c r="B69" s="4" t="s">
        <v>746</v>
      </c>
      <c r="C69" s="4" t="s">
        <v>746</v>
      </c>
      <c r="D69" s="4" t="s">
        <v>746</v>
      </c>
      <c r="E69" s="4" t="s">
        <v>746</v>
      </c>
      <c r="F69" s="4" t="s">
        <v>746</v>
      </c>
      <c r="M69"/>
      <c r="N69"/>
      <c r="O69"/>
      <c r="P69"/>
      <c r="Q69"/>
      <c r="R69"/>
      <c r="S69"/>
      <c r="T69"/>
      <c r="U69"/>
      <c r="V69"/>
      <c r="W69"/>
      <c r="X69"/>
      <c r="Y69"/>
      <c r="Z69"/>
      <c r="AA69"/>
      <c r="AB69"/>
      <c r="AC69"/>
      <c r="AD69"/>
      <c r="AE69"/>
      <c r="AF69"/>
      <c r="AG69"/>
    </row>
    <row r="70" spans="1:33" ht="16" x14ac:dyDescent="0.2">
      <c r="A70" s="4" t="s">
        <v>747</v>
      </c>
      <c r="M70"/>
      <c r="N70"/>
      <c r="O70"/>
      <c r="P70"/>
      <c r="Q70"/>
      <c r="R70"/>
      <c r="S70"/>
      <c r="T70"/>
      <c r="U70"/>
      <c r="V70"/>
      <c r="W70"/>
      <c r="X70"/>
      <c r="Y70"/>
      <c r="Z70"/>
      <c r="AA70"/>
      <c r="AB70"/>
      <c r="AC70"/>
      <c r="AD70"/>
      <c r="AE70"/>
      <c r="AF70"/>
      <c r="AG70"/>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D85C-54BD-7443-8C38-E020FFC5F307}">
  <dimension ref="A1:J74"/>
  <sheetViews>
    <sheetView showGridLines="0" tabSelected="1" zoomScale="90" zoomScaleNormal="90" workbookViewId="0">
      <selection activeCell="D6" sqref="D6"/>
    </sheetView>
  </sheetViews>
  <sheetFormatPr baseColWidth="10" defaultRowHeight="15" x14ac:dyDescent="0.2"/>
  <cols>
    <col min="1" max="1" width="15.33203125" style="1" customWidth="1"/>
    <col min="2" max="2" width="30.83203125" style="1" customWidth="1"/>
    <col min="3" max="3" width="31" style="1" customWidth="1"/>
    <col min="4" max="9" width="30.83203125" style="1" customWidth="1"/>
    <col min="10" max="16384" width="10.83203125" style="1"/>
  </cols>
  <sheetData>
    <row r="1" spans="1:9" x14ac:dyDescent="0.2">
      <c r="A1" s="26" t="s">
        <v>788</v>
      </c>
      <c r="B1" s="27"/>
      <c r="C1" s="27"/>
      <c r="D1" s="27"/>
    </row>
    <row r="2" spans="1:9" x14ac:dyDescent="0.2">
      <c r="A2" s="28" t="s">
        <v>789</v>
      </c>
      <c r="B2" s="28"/>
      <c r="C2" s="28"/>
      <c r="D2" s="28"/>
    </row>
    <row r="3" spans="1:9" ht="16" x14ac:dyDescent="0.2">
      <c r="A3" s="20" t="s">
        <v>785</v>
      </c>
      <c r="B3" s="21" t="s">
        <v>792</v>
      </c>
      <c r="C3" s="22" t="s">
        <v>781</v>
      </c>
      <c r="D3" s="20" t="s">
        <v>782</v>
      </c>
    </row>
    <row r="4" spans="1:9" ht="96" x14ac:dyDescent="0.2">
      <c r="A4" s="23">
        <f>COUNTIFS($A$11:$A$74,"Y",$C$11:$C$74,"Modifiability",$D$11:$D$74,"Structure")</f>
        <v>21</v>
      </c>
      <c r="B4" s="24" t="s">
        <v>783</v>
      </c>
      <c r="C4" s="2" t="s">
        <v>793</v>
      </c>
      <c r="D4" s="2" t="s">
        <v>797</v>
      </c>
      <c r="G4"/>
      <c r="H4"/>
      <c r="I4"/>
    </row>
    <row r="5" spans="1:9" ht="96" x14ac:dyDescent="0.2">
      <c r="A5" s="23">
        <f>COUNTIFS($A$11:$A$74,"Y",$C$11:$C$74,"Modifiability",$D$11:$D$74,"Behavior")</f>
        <v>4</v>
      </c>
      <c r="B5" s="24" t="s">
        <v>784</v>
      </c>
      <c r="C5" s="2" t="s">
        <v>793</v>
      </c>
      <c r="D5" s="2" t="s">
        <v>798</v>
      </c>
      <c r="G5"/>
      <c r="H5"/>
      <c r="I5"/>
    </row>
    <row r="6" spans="1:9" ht="112" x14ac:dyDescent="0.2">
      <c r="A6" s="23">
        <f>COUNTIFS($A$11:$A$74,"Y",$C$11:$C$74,"Interoperability")</f>
        <v>3</v>
      </c>
      <c r="B6" s="24" t="s">
        <v>756</v>
      </c>
      <c r="C6" s="2" t="s">
        <v>794</v>
      </c>
      <c r="D6" s="2" t="s">
        <v>799</v>
      </c>
      <c r="G6"/>
      <c r="H6"/>
      <c r="I6"/>
    </row>
    <row r="7" spans="1:9" ht="80" x14ac:dyDescent="0.2">
      <c r="A7" s="23">
        <f>COUNTIFS($A$11:$A$74,"Y",$C$11:$C$74,"Comprehensibility")</f>
        <v>7</v>
      </c>
      <c r="B7" s="24" t="s">
        <v>757</v>
      </c>
      <c r="C7" s="2" t="s">
        <v>795</v>
      </c>
      <c r="D7" s="2" t="s">
        <v>800</v>
      </c>
      <c r="G7"/>
      <c r="H7"/>
      <c r="I7"/>
    </row>
    <row r="8" spans="1:9" ht="80" x14ac:dyDescent="0.2">
      <c r="A8" s="25">
        <f>COUNTIFS($A$11:$A$74,"Y",$C$11:$C$74,"Strategic Alignment")</f>
        <v>9</v>
      </c>
      <c r="B8" s="24" t="s">
        <v>758</v>
      </c>
      <c r="C8" s="2" t="s">
        <v>796</v>
      </c>
      <c r="D8" s="2" t="s">
        <v>801</v>
      </c>
      <c r="G8"/>
      <c r="H8"/>
      <c r="I8"/>
    </row>
    <row r="9" spans="1:9" x14ac:dyDescent="0.2">
      <c r="A9" s="4"/>
      <c r="B9" s="24"/>
      <c r="C9" s="2"/>
      <c r="D9" s="2"/>
      <c r="G9"/>
      <c r="H9"/>
      <c r="I9"/>
    </row>
    <row r="10" spans="1:9" x14ac:dyDescent="0.2">
      <c r="E10" s="29" t="s">
        <v>787</v>
      </c>
      <c r="F10" s="30"/>
      <c r="G10" s="30"/>
      <c r="H10" s="30"/>
      <c r="I10" s="30"/>
    </row>
    <row r="11" spans="1:9" ht="16" x14ac:dyDescent="0.2">
      <c r="A11" s="5" t="s">
        <v>759</v>
      </c>
      <c r="B11" s="5" t="s">
        <v>786</v>
      </c>
      <c r="C11" s="7" t="s">
        <v>790</v>
      </c>
      <c r="D11" s="8" t="s">
        <v>791</v>
      </c>
      <c r="E11" s="6" t="s">
        <v>748</v>
      </c>
      <c r="F11" s="7" t="s">
        <v>749</v>
      </c>
      <c r="G11" s="17" t="s">
        <v>750</v>
      </c>
      <c r="H11" s="7" t="s">
        <v>751</v>
      </c>
      <c r="I11" s="7" t="s">
        <v>752</v>
      </c>
    </row>
    <row r="12" spans="1:9" ht="176" x14ac:dyDescent="0.2">
      <c r="A12" s="4" t="s">
        <v>780</v>
      </c>
      <c r="B12" s="4"/>
      <c r="C12" s="12" t="s">
        <v>757</v>
      </c>
      <c r="D12" s="13"/>
      <c r="E12" s="9" t="s">
        <v>311</v>
      </c>
      <c r="F12" s="10" t="s">
        <v>464</v>
      </c>
      <c r="G12" s="18" t="s">
        <v>465</v>
      </c>
      <c r="H12" s="10" t="s">
        <v>467</v>
      </c>
      <c r="I12" s="10" t="s">
        <v>468</v>
      </c>
    </row>
    <row r="13" spans="1:9" ht="240" x14ac:dyDescent="0.2">
      <c r="A13" s="4" t="s">
        <v>780</v>
      </c>
      <c r="B13" s="4"/>
      <c r="C13" s="12" t="s">
        <v>757</v>
      </c>
      <c r="D13" s="13"/>
      <c r="E13" s="9" t="s">
        <v>303</v>
      </c>
      <c r="F13" s="10" t="s">
        <v>304</v>
      </c>
      <c r="G13" s="18" t="s">
        <v>305</v>
      </c>
      <c r="H13" s="10" t="s">
        <v>306</v>
      </c>
      <c r="I13" s="10" t="s">
        <v>307</v>
      </c>
    </row>
    <row r="14" spans="1:9" ht="112" x14ac:dyDescent="0.2">
      <c r="A14" s="4" t="s">
        <v>780</v>
      </c>
      <c r="B14" s="4"/>
      <c r="C14" s="12" t="s">
        <v>758</v>
      </c>
      <c r="D14" s="13"/>
      <c r="E14" s="9" t="s">
        <v>113</v>
      </c>
      <c r="F14" s="10" t="s">
        <v>379</v>
      </c>
      <c r="G14" s="18" t="s">
        <v>380</v>
      </c>
      <c r="H14" s="10" t="s">
        <v>381</v>
      </c>
      <c r="I14" s="10" t="s">
        <v>382</v>
      </c>
    </row>
    <row r="15" spans="1:9" ht="128" x14ac:dyDescent="0.2">
      <c r="A15" s="4" t="s">
        <v>780</v>
      </c>
      <c r="B15" s="4"/>
      <c r="C15" s="12" t="s">
        <v>753</v>
      </c>
      <c r="D15" s="13" t="s">
        <v>754</v>
      </c>
      <c r="E15" s="9" t="s">
        <v>352</v>
      </c>
      <c r="F15" s="10" t="s">
        <v>355</v>
      </c>
      <c r="G15" s="18" t="s">
        <v>356</v>
      </c>
      <c r="H15" s="10" t="s">
        <v>358</v>
      </c>
      <c r="I15" s="10" t="s">
        <v>359</v>
      </c>
    </row>
    <row r="16" spans="1:9" ht="112" x14ac:dyDescent="0.2">
      <c r="A16" s="4" t="s">
        <v>780</v>
      </c>
      <c r="B16" s="4"/>
      <c r="C16" s="12" t="s">
        <v>758</v>
      </c>
      <c r="D16" s="13"/>
      <c r="E16" s="9" t="s">
        <v>455</v>
      </c>
      <c r="F16" s="10" t="s">
        <v>457</v>
      </c>
      <c r="G16" s="18" t="s">
        <v>458</v>
      </c>
      <c r="H16" s="10" t="s">
        <v>459</v>
      </c>
      <c r="I16" s="10" t="s">
        <v>460</v>
      </c>
    </row>
    <row r="17" spans="1:10" ht="144" x14ac:dyDescent="0.2">
      <c r="A17" s="4" t="s">
        <v>780</v>
      </c>
      <c r="B17" s="4"/>
      <c r="C17" s="12" t="s">
        <v>753</v>
      </c>
      <c r="D17" s="13" t="s">
        <v>755</v>
      </c>
      <c r="E17" s="9" t="s">
        <v>195</v>
      </c>
      <c r="F17" s="10" t="s">
        <v>552</v>
      </c>
      <c r="G17" s="18" t="s">
        <v>553</v>
      </c>
      <c r="H17" s="10" t="s">
        <v>555</v>
      </c>
      <c r="I17" s="10"/>
    </row>
    <row r="18" spans="1:10" ht="64" x14ac:dyDescent="0.2">
      <c r="A18" s="4" t="s">
        <v>780</v>
      </c>
      <c r="B18" s="4"/>
      <c r="C18" s="12" t="s">
        <v>753</v>
      </c>
      <c r="D18" s="13" t="s">
        <v>754</v>
      </c>
      <c r="E18" s="9" t="s">
        <v>325</v>
      </c>
      <c r="F18" s="10" t="s">
        <v>439</v>
      </c>
      <c r="G18" s="18" t="s">
        <v>440</v>
      </c>
      <c r="H18" s="10"/>
      <c r="I18" s="10" t="s">
        <v>442</v>
      </c>
    </row>
    <row r="19" spans="1:10" ht="112" x14ac:dyDescent="0.2">
      <c r="A19" s="4" t="s">
        <v>780</v>
      </c>
      <c r="B19" s="4"/>
      <c r="C19" s="12" t="s">
        <v>756</v>
      </c>
      <c r="D19" s="13"/>
      <c r="E19" s="9" t="s">
        <v>396</v>
      </c>
      <c r="F19" s="10" t="s">
        <v>626</v>
      </c>
      <c r="G19" s="18" t="s">
        <v>627</v>
      </c>
      <c r="H19" s="10" t="s">
        <v>628</v>
      </c>
      <c r="I19" s="10" t="s">
        <v>629</v>
      </c>
    </row>
    <row r="20" spans="1:10" ht="80" x14ac:dyDescent="0.2">
      <c r="A20" s="4" t="s">
        <v>760</v>
      </c>
      <c r="B20" s="4" t="s">
        <v>761</v>
      </c>
      <c r="C20" s="12"/>
      <c r="D20" s="13"/>
      <c r="E20" s="9" t="s">
        <v>472</v>
      </c>
      <c r="F20" s="10" t="s">
        <v>473</v>
      </c>
      <c r="G20" s="11"/>
      <c r="H20" s="10" t="s">
        <v>474</v>
      </c>
      <c r="I20" s="10"/>
    </row>
    <row r="21" spans="1:10" ht="176" x14ac:dyDescent="0.2">
      <c r="A21" s="4" t="s">
        <v>780</v>
      </c>
      <c r="B21" s="4"/>
      <c r="C21" s="12" t="s">
        <v>753</v>
      </c>
      <c r="D21" s="13" t="s">
        <v>754</v>
      </c>
      <c r="E21" s="9" t="s">
        <v>508</v>
      </c>
      <c r="F21" s="10" t="s">
        <v>510</v>
      </c>
      <c r="G21" s="18" t="s">
        <v>511</v>
      </c>
      <c r="H21" s="10" t="s">
        <v>513</v>
      </c>
      <c r="I21" s="10" t="s">
        <v>514</v>
      </c>
    </row>
    <row r="22" spans="1:10" ht="112" x14ac:dyDescent="0.2">
      <c r="A22" s="4" t="s">
        <v>780</v>
      </c>
      <c r="B22" s="4"/>
      <c r="C22" s="12" t="s">
        <v>753</v>
      </c>
      <c r="D22" s="13" t="s">
        <v>754</v>
      </c>
      <c r="E22" s="9" t="s">
        <v>183</v>
      </c>
      <c r="F22" s="10" t="s">
        <v>185</v>
      </c>
      <c r="G22" s="18" t="s">
        <v>186</v>
      </c>
      <c r="H22" s="10" t="s">
        <v>188</v>
      </c>
      <c r="I22" s="10" t="s">
        <v>189</v>
      </c>
    </row>
    <row r="23" spans="1:10" ht="160" x14ac:dyDescent="0.2">
      <c r="A23" s="4" t="s">
        <v>780</v>
      </c>
      <c r="B23" s="4"/>
      <c r="C23" s="12" t="s">
        <v>753</v>
      </c>
      <c r="D23" s="13" t="s">
        <v>755</v>
      </c>
      <c r="E23" s="9" t="s">
        <v>210</v>
      </c>
      <c r="F23" s="10" t="s">
        <v>211</v>
      </c>
      <c r="G23" s="18" t="s">
        <v>212</v>
      </c>
      <c r="H23" s="10" t="s">
        <v>213</v>
      </c>
      <c r="I23" s="10" t="s">
        <v>214</v>
      </c>
      <c r="J23" s="4" t="s">
        <v>753</v>
      </c>
    </row>
    <row r="24" spans="1:10" ht="112" x14ac:dyDescent="0.2">
      <c r="A24" s="4" t="s">
        <v>780</v>
      </c>
      <c r="B24" s="4"/>
      <c r="C24" s="12" t="s">
        <v>753</v>
      </c>
      <c r="D24" s="13" t="s">
        <v>754</v>
      </c>
      <c r="E24" s="9" t="s">
        <v>541</v>
      </c>
      <c r="F24" s="10" t="s">
        <v>735</v>
      </c>
      <c r="G24" s="18" t="s">
        <v>736</v>
      </c>
      <c r="H24" s="10" t="s">
        <v>738</v>
      </c>
      <c r="I24" s="10" t="s">
        <v>739</v>
      </c>
    </row>
    <row r="25" spans="1:10" ht="64" x14ac:dyDescent="0.2">
      <c r="A25" s="4" t="s">
        <v>760</v>
      </c>
      <c r="B25" s="4" t="s">
        <v>762</v>
      </c>
      <c r="C25" s="12"/>
      <c r="D25" s="13"/>
      <c r="E25" s="9" t="s">
        <v>644</v>
      </c>
      <c r="F25" s="10" t="s">
        <v>645</v>
      </c>
      <c r="G25" s="11"/>
      <c r="H25" s="10" t="s">
        <v>646</v>
      </c>
      <c r="I25" s="10"/>
    </row>
    <row r="26" spans="1:10" ht="128" x14ac:dyDescent="0.2">
      <c r="A26" s="4" t="s">
        <v>760</v>
      </c>
      <c r="B26" s="4" t="s">
        <v>763</v>
      </c>
      <c r="C26" s="12"/>
      <c r="D26" s="13"/>
      <c r="E26" s="9" t="s">
        <v>24</v>
      </c>
      <c r="F26" s="10" t="s">
        <v>26</v>
      </c>
      <c r="G26" s="11" t="s">
        <v>27</v>
      </c>
      <c r="H26" s="10" t="s">
        <v>29</v>
      </c>
      <c r="I26" s="10" t="s">
        <v>30</v>
      </c>
    </row>
    <row r="27" spans="1:10" ht="208" x14ac:dyDescent="0.2">
      <c r="A27" s="4" t="s">
        <v>780</v>
      </c>
      <c r="B27" s="4"/>
      <c r="C27" s="12" t="s">
        <v>753</v>
      </c>
      <c r="D27" s="13" t="s">
        <v>754</v>
      </c>
      <c r="E27" s="9" t="s">
        <v>164</v>
      </c>
      <c r="F27" s="10" t="s">
        <v>166</v>
      </c>
      <c r="G27" s="18" t="s">
        <v>167</v>
      </c>
      <c r="H27" s="10" t="s">
        <v>169</v>
      </c>
      <c r="I27" s="10" t="s">
        <v>170</v>
      </c>
    </row>
    <row r="28" spans="1:10" ht="96" x14ac:dyDescent="0.2">
      <c r="A28" s="4" t="s">
        <v>780</v>
      </c>
      <c r="B28" s="4"/>
      <c r="C28" s="12" t="s">
        <v>757</v>
      </c>
      <c r="D28" s="13"/>
      <c r="E28" s="9" t="s">
        <v>329</v>
      </c>
      <c r="F28" s="10" t="s">
        <v>330</v>
      </c>
      <c r="G28" s="18" t="s">
        <v>331</v>
      </c>
      <c r="H28" s="10" t="s">
        <v>332</v>
      </c>
      <c r="I28" s="10" t="s">
        <v>333</v>
      </c>
    </row>
    <row r="29" spans="1:10" ht="64" x14ac:dyDescent="0.2">
      <c r="A29" s="4" t="s">
        <v>780</v>
      </c>
      <c r="B29" s="4"/>
      <c r="C29" s="12" t="s">
        <v>753</v>
      </c>
      <c r="D29" s="13" t="s">
        <v>754</v>
      </c>
      <c r="E29" s="9" t="s">
        <v>77</v>
      </c>
      <c r="F29" s="10" t="s">
        <v>660</v>
      </c>
      <c r="G29" s="18" t="s">
        <v>661</v>
      </c>
      <c r="H29" s="10" t="s">
        <v>663</v>
      </c>
      <c r="I29" s="10" t="s">
        <v>664</v>
      </c>
    </row>
    <row r="30" spans="1:10" ht="224" x14ac:dyDescent="0.2">
      <c r="A30" s="4" t="s">
        <v>780</v>
      </c>
      <c r="B30" s="4"/>
      <c r="C30" s="12" t="s">
        <v>757</v>
      </c>
      <c r="D30" s="13"/>
      <c r="E30" s="9" t="s">
        <v>312</v>
      </c>
      <c r="F30" s="10" t="s">
        <v>685</v>
      </c>
      <c r="G30" s="18" t="s">
        <v>686</v>
      </c>
      <c r="H30" s="10"/>
      <c r="I30" s="10" t="s">
        <v>688</v>
      </c>
    </row>
    <row r="31" spans="1:10" ht="320" x14ac:dyDescent="0.2">
      <c r="A31" s="4" t="s">
        <v>780</v>
      </c>
      <c r="B31" s="4"/>
      <c r="C31" s="12" t="s">
        <v>753</v>
      </c>
      <c r="D31" s="13" t="s">
        <v>754</v>
      </c>
      <c r="E31" s="9" t="s">
        <v>314</v>
      </c>
      <c r="F31" s="10" t="s">
        <v>315</v>
      </c>
      <c r="G31" s="18" t="s">
        <v>316</v>
      </c>
      <c r="H31" s="10" t="s">
        <v>318</v>
      </c>
      <c r="I31" s="10" t="s">
        <v>319</v>
      </c>
    </row>
    <row r="32" spans="1:10" ht="160" x14ac:dyDescent="0.2">
      <c r="A32" s="4" t="s">
        <v>780</v>
      </c>
      <c r="B32" s="4"/>
      <c r="C32" s="12" t="s">
        <v>753</v>
      </c>
      <c r="D32" s="13" t="s">
        <v>755</v>
      </c>
      <c r="E32" s="9" t="s">
        <v>197</v>
      </c>
      <c r="F32" s="10" t="s">
        <v>477</v>
      </c>
      <c r="G32" s="18" t="s">
        <v>478</v>
      </c>
      <c r="H32" s="10"/>
      <c r="I32" s="10" t="s">
        <v>480</v>
      </c>
    </row>
    <row r="33" spans="1:9" ht="176" x14ac:dyDescent="0.2">
      <c r="A33" s="4" t="s">
        <v>780</v>
      </c>
      <c r="B33" s="4"/>
      <c r="C33" s="12" t="s">
        <v>758</v>
      </c>
      <c r="D33" s="13"/>
      <c r="E33" s="9" t="s">
        <v>115</v>
      </c>
      <c r="F33" s="10" t="s">
        <v>239</v>
      </c>
      <c r="G33" s="18" t="s">
        <v>240</v>
      </c>
      <c r="H33" s="10" t="s">
        <v>241</v>
      </c>
      <c r="I33" s="10" t="s">
        <v>242</v>
      </c>
    </row>
    <row r="34" spans="1:9" ht="128" x14ac:dyDescent="0.2">
      <c r="A34" s="4" t="s">
        <v>780</v>
      </c>
      <c r="B34" s="4"/>
      <c r="C34" s="12" t="s">
        <v>753</v>
      </c>
      <c r="D34" s="13" t="s">
        <v>754</v>
      </c>
      <c r="E34" s="9" t="s">
        <v>64</v>
      </c>
      <c r="F34" s="10" t="s">
        <v>66</v>
      </c>
      <c r="G34" s="18" t="s">
        <v>67</v>
      </c>
      <c r="H34" s="10" t="s">
        <v>69</v>
      </c>
      <c r="I34" s="10" t="s">
        <v>70</v>
      </c>
    </row>
    <row r="35" spans="1:9" ht="192" x14ac:dyDescent="0.2">
      <c r="A35" s="4" t="s">
        <v>760</v>
      </c>
      <c r="B35" s="4" t="s">
        <v>764</v>
      </c>
      <c r="C35" s="12"/>
      <c r="D35" s="13"/>
      <c r="E35" s="9" t="s">
        <v>363</v>
      </c>
      <c r="F35" s="10" t="s">
        <v>364</v>
      </c>
      <c r="G35" s="11" t="s">
        <v>365</v>
      </c>
      <c r="H35" s="10" t="s">
        <v>367</v>
      </c>
      <c r="I35" s="10" t="s">
        <v>368</v>
      </c>
    </row>
    <row r="36" spans="1:9" ht="96" x14ac:dyDescent="0.2">
      <c r="A36" s="4" t="s">
        <v>780</v>
      </c>
      <c r="B36" s="4"/>
      <c r="C36" s="12" t="s">
        <v>753</v>
      </c>
      <c r="D36" s="13" t="s">
        <v>754</v>
      </c>
      <c r="E36" s="9" t="s">
        <v>229</v>
      </c>
      <c r="F36" s="10" t="s">
        <v>230</v>
      </c>
      <c r="G36" s="18" t="s">
        <v>231</v>
      </c>
      <c r="H36" s="10"/>
      <c r="I36" s="10" t="s">
        <v>232</v>
      </c>
    </row>
    <row r="37" spans="1:9" ht="96" x14ac:dyDescent="0.2">
      <c r="A37" s="4" t="s">
        <v>780</v>
      </c>
      <c r="B37" s="4"/>
      <c r="C37" s="12" t="s">
        <v>756</v>
      </c>
      <c r="D37" s="13"/>
      <c r="E37" s="9" t="s">
        <v>336</v>
      </c>
      <c r="F37" s="10" t="s">
        <v>546</v>
      </c>
      <c r="G37" s="18" t="s">
        <v>547</v>
      </c>
      <c r="H37" s="10" t="s">
        <v>548</v>
      </c>
      <c r="I37" s="10"/>
    </row>
    <row r="38" spans="1:9" ht="208" x14ac:dyDescent="0.2">
      <c r="A38" s="4" t="s">
        <v>760</v>
      </c>
      <c r="B38" s="4" t="s">
        <v>765</v>
      </c>
      <c r="C38" s="12"/>
      <c r="D38" s="13"/>
      <c r="E38" s="9" t="s">
        <v>417</v>
      </c>
      <c r="F38" s="10" t="s">
        <v>418</v>
      </c>
      <c r="G38" s="11" t="s">
        <v>419</v>
      </c>
      <c r="H38" s="10" t="s">
        <v>421</v>
      </c>
      <c r="I38" s="10" t="s">
        <v>30</v>
      </c>
    </row>
    <row r="39" spans="1:9" ht="208" x14ac:dyDescent="0.2">
      <c r="A39" s="4" t="s">
        <v>760</v>
      </c>
      <c r="B39" s="4" t="s">
        <v>766</v>
      </c>
      <c r="C39" s="12"/>
      <c r="D39" s="13"/>
      <c r="E39" s="9" t="s">
        <v>200</v>
      </c>
      <c r="F39" s="10" t="s">
        <v>201</v>
      </c>
      <c r="G39" s="11" t="s">
        <v>202</v>
      </c>
      <c r="H39" s="10" t="s">
        <v>204</v>
      </c>
      <c r="I39" s="10"/>
    </row>
    <row r="40" spans="1:9" ht="208" x14ac:dyDescent="0.2">
      <c r="A40" s="4" t="s">
        <v>780</v>
      </c>
      <c r="B40" s="4"/>
      <c r="C40" s="12" t="s">
        <v>757</v>
      </c>
      <c r="D40" s="13"/>
      <c r="E40" s="9" t="s">
        <v>449</v>
      </c>
      <c r="F40" s="10" t="s">
        <v>450</v>
      </c>
      <c r="G40" s="18" t="s">
        <v>451</v>
      </c>
      <c r="H40" s="10" t="s">
        <v>452</v>
      </c>
      <c r="I40" s="10"/>
    </row>
    <row r="41" spans="1:9" ht="224" x14ac:dyDescent="0.2">
      <c r="A41" s="4" t="s">
        <v>760</v>
      </c>
      <c r="B41" s="4" t="s">
        <v>767</v>
      </c>
      <c r="C41" s="12"/>
      <c r="D41" s="13"/>
      <c r="E41" s="9" t="s">
        <v>606</v>
      </c>
      <c r="F41" s="10" t="s">
        <v>607</v>
      </c>
      <c r="G41" s="11" t="s">
        <v>451</v>
      </c>
      <c r="H41" s="10" t="s">
        <v>609</v>
      </c>
      <c r="I41" s="10"/>
    </row>
    <row r="42" spans="1:9" ht="176" x14ac:dyDescent="0.2">
      <c r="A42" s="4" t="s">
        <v>760</v>
      </c>
      <c r="B42" s="4" t="s">
        <v>768</v>
      </c>
      <c r="C42" s="12"/>
      <c r="D42" s="13"/>
      <c r="E42" s="9" t="s">
        <v>427</v>
      </c>
      <c r="F42" s="10" t="s">
        <v>428</v>
      </c>
      <c r="G42" s="11" t="s">
        <v>429</v>
      </c>
      <c r="H42" s="10" t="s">
        <v>431</v>
      </c>
      <c r="I42" s="10"/>
    </row>
    <row r="43" spans="1:9" ht="48" x14ac:dyDescent="0.2">
      <c r="A43" s="4" t="s">
        <v>760</v>
      </c>
      <c r="B43" s="4" t="s">
        <v>769</v>
      </c>
      <c r="C43" s="12"/>
      <c r="D43" s="13"/>
      <c r="E43" s="9" t="s">
        <v>98</v>
      </c>
      <c r="F43" s="10" t="s">
        <v>99</v>
      </c>
      <c r="G43" s="11"/>
      <c r="H43" s="10" t="s">
        <v>100</v>
      </c>
      <c r="I43" s="10"/>
    </row>
    <row r="44" spans="1:9" ht="48" x14ac:dyDescent="0.2">
      <c r="A44" s="4" t="s">
        <v>760</v>
      </c>
      <c r="B44" s="4" t="s">
        <v>770</v>
      </c>
      <c r="C44" s="12"/>
      <c r="D44" s="13"/>
      <c r="E44" s="9" t="s">
        <v>715</v>
      </c>
      <c r="F44" s="10" t="s">
        <v>716</v>
      </c>
      <c r="G44" s="11"/>
      <c r="H44" s="10" t="s">
        <v>717</v>
      </c>
      <c r="I44" s="10"/>
    </row>
    <row r="45" spans="1:9" ht="176" x14ac:dyDescent="0.2">
      <c r="A45" s="4" t="s">
        <v>780</v>
      </c>
      <c r="B45" s="4"/>
      <c r="C45" s="12" t="s">
        <v>753</v>
      </c>
      <c r="D45" s="13" t="s">
        <v>754</v>
      </c>
      <c r="E45" s="9" t="s">
        <v>76</v>
      </c>
      <c r="F45" s="10" t="s">
        <v>533</v>
      </c>
      <c r="G45" s="18" t="s">
        <v>534</v>
      </c>
      <c r="H45" s="10"/>
      <c r="I45" s="10" t="s">
        <v>536</v>
      </c>
    </row>
    <row r="46" spans="1:9" ht="208" x14ac:dyDescent="0.2">
      <c r="A46" s="4" t="s">
        <v>780</v>
      </c>
      <c r="B46" s="4"/>
      <c r="C46" s="12" t="s">
        <v>753</v>
      </c>
      <c r="D46" s="13" t="s">
        <v>755</v>
      </c>
      <c r="E46" s="9" t="s">
        <v>257</v>
      </c>
      <c r="F46" s="10" t="s">
        <v>580</v>
      </c>
      <c r="G46" s="18" t="s">
        <v>581</v>
      </c>
      <c r="H46" s="10" t="s">
        <v>583</v>
      </c>
      <c r="I46" s="10" t="s">
        <v>584</v>
      </c>
    </row>
    <row r="47" spans="1:9" ht="64" x14ac:dyDescent="0.2">
      <c r="A47" s="4" t="s">
        <v>760</v>
      </c>
      <c r="B47" s="4" t="s">
        <v>771</v>
      </c>
      <c r="C47" s="12"/>
      <c r="D47" s="13"/>
      <c r="E47" s="9" t="s">
        <v>400</v>
      </c>
      <c r="F47" s="10" t="s">
        <v>401</v>
      </c>
      <c r="G47" s="11"/>
      <c r="H47" s="10" t="s">
        <v>402</v>
      </c>
      <c r="I47" s="10"/>
    </row>
    <row r="48" spans="1:9" ht="160" x14ac:dyDescent="0.2">
      <c r="A48" s="4" t="s">
        <v>780</v>
      </c>
      <c r="B48" s="4"/>
      <c r="C48" s="12" t="s">
        <v>757</v>
      </c>
      <c r="D48" s="13"/>
      <c r="E48" s="9" t="s">
        <v>143</v>
      </c>
      <c r="F48" s="10" t="s">
        <v>145</v>
      </c>
      <c r="G48" s="18" t="s">
        <v>146</v>
      </c>
      <c r="H48" s="10" t="s">
        <v>148</v>
      </c>
      <c r="I48" s="10" t="s">
        <v>149</v>
      </c>
    </row>
    <row r="49" spans="1:9" ht="128" x14ac:dyDescent="0.2">
      <c r="A49" s="4" t="s">
        <v>760</v>
      </c>
      <c r="B49" s="4" t="s">
        <v>772</v>
      </c>
      <c r="C49" s="12"/>
      <c r="D49" s="13"/>
      <c r="E49" s="9" t="s">
        <v>670</v>
      </c>
      <c r="F49" s="10" t="s">
        <v>671</v>
      </c>
      <c r="G49" s="11" t="s">
        <v>672</v>
      </c>
      <c r="H49" s="10" t="s">
        <v>673</v>
      </c>
      <c r="I49" s="10" t="s">
        <v>149</v>
      </c>
    </row>
    <row r="50" spans="1:9" ht="96" x14ac:dyDescent="0.2">
      <c r="A50" s="4" t="s">
        <v>760</v>
      </c>
      <c r="B50" s="4" t="s">
        <v>773</v>
      </c>
      <c r="C50" s="12"/>
      <c r="D50" s="13"/>
      <c r="E50" s="9" t="s">
        <v>593</v>
      </c>
      <c r="F50" s="10" t="s">
        <v>594</v>
      </c>
      <c r="G50" s="11" t="s">
        <v>595</v>
      </c>
      <c r="H50" s="10" t="s">
        <v>597</v>
      </c>
      <c r="I50" s="10"/>
    </row>
    <row r="51" spans="1:9" ht="192" x14ac:dyDescent="0.2">
      <c r="A51" s="4" t="s">
        <v>780</v>
      </c>
      <c r="B51" s="4"/>
      <c r="C51" s="12" t="s">
        <v>753</v>
      </c>
      <c r="D51" s="13" t="s">
        <v>754</v>
      </c>
      <c r="E51" s="9" t="s">
        <v>54</v>
      </c>
      <c r="F51" s="10" t="s">
        <v>386</v>
      </c>
      <c r="G51" s="18" t="s">
        <v>387</v>
      </c>
      <c r="H51" s="10" t="s">
        <v>389</v>
      </c>
      <c r="I51" s="10" t="s">
        <v>390</v>
      </c>
    </row>
    <row r="52" spans="1:9" ht="128" x14ac:dyDescent="0.2">
      <c r="A52" s="4" t="s">
        <v>780</v>
      </c>
      <c r="B52" s="4"/>
      <c r="C52" s="12" t="s">
        <v>753</v>
      </c>
      <c r="D52" s="13" t="s">
        <v>754</v>
      </c>
      <c r="E52" s="9" t="s">
        <v>56</v>
      </c>
      <c r="F52" s="10" t="s">
        <v>720</v>
      </c>
      <c r="G52" s="18" t="s">
        <v>721</v>
      </c>
      <c r="H52" s="10" t="s">
        <v>723</v>
      </c>
      <c r="I52" s="10" t="s">
        <v>724</v>
      </c>
    </row>
    <row r="53" spans="1:9" ht="192" x14ac:dyDescent="0.2">
      <c r="A53" s="4" t="s">
        <v>780</v>
      </c>
      <c r="B53" s="4"/>
      <c r="C53" s="12" t="s">
        <v>758</v>
      </c>
      <c r="D53" s="13"/>
      <c r="E53" s="9" t="s">
        <v>114</v>
      </c>
      <c r="F53" s="10" t="s">
        <v>266</v>
      </c>
      <c r="G53" s="18" t="s">
        <v>267</v>
      </c>
      <c r="H53" s="10" t="s">
        <v>269</v>
      </c>
      <c r="I53" s="10" t="s">
        <v>270</v>
      </c>
    </row>
    <row r="54" spans="1:9" ht="112" x14ac:dyDescent="0.2">
      <c r="A54" s="4" t="s">
        <v>780</v>
      </c>
      <c r="B54" s="4"/>
      <c r="C54" s="12" t="s">
        <v>758</v>
      </c>
      <c r="D54" s="13"/>
      <c r="E54" s="9" t="s">
        <v>105</v>
      </c>
      <c r="F54" s="10" t="s">
        <v>107</v>
      </c>
      <c r="G54" s="18" t="s">
        <v>108</v>
      </c>
      <c r="H54" s="10" t="s">
        <v>109</v>
      </c>
      <c r="I54" s="10" t="s">
        <v>110</v>
      </c>
    </row>
    <row r="55" spans="1:9" ht="144" x14ac:dyDescent="0.2">
      <c r="A55" s="4" t="s">
        <v>780</v>
      </c>
      <c r="B55" s="4"/>
      <c r="C55" s="12" t="s">
        <v>757</v>
      </c>
      <c r="D55" s="13"/>
      <c r="E55" s="9" t="s">
        <v>361</v>
      </c>
      <c r="F55" s="10" t="s">
        <v>648</v>
      </c>
      <c r="G55" s="18" t="s">
        <v>649</v>
      </c>
      <c r="H55" s="10" t="s">
        <v>651</v>
      </c>
      <c r="I55" s="10" t="s">
        <v>652</v>
      </c>
    </row>
    <row r="56" spans="1:9" ht="112" x14ac:dyDescent="0.2">
      <c r="A56" s="4" t="s">
        <v>760</v>
      </c>
      <c r="B56" s="4" t="s">
        <v>774</v>
      </c>
      <c r="C56" s="12"/>
      <c r="D56" s="13"/>
      <c r="E56" s="9" t="s">
        <v>705</v>
      </c>
      <c r="F56" s="10" t="s">
        <v>706</v>
      </c>
      <c r="G56" s="11" t="s">
        <v>707</v>
      </c>
      <c r="H56" s="10" t="s">
        <v>709</v>
      </c>
      <c r="I56" s="10"/>
    </row>
    <row r="57" spans="1:9" ht="128" x14ac:dyDescent="0.2">
      <c r="A57" s="4" t="s">
        <v>760</v>
      </c>
      <c r="B57" s="4" t="s">
        <v>775</v>
      </c>
      <c r="C57" s="12"/>
      <c r="D57" s="13"/>
      <c r="E57" s="9" t="s">
        <v>615</v>
      </c>
      <c r="F57" s="10" t="s">
        <v>616</v>
      </c>
      <c r="G57" s="11" t="s">
        <v>617</v>
      </c>
      <c r="H57" s="10" t="s">
        <v>619</v>
      </c>
      <c r="I57" s="10"/>
    </row>
    <row r="58" spans="1:9" ht="64" x14ac:dyDescent="0.2">
      <c r="A58" s="4" t="s">
        <v>780</v>
      </c>
      <c r="B58" s="4"/>
      <c r="C58" s="12" t="s">
        <v>753</v>
      </c>
      <c r="D58" s="13" t="s">
        <v>754</v>
      </c>
      <c r="E58" s="9" t="s">
        <v>84</v>
      </c>
      <c r="F58" s="10" t="s">
        <v>85</v>
      </c>
      <c r="G58" s="18" t="s">
        <v>86</v>
      </c>
      <c r="H58" s="10" t="s">
        <v>88</v>
      </c>
      <c r="I58" s="10" t="s">
        <v>89</v>
      </c>
    </row>
    <row r="59" spans="1:9" ht="144" x14ac:dyDescent="0.2">
      <c r="A59" s="4" t="s">
        <v>780</v>
      </c>
      <c r="B59" s="4"/>
      <c r="C59" s="12" t="s">
        <v>753</v>
      </c>
      <c r="D59" s="13" t="s">
        <v>754</v>
      </c>
      <c r="E59" s="9" t="s">
        <v>118</v>
      </c>
      <c r="F59" s="10" t="s">
        <v>119</v>
      </c>
      <c r="G59" s="18" t="s">
        <v>120</v>
      </c>
      <c r="H59" s="10" t="s">
        <v>122</v>
      </c>
      <c r="I59" s="10" t="s">
        <v>123</v>
      </c>
    </row>
    <row r="60" spans="1:9" ht="128" x14ac:dyDescent="0.2">
      <c r="A60" s="4" t="s">
        <v>780</v>
      </c>
      <c r="B60" s="4"/>
      <c r="C60" s="12" t="s">
        <v>753</v>
      </c>
      <c r="D60" s="13" t="s">
        <v>754</v>
      </c>
      <c r="E60" s="9" t="s">
        <v>130</v>
      </c>
      <c r="F60" s="10" t="s">
        <v>133</v>
      </c>
      <c r="G60" s="18" t="s">
        <v>134</v>
      </c>
      <c r="H60" s="10" t="s">
        <v>136</v>
      </c>
      <c r="I60" s="10"/>
    </row>
    <row r="61" spans="1:9" ht="144" x14ac:dyDescent="0.2">
      <c r="A61" s="4" t="s">
        <v>780</v>
      </c>
      <c r="B61" s="4"/>
      <c r="C61" s="12" t="s">
        <v>753</v>
      </c>
      <c r="D61" s="13" t="s">
        <v>754</v>
      </c>
      <c r="E61" s="9" t="s">
        <v>43</v>
      </c>
      <c r="F61" s="10" t="s">
        <v>44</v>
      </c>
      <c r="G61" s="18" t="s">
        <v>45</v>
      </c>
      <c r="H61" s="10"/>
      <c r="I61" s="10" t="s">
        <v>30</v>
      </c>
    </row>
    <row r="62" spans="1:9" ht="272" x14ac:dyDescent="0.2">
      <c r="A62" s="4" t="s">
        <v>780</v>
      </c>
      <c r="B62" s="4"/>
      <c r="C62" s="12" t="s">
        <v>756</v>
      </c>
      <c r="D62" s="13"/>
      <c r="E62" s="9" t="s">
        <v>310</v>
      </c>
      <c r="F62" s="10" t="s">
        <v>487</v>
      </c>
      <c r="G62" s="18" t="s">
        <v>488</v>
      </c>
      <c r="H62" s="10" t="s">
        <v>490</v>
      </c>
      <c r="I62" s="10" t="s">
        <v>491</v>
      </c>
    </row>
    <row r="63" spans="1:9" ht="224" x14ac:dyDescent="0.2">
      <c r="A63" s="4" t="s">
        <v>780</v>
      </c>
      <c r="B63" s="4"/>
      <c r="C63" s="12" t="s">
        <v>753</v>
      </c>
      <c r="D63" s="13" t="s">
        <v>754</v>
      </c>
      <c r="E63" s="9" t="s">
        <v>695</v>
      </c>
      <c r="F63" s="10" t="s">
        <v>696</v>
      </c>
      <c r="G63" s="18" t="s">
        <v>697</v>
      </c>
      <c r="H63" s="10" t="s">
        <v>699</v>
      </c>
      <c r="I63" s="10" t="s">
        <v>700</v>
      </c>
    </row>
    <row r="64" spans="1:9" ht="112" x14ac:dyDescent="0.2">
      <c r="A64" s="4" t="s">
        <v>780</v>
      </c>
      <c r="B64" s="4"/>
      <c r="C64" s="12" t="s">
        <v>758</v>
      </c>
      <c r="D64" s="13"/>
      <c r="E64" s="9" t="s">
        <v>259</v>
      </c>
      <c r="F64" s="10" t="s">
        <v>260</v>
      </c>
      <c r="G64" s="18" t="s">
        <v>261</v>
      </c>
      <c r="H64" s="10"/>
      <c r="I64" s="10" t="s">
        <v>262</v>
      </c>
    </row>
    <row r="65" spans="1:9" ht="320" x14ac:dyDescent="0.2">
      <c r="A65" s="4" t="s">
        <v>780</v>
      </c>
      <c r="B65" s="4"/>
      <c r="C65" s="12" t="s">
        <v>753</v>
      </c>
      <c r="D65" s="13" t="s">
        <v>754</v>
      </c>
      <c r="E65" s="9" t="s">
        <v>338</v>
      </c>
      <c r="F65" s="10" t="s">
        <v>340</v>
      </c>
      <c r="G65" s="18" t="s">
        <v>341</v>
      </c>
      <c r="H65" s="10" t="s">
        <v>343</v>
      </c>
      <c r="I65" s="10" t="s">
        <v>344</v>
      </c>
    </row>
    <row r="66" spans="1:9" ht="128" x14ac:dyDescent="0.2">
      <c r="A66" s="4" t="s">
        <v>780</v>
      </c>
      <c r="B66" s="4"/>
      <c r="C66" s="12" t="s">
        <v>758</v>
      </c>
      <c r="D66" s="13"/>
      <c r="E66" s="9" t="s">
        <v>245</v>
      </c>
      <c r="F66" s="10" t="s">
        <v>296</v>
      </c>
      <c r="G66" s="18" t="s">
        <v>297</v>
      </c>
      <c r="H66" s="10" t="s">
        <v>298</v>
      </c>
      <c r="I66" s="10" t="s">
        <v>299</v>
      </c>
    </row>
    <row r="67" spans="1:9" ht="96" x14ac:dyDescent="0.2">
      <c r="A67" s="4" t="s">
        <v>760</v>
      </c>
      <c r="B67" s="4" t="s">
        <v>776</v>
      </c>
      <c r="C67" s="12"/>
      <c r="D67" s="13"/>
      <c r="E67" s="9" t="s">
        <v>633</v>
      </c>
      <c r="F67" s="10" t="s">
        <v>634</v>
      </c>
      <c r="G67" s="11" t="s">
        <v>635</v>
      </c>
      <c r="H67" s="10" t="s">
        <v>637</v>
      </c>
      <c r="I67" s="10"/>
    </row>
    <row r="68" spans="1:9" ht="128" x14ac:dyDescent="0.2">
      <c r="A68" s="4" t="s">
        <v>760</v>
      </c>
      <c r="B68" s="4" t="s">
        <v>777</v>
      </c>
      <c r="C68" s="12"/>
      <c r="D68" s="13"/>
      <c r="E68" s="9" t="s">
        <v>521</v>
      </c>
      <c r="F68" s="10" t="s">
        <v>522</v>
      </c>
      <c r="G68" s="11" t="s">
        <v>523</v>
      </c>
      <c r="H68" s="10" t="s">
        <v>525</v>
      </c>
      <c r="I68" s="10" t="s">
        <v>30</v>
      </c>
    </row>
    <row r="69" spans="1:9" ht="80" x14ac:dyDescent="0.2">
      <c r="A69" s="4" t="s">
        <v>760</v>
      </c>
      <c r="B69" s="4" t="s">
        <v>778</v>
      </c>
      <c r="C69" s="12"/>
      <c r="D69" s="13"/>
      <c r="E69" s="9" t="s">
        <v>500</v>
      </c>
      <c r="F69" s="10" t="s">
        <v>502</v>
      </c>
      <c r="G69" s="11"/>
      <c r="H69" s="10" t="s">
        <v>503</v>
      </c>
      <c r="I69" s="10"/>
    </row>
    <row r="70" spans="1:9" ht="128" x14ac:dyDescent="0.2">
      <c r="A70" s="4" t="s">
        <v>760</v>
      </c>
      <c r="B70" s="4" t="s">
        <v>779</v>
      </c>
      <c r="C70" s="12"/>
      <c r="D70" s="13"/>
      <c r="E70" s="9" t="s">
        <v>217</v>
      </c>
      <c r="F70" s="10" t="s">
        <v>218</v>
      </c>
      <c r="G70" s="11" t="s">
        <v>219</v>
      </c>
      <c r="H70" s="10" t="s">
        <v>221</v>
      </c>
      <c r="I70" s="10" t="s">
        <v>30</v>
      </c>
    </row>
    <row r="71" spans="1:9" ht="96" x14ac:dyDescent="0.2">
      <c r="A71" s="4" t="s">
        <v>780</v>
      </c>
      <c r="B71" s="4"/>
      <c r="C71" s="12" t="s">
        <v>758</v>
      </c>
      <c r="D71" s="13"/>
      <c r="E71" s="9" t="s">
        <v>277</v>
      </c>
      <c r="F71" s="10" t="s">
        <v>564</v>
      </c>
      <c r="G71" s="18" t="s">
        <v>565</v>
      </c>
      <c r="H71" s="10" t="s">
        <v>567</v>
      </c>
      <c r="I71" s="10" t="s">
        <v>568</v>
      </c>
    </row>
    <row r="72" spans="1:9" ht="256" x14ac:dyDescent="0.2">
      <c r="A72" s="4" t="s">
        <v>780</v>
      </c>
      <c r="B72" s="4"/>
      <c r="C72" s="12" t="s">
        <v>758</v>
      </c>
      <c r="D72" s="13"/>
      <c r="E72" s="9" t="s">
        <v>279</v>
      </c>
      <c r="F72" s="10" t="s">
        <v>281</v>
      </c>
      <c r="G72" s="18" t="s">
        <v>282</v>
      </c>
      <c r="H72" s="10"/>
      <c r="I72" s="10"/>
    </row>
    <row r="73" spans="1:9" ht="112" x14ac:dyDescent="0.2">
      <c r="A73" s="4" t="s">
        <v>780</v>
      </c>
      <c r="B73" s="4"/>
      <c r="C73" s="12" t="s">
        <v>753</v>
      </c>
      <c r="D73" s="13" t="s">
        <v>754</v>
      </c>
      <c r="E73" s="9" t="s">
        <v>78</v>
      </c>
      <c r="F73" s="10" t="s">
        <v>406</v>
      </c>
      <c r="G73" s="18" t="s">
        <v>407</v>
      </c>
      <c r="H73" s="10" t="s">
        <v>409</v>
      </c>
      <c r="I73" s="10" t="s">
        <v>410</v>
      </c>
    </row>
    <row r="74" spans="1:9" ht="112" x14ac:dyDescent="0.2">
      <c r="A74" s="4" t="s">
        <v>780</v>
      </c>
      <c r="B74" s="4"/>
      <c r="C74" s="12" t="s">
        <v>753</v>
      </c>
      <c r="D74" s="16" t="s">
        <v>754</v>
      </c>
      <c r="E74" s="14" t="s">
        <v>196</v>
      </c>
      <c r="F74" s="15" t="s">
        <v>248</v>
      </c>
      <c r="G74" s="19" t="s">
        <v>249</v>
      </c>
      <c r="H74" s="15" t="s">
        <v>251</v>
      </c>
      <c r="I74" s="15" t="s">
        <v>252</v>
      </c>
    </row>
  </sheetData>
  <mergeCells count="1">
    <mergeCell ref="E10:I10"/>
  </mergeCells>
  <phoneticPr fontId="8" type="noConversion"/>
  <pageMargins left="0.7" right="0.7" top="0.75" bottom="0.75" header="0.3" footer="0.3"/>
  <pageSetup orientation="portrait" horizontalDpi="0" verticalDpi="0"/>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ADCF1A-5696-4467-BBFC-2D5273D6AAE1}">
  <ds:schemaRefs>
    <ds:schemaRef ds:uri="http://schemas.microsoft.com/DataMashup"/>
  </ds:schemaRefs>
</ds:datastoreItem>
</file>

<file path=docMetadata/LabelInfo.xml><?xml version="1.0" encoding="utf-8"?>
<clbl:labelList xmlns:clbl="http://schemas.microsoft.com/office/2020/mipLabelMetadata">
  <clbl:label id="{1e586649-7317-42fb-8949-66923d34ba7e}" enabled="0" method="" siteId="{1e586649-7317-42fb-8949-66923d34ba7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Filtered EA Smells</vt:lpstr>
      <vt:lpstr>Finalized EA Smell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Tolkounai Karybekova</dc:creator>
  <cp:lastModifiedBy>Tolkounai Karybekova</cp:lastModifiedBy>
  <dcterms:created xsi:type="dcterms:W3CDTF">2026-08-28T09:17:38Z</dcterms:created>
  <dcterms:modified xsi:type="dcterms:W3CDTF">2026-10-01T19:02:50Z</dcterms:modified>
</cp:coreProperties>
</file>